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nsultor-my.sharepoint.com/personal/bgonzalez_isopan_com_gt/Documents/Datos Produción/"/>
    </mc:Choice>
  </mc:AlternateContent>
  <xr:revisionPtr revIDLastSave="230" documentId="13_ncr:1_{A6E278DC-8512-48CE-9E64-F30CF272391A}" xr6:coauthVersionLast="47" xr6:coauthVersionMax="47" xr10:uidLastSave="{9A700CF9-7009-4496-88FB-719711752797}"/>
  <bookViews>
    <workbookView xWindow="-108" yWindow="-108" windowWidth="23256" windowHeight="12456" activeTab="3" xr2:uid="{EC1EE3F3-36EB-45E3-A52A-B76964A7015A}"/>
  </bookViews>
  <sheets>
    <sheet name="hoja1" sheetId="1" r:id="rId1"/>
    <sheet name="hoja2" sheetId="4" r:id="rId2"/>
    <sheet name="hoja3" sheetId="5" r:id="rId3"/>
    <sheet name="Análisis" sheetId="2" r:id="rId4"/>
    <sheet name="FPY Semanal" sheetId="3" r:id="rId5"/>
  </sheets>
  <definedNames>
    <definedName name="_xlnm._FilterDatabase" localSheetId="0" hidden="1">hoja1!$A$3:$N$3</definedName>
    <definedName name="_xlnm._FilterDatabase" localSheetId="1" hidden="1">hoja2!$A$109:$N$109</definedName>
    <definedName name="_xlnm._FilterDatabase" localSheetId="2" hidden="1">hoja3!$A$2:$N$521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3" l="1"/>
  <c r="Y8" i="3"/>
  <c r="Y7" i="3"/>
  <c r="X9" i="3"/>
  <c r="X8" i="3"/>
  <c r="X7" i="3"/>
  <c r="W9" i="3"/>
  <c r="W8" i="3"/>
  <c r="W7" i="3"/>
  <c r="V9" i="3"/>
  <c r="V8" i="3"/>
  <c r="V7" i="3"/>
  <c r="U9" i="3"/>
  <c r="U8" i="3"/>
  <c r="U7" i="3"/>
  <c r="T9" i="3"/>
  <c r="T8" i="3"/>
  <c r="T7" i="3"/>
  <c r="U4" i="3"/>
  <c r="T4" i="3"/>
  <c r="S9" i="3"/>
  <c r="S8" i="3"/>
  <c r="S7" i="3"/>
  <c r="R9" i="3"/>
  <c r="R8" i="3"/>
  <c r="R7" i="3"/>
  <c r="Q9" i="3"/>
  <c r="Q8" i="3"/>
  <c r="Q7" i="3"/>
  <c r="R4" i="3"/>
  <c r="Q4" i="3"/>
  <c r="B4" i="3"/>
  <c r="B124" i="2"/>
  <c r="C124" i="2"/>
  <c r="D124" i="2"/>
  <c r="G124" i="2"/>
  <c r="B125" i="2"/>
  <c r="C125" i="2"/>
  <c r="D125" i="2"/>
  <c r="G125" i="2"/>
  <c r="B126" i="2"/>
  <c r="C126" i="2"/>
  <c r="D126" i="2"/>
  <c r="G126" i="2"/>
  <c r="B127" i="2"/>
  <c r="C127" i="2"/>
  <c r="D127" i="2"/>
  <c r="G127" i="2"/>
  <c r="B128" i="2"/>
  <c r="C128" i="2"/>
  <c r="D128" i="2"/>
  <c r="G128" i="2"/>
  <c r="B132" i="2"/>
  <c r="C132" i="2"/>
  <c r="D132" i="2"/>
  <c r="E132" i="2"/>
  <c r="H132" i="2"/>
  <c r="B133" i="2"/>
  <c r="C133" i="2"/>
  <c r="D133" i="2"/>
  <c r="E133" i="2"/>
  <c r="H133" i="2"/>
  <c r="B134" i="2"/>
  <c r="C134" i="2"/>
  <c r="D134" i="2"/>
  <c r="E134" i="2"/>
  <c r="H134" i="2"/>
  <c r="B135" i="2"/>
  <c r="C135" i="2"/>
  <c r="D135" i="2"/>
  <c r="E135" i="2"/>
  <c r="H135" i="2"/>
  <c r="B136" i="2"/>
  <c r="C136" i="2"/>
  <c r="D136" i="2"/>
  <c r="E136" i="2"/>
  <c r="H136" i="2"/>
  <c r="B6" i="2"/>
  <c r="B7" i="2"/>
  <c r="B14" i="2"/>
  <c r="C14" i="2"/>
  <c r="D14" i="2"/>
  <c r="H14" i="2" s="1"/>
  <c r="E14" i="2"/>
  <c r="F14" i="2"/>
  <c r="L14" i="2" s="1"/>
  <c r="C62" i="2" s="1"/>
  <c r="G14" i="2"/>
  <c r="I14" i="2"/>
  <c r="J14" i="2"/>
  <c r="K14" i="2"/>
  <c r="M14" i="2"/>
  <c r="N14" i="2"/>
  <c r="B15" i="2"/>
  <c r="C15" i="2"/>
  <c r="D15" i="2"/>
  <c r="H15" i="2" s="1"/>
  <c r="E15" i="2"/>
  <c r="F15" i="2"/>
  <c r="L15" i="2" s="1"/>
  <c r="G15" i="2"/>
  <c r="I15" i="2"/>
  <c r="J15" i="2"/>
  <c r="K15" i="2"/>
  <c r="M15" i="2"/>
  <c r="N15" i="2"/>
  <c r="B16" i="2"/>
  <c r="C16" i="2"/>
  <c r="D16" i="2"/>
  <c r="H16" i="2" s="1"/>
  <c r="B64" i="2" s="1"/>
  <c r="E16" i="2"/>
  <c r="F16" i="2"/>
  <c r="L16" i="2" s="1"/>
  <c r="G16" i="2"/>
  <c r="I16" i="2"/>
  <c r="J16" i="2"/>
  <c r="K16" i="2"/>
  <c r="M16" i="2"/>
  <c r="N16" i="2"/>
  <c r="B17" i="2"/>
  <c r="C17" i="2"/>
  <c r="D17" i="2"/>
  <c r="H17" i="2" s="1"/>
  <c r="E17" i="2"/>
  <c r="F17" i="2"/>
  <c r="L17" i="2" s="1"/>
  <c r="C65" i="2" s="1"/>
  <c r="G17" i="2"/>
  <c r="I17" i="2"/>
  <c r="J17" i="2"/>
  <c r="K17" i="2"/>
  <c r="M17" i="2"/>
  <c r="N17" i="2"/>
  <c r="B18" i="2"/>
  <c r="C18" i="2"/>
  <c r="D18" i="2"/>
  <c r="E18" i="2"/>
  <c r="H18" i="2" s="1"/>
  <c r="B66" i="2" s="1"/>
  <c r="F18" i="2"/>
  <c r="G18" i="2"/>
  <c r="I18" i="2"/>
  <c r="J18" i="2"/>
  <c r="K18" i="2"/>
  <c r="L18" i="2"/>
  <c r="M18" i="2"/>
  <c r="N18" i="2"/>
  <c r="B19" i="2"/>
  <c r="C19" i="2"/>
  <c r="D19" i="2"/>
  <c r="H19" i="2" s="1"/>
  <c r="B67" i="2" s="1"/>
  <c r="E19" i="2"/>
  <c r="F19" i="2"/>
  <c r="L19" i="2" s="1"/>
  <c r="G19" i="2"/>
  <c r="G26" i="2" s="1"/>
  <c r="A51" i="2" s="1"/>
  <c r="I19" i="2"/>
  <c r="J19" i="2"/>
  <c r="K19" i="2"/>
  <c r="M19" i="2"/>
  <c r="N19" i="2"/>
  <c r="B20" i="2"/>
  <c r="C20" i="2"/>
  <c r="D20" i="2"/>
  <c r="H20" i="2" s="1"/>
  <c r="E20" i="2"/>
  <c r="F20" i="2"/>
  <c r="L20" i="2" s="1"/>
  <c r="G20" i="2"/>
  <c r="I20" i="2"/>
  <c r="J20" i="2"/>
  <c r="K20" i="2"/>
  <c r="M20" i="2"/>
  <c r="N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B23" i="2"/>
  <c r="C23" i="2"/>
  <c r="D23" i="2"/>
  <c r="E23" i="2"/>
  <c r="H23" i="2" s="1"/>
  <c r="B71" i="2" s="1"/>
  <c r="F23" i="2"/>
  <c r="L23" i="2" s="1"/>
  <c r="G23" i="2"/>
  <c r="I23" i="2"/>
  <c r="J23" i="2"/>
  <c r="K23" i="2"/>
  <c r="M23" i="2"/>
  <c r="N23" i="2"/>
  <c r="B24" i="2"/>
  <c r="C24" i="2"/>
  <c r="D24" i="2"/>
  <c r="H24" i="2" s="1"/>
  <c r="B72" i="2" s="1"/>
  <c r="E24" i="2"/>
  <c r="F24" i="2"/>
  <c r="L24" i="2" s="1"/>
  <c r="C72" i="2" s="1"/>
  <c r="G24" i="2"/>
  <c r="I24" i="2"/>
  <c r="J24" i="2"/>
  <c r="K24" i="2"/>
  <c r="M24" i="2"/>
  <c r="N24" i="2"/>
  <c r="B25" i="2"/>
  <c r="C25" i="2"/>
  <c r="D25" i="2"/>
  <c r="E25" i="2"/>
  <c r="F25" i="2"/>
  <c r="G25" i="2"/>
  <c r="I25" i="2"/>
  <c r="J25" i="2"/>
  <c r="J26" i="2" s="1"/>
  <c r="K25" i="2"/>
  <c r="K26" i="2" s="1"/>
  <c r="L25" i="2"/>
  <c r="M25" i="2"/>
  <c r="N25" i="2"/>
  <c r="N26" i="2" s="1"/>
  <c r="C26" i="2"/>
  <c r="E26" i="2"/>
  <c r="F26" i="2"/>
  <c r="I26" i="2"/>
  <c r="L26" i="2"/>
  <c r="M26" i="2"/>
  <c r="A35" i="2"/>
  <c r="A37" i="2"/>
  <c r="A43" i="2"/>
  <c r="A47" i="2"/>
  <c r="A62" i="2"/>
  <c r="A63" i="2"/>
  <c r="A64" i="2"/>
  <c r="A65" i="2"/>
  <c r="A66" i="2"/>
  <c r="C66" i="2"/>
  <c r="A67" i="2"/>
  <c r="A68" i="2"/>
  <c r="A69" i="2"/>
  <c r="B69" i="2"/>
  <c r="C69" i="2"/>
  <c r="A70" i="2"/>
  <c r="B70" i="2"/>
  <c r="C70" i="2"/>
  <c r="A71" i="2"/>
  <c r="A72" i="2"/>
  <c r="A73" i="2"/>
  <c r="C73" i="2"/>
  <c r="L1595" i="1"/>
  <c r="K1595" i="1"/>
  <c r="L1594" i="1"/>
  <c r="K1594" i="1"/>
  <c r="L1593" i="1"/>
  <c r="K1593" i="1"/>
  <c r="L1592" i="1"/>
  <c r="K1592" i="1"/>
  <c r="L1591" i="1"/>
  <c r="K1591" i="1"/>
  <c r="L1590" i="1"/>
  <c r="K1590" i="1"/>
  <c r="L1589" i="1"/>
  <c r="K1589" i="1"/>
  <c r="L1588" i="1"/>
  <c r="K1588" i="1"/>
  <c r="L1587" i="1"/>
  <c r="K1587" i="1"/>
  <c r="L1586" i="1"/>
  <c r="K1586" i="1"/>
  <c r="L1585" i="1"/>
  <c r="K1585" i="1"/>
  <c r="L1584" i="1"/>
  <c r="K1584" i="1"/>
  <c r="L1583" i="1"/>
  <c r="K1583" i="1"/>
  <c r="L1582" i="1"/>
  <c r="K1582" i="1"/>
  <c r="L1581" i="1"/>
  <c r="K1581" i="1"/>
  <c r="L1580" i="1"/>
  <c r="K1580" i="1"/>
  <c r="L1579" i="1"/>
  <c r="K1579" i="1"/>
  <c r="L1578" i="1"/>
  <c r="K1578" i="1"/>
  <c r="L1577" i="1"/>
  <c r="K1577" i="1"/>
  <c r="L1576" i="1"/>
  <c r="K1576" i="1"/>
  <c r="L1575" i="1"/>
  <c r="K1575" i="1"/>
  <c r="L1574" i="1"/>
  <c r="K1574" i="1"/>
  <c r="L1573" i="1"/>
  <c r="K1573" i="1"/>
  <c r="L1572" i="1"/>
  <c r="K1572" i="1"/>
  <c r="L1571" i="1"/>
  <c r="K1571" i="1"/>
  <c r="L1570" i="1"/>
  <c r="K1570" i="1"/>
  <c r="L1569" i="1"/>
  <c r="K1569" i="1"/>
  <c r="L1568" i="1"/>
  <c r="K1568" i="1"/>
  <c r="L1567" i="1"/>
  <c r="K1567" i="1"/>
  <c r="L1566" i="1"/>
  <c r="K1566" i="1"/>
  <c r="L1565" i="1"/>
  <c r="K1565" i="1"/>
  <c r="L1564" i="1"/>
  <c r="K1564" i="1"/>
  <c r="L1563" i="1"/>
  <c r="K1563" i="1"/>
  <c r="L1562" i="1"/>
  <c r="K1562" i="1"/>
  <c r="L1561" i="1"/>
  <c r="K1561" i="1"/>
  <c r="L1560" i="1"/>
  <c r="K1560" i="1"/>
  <c r="L1559" i="1"/>
  <c r="K1559" i="1"/>
  <c r="L1558" i="1"/>
  <c r="K1558" i="1"/>
  <c r="L1557" i="1"/>
  <c r="K1557" i="1"/>
  <c r="L1556" i="1"/>
  <c r="K1556" i="1"/>
  <c r="L1555" i="1"/>
  <c r="K1555" i="1"/>
  <c r="L1554" i="1"/>
  <c r="K1554" i="1"/>
  <c r="L1553" i="1"/>
  <c r="K1553" i="1"/>
  <c r="L1552" i="1"/>
  <c r="K1552" i="1"/>
  <c r="L1551" i="1"/>
  <c r="K1551" i="1"/>
  <c r="L1550" i="1"/>
  <c r="K1550" i="1"/>
  <c r="L1549" i="1"/>
  <c r="K1549" i="1"/>
  <c r="L1548" i="1"/>
  <c r="K1548" i="1"/>
  <c r="L1547" i="1"/>
  <c r="K1547" i="1"/>
  <c r="L1546" i="1"/>
  <c r="K1546" i="1"/>
  <c r="L1545" i="1"/>
  <c r="K1545" i="1"/>
  <c r="L1544" i="1"/>
  <c r="K1544" i="1"/>
  <c r="L1543" i="1"/>
  <c r="K1543" i="1"/>
  <c r="L1542" i="1"/>
  <c r="K1542" i="1"/>
  <c r="L1541" i="1"/>
  <c r="K1541" i="1"/>
  <c r="L1540" i="1"/>
  <c r="K1540" i="1"/>
  <c r="L1539" i="1"/>
  <c r="K1539" i="1"/>
  <c r="L1538" i="1"/>
  <c r="K1538" i="1"/>
  <c r="L1537" i="1"/>
  <c r="K1537" i="1"/>
  <c r="L1536" i="1"/>
  <c r="K1536" i="1"/>
  <c r="L1535" i="1"/>
  <c r="K1535" i="1"/>
  <c r="L1534" i="1"/>
  <c r="K1534" i="1"/>
  <c r="L1533" i="1"/>
  <c r="K1533" i="1"/>
  <c r="L1532" i="1"/>
  <c r="K1532" i="1"/>
  <c r="L1531" i="1"/>
  <c r="K1531" i="1"/>
  <c r="L1530" i="1"/>
  <c r="K1530" i="1"/>
  <c r="L1529" i="1"/>
  <c r="K1529" i="1"/>
  <c r="L1528" i="1"/>
  <c r="K1528" i="1"/>
  <c r="L1527" i="1"/>
  <c r="K1527" i="1"/>
  <c r="L1526" i="1"/>
  <c r="K1526" i="1"/>
  <c r="L1525" i="1"/>
  <c r="K1525" i="1"/>
  <c r="L1524" i="1"/>
  <c r="K1524" i="1"/>
  <c r="L1523" i="1"/>
  <c r="K1523" i="1"/>
  <c r="L1522" i="1"/>
  <c r="K1522" i="1"/>
  <c r="L1521" i="1"/>
  <c r="K1521" i="1"/>
  <c r="L1520" i="1"/>
  <c r="K1520" i="1"/>
  <c r="L1519" i="1"/>
  <c r="K1519" i="1"/>
  <c r="L1518" i="1"/>
  <c r="K1518" i="1"/>
  <c r="L1517" i="1"/>
  <c r="K1517" i="1"/>
  <c r="L1516" i="1"/>
  <c r="K1516" i="1"/>
  <c r="L1515" i="1"/>
  <c r="K1515" i="1"/>
  <c r="L1514" i="1"/>
  <c r="K1514" i="1"/>
  <c r="L1513" i="1"/>
  <c r="K1513" i="1"/>
  <c r="L1512" i="1"/>
  <c r="K1512" i="1"/>
  <c r="L1511" i="1"/>
  <c r="K1511" i="1"/>
  <c r="L1510" i="1"/>
  <c r="K1510" i="1"/>
  <c r="L1509" i="1"/>
  <c r="K1509" i="1"/>
  <c r="L1508" i="1"/>
  <c r="K1508" i="1"/>
  <c r="L1507" i="1"/>
  <c r="K1507" i="1"/>
  <c r="L1506" i="1"/>
  <c r="K1506" i="1"/>
  <c r="L1505" i="1"/>
  <c r="K1505" i="1"/>
  <c r="L1504" i="1"/>
  <c r="K1504" i="1"/>
  <c r="L1503" i="1"/>
  <c r="K1503" i="1"/>
  <c r="L1502" i="1"/>
  <c r="K1502" i="1"/>
  <c r="L1501" i="1"/>
  <c r="K1501" i="1"/>
  <c r="L1500" i="1"/>
  <c r="K1500" i="1"/>
  <c r="L1499" i="1"/>
  <c r="K1499" i="1"/>
  <c r="L1498" i="1"/>
  <c r="K1498" i="1"/>
  <c r="L1497" i="1"/>
  <c r="K1497" i="1"/>
  <c r="L1496" i="1"/>
  <c r="K1496" i="1"/>
  <c r="L1495" i="1"/>
  <c r="K1495" i="1"/>
  <c r="L1494" i="1"/>
  <c r="K1494" i="1"/>
  <c r="L1493" i="1"/>
  <c r="K1493" i="1"/>
  <c r="L1492" i="1"/>
  <c r="K1492" i="1"/>
  <c r="L1491" i="1"/>
  <c r="K1491" i="1"/>
  <c r="L1490" i="1"/>
  <c r="K1490" i="1"/>
  <c r="L1489" i="1"/>
  <c r="K1489" i="1"/>
  <c r="L1488" i="1"/>
  <c r="K1488" i="1"/>
  <c r="L1487" i="1"/>
  <c r="K1487" i="1"/>
  <c r="L1486" i="1"/>
  <c r="K1486" i="1"/>
  <c r="L1485" i="1"/>
  <c r="K1485" i="1"/>
  <c r="L1484" i="1"/>
  <c r="K1484" i="1"/>
  <c r="L1483" i="1"/>
  <c r="K1483" i="1"/>
  <c r="L1482" i="1"/>
  <c r="K1482" i="1"/>
  <c r="L1481" i="1"/>
  <c r="K1481" i="1"/>
  <c r="L1480" i="1"/>
  <c r="K1480" i="1"/>
  <c r="L1479" i="1"/>
  <c r="K1479" i="1"/>
  <c r="L1478" i="1"/>
  <c r="K1478" i="1"/>
  <c r="L1477" i="1"/>
  <c r="K1477" i="1"/>
  <c r="L1476" i="1"/>
  <c r="K1476" i="1"/>
  <c r="L1475" i="1"/>
  <c r="K1475" i="1"/>
  <c r="L1474" i="1"/>
  <c r="K1474" i="1"/>
  <c r="L1473" i="1"/>
  <c r="K1473" i="1"/>
  <c r="L1472" i="1"/>
  <c r="K1472" i="1"/>
  <c r="L1471" i="1"/>
  <c r="K1471" i="1"/>
  <c r="L1470" i="1"/>
  <c r="K1470" i="1"/>
  <c r="L1469" i="1"/>
  <c r="K1469" i="1"/>
  <c r="L1468" i="1"/>
  <c r="K1468" i="1"/>
  <c r="L1467" i="1"/>
  <c r="K1467" i="1"/>
  <c r="L1466" i="1"/>
  <c r="K1466" i="1"/>
  <c r="L1465" i="1"/>
  <c r="K1465" i="1"/>
  <c r="L1464" i="1"/>
  <c r="K1464" i="1"/>
  <c r="L1463" i="1"/>
  <c r="K1463" i="1"/>
  <c r="L1462" i="1"/>
  <c r="K1462" i="1"/>
  <c r="L1461" i="1"/>
  <c r="K1461" i="1"/>
  <c r="L1460" i="1"/>
  <c r="K1460" i="1"/>
  <c r="L1459" i="1"/>
  <c r="K1459" i="1"/>
  <c r="L1458" i="1"/>
  <c r="K1458" i="1"/>
  <c r="L1457" i="1"/>
  <c r="K1457" i="1"/>
  <c r="L1456" i="1"/>
  <c r="K1456" i="1"/>
  <c r="L1455" i="1"/>
  <c r="K1455" i="1"/>
  <c r="L1454" i="1"/>
  <c r="K1454" i="1"/>
  <c r="L1453" i="1"/>
  <c r="K1453" i="1"/>
  <c r="L1452" i="1"/>
  <c r="K1452" i="1"/>
  <c r="L1451" i="1"/>
  <c r="K1451" i="1"/>
  <c r="L1450" i="1"/>
  <c r="K1450" i="1"/>
  <c r="L1449" i="1"/>
  <c r="K1449" i="1"/>
  <c r="L1448" i="1"/>
  <c r="K1448" i="1"/>
  <c r="L1447" i="1"/>
  <c r="K1447" i="1"/>
  <c r="L1446" i="1"/>
  <c r="K1446" i="1"/>
  <c r="L1445" i="1"/>
  <c r="K1445" i="1"/>
  <c r="L1444" i="1"/>
  <c r="K1444" i="1"/>
  <c r="L1443" i="1"/>
  <c r="K1443" i="1"/>
  <c r="L1442" i="1"/>
  <c r="K1442" i="1"/>
  <c r="L1441" i="1"/>
  <c r="K1441" i="1"/>
  <c r="L1440" i="1"/>
  <c r="K1440" i="1"/>
  <c r="L1439" i="1"/>
  <c r="K1439" i="1"/>
  <c r="L1438" i="1"/>
  <c r="K1438" i="1"/>
  <c r="L1437" i="1"/>
  <c r="K1437" i="1"/>
  <c r="L1436" i="1"/>
  <c r="K1436" i="1"/>
  <c r="L1435" i="1"/>
  <c r="K1435" i="1"/>
  <c r="L1434" i="1"/>
  <c r="K1434" i="1"/>
  <c r="L1433" i="1"/>
  <c r="K1433" i="1"/>
  <c r="L1432" i="1"/>
  <c r="K1432" i="1"/>
  <c r="L1431" i="1"/>
  <c r="K1431" i="1"/>
  <c r="L1430" i="1"/>
  <c r="K1430" i="1"/>
  <c r="L1429" i="1"/>
  <c r="K1429" i="1"/>
  <c r="L1428" i="1"/>
  <c r="K1428" i="1"/>
  <c r="L1427" i="1"/>
  <c r="K1427" i="1"/>
  <c r="L1426" i="1"/>
  <c r="K1426" i="1"/>
  <c r="L1425" i="1"/>
  <c r="K1425" i="1"/>
  <c r="L1424" i="1"/>
  <c r="K1424" i="1"/>
  <c r="L1423" i="1"/>
  <c r="K1423" i="1"/>
  <c r="L1422" i="1"/>
  <c r="K1422" i="1"/>
  <c r="L1421" i="1"/>
  <c r="K1421" i="1"/>
  <c r="L1420" i="1"/>
  <c r="K1420" i="1"/>
  <c r="L1419" i="1"/>
  <c r="K1419" i="1"/>
  <c r="L1418" i="1"/>
  <c r="K1418" i="1"/>
  <c r="L1417" i="1"/>
  <c r="K1417" i="1"/>
  <c r="L1416" i="1"/>
  <c r="K1416" i="1"/>
  <c r="L1415" i="1"/>
  <c r="K1415" i="1"/>
  <c r="L1414" i="1"/>
  <c r="K1414" i="1"/>
  <c r="L1413" i="1"/>
  <c r="K1413" i="1"/>
  <c r="L1412" i="1"/>
  <c r="K1412" i="1"/>
  <c r="L1411" i="1"/>
  <c r="K1411" i="1"/>
  <c r="L1410" i="1"/>
  <c r="K1410" i="1"/>
  <c r="L1409" i="1"/>
  <c r="K1409" i="1"/>
  <c r="L1408" i="1"/>
  <c r="K1408" i="1"/>
  <c r="L1407" i="1"/>
  <c r="K1407" i="1"/>
  <c r="L1406" i="1"/>
  <c r="K1406" i="1"/>
  <c r="L1405" i="1"/>
  <c r="K1405" i="1"/>
  <c r="L1404" i="1"/>
  <c r="K1404" i="1"/>
  <c r="L1403" i="1"/>
  <c r="K1403" i="1"/>
  <c r="L1402" i="1"/>
  <c r="K1402" i="1"/>
  <c r="L1401" i="1"/>
  <c r="K1401" i="1"/>
  <c r="L1400" i="1"/>
  <c r="K1400" i="1"/>
  <c r="L1399" i="1"/>
  <c r="K1399" i="1"/>
  <c r="L1398" i="1"/>
  <c r="K1398" i="1"/>
  <c r="L1397" i="1"/>
  <c r="K1397" i="1"/>
  <c r="L1396" i="1"/>
  <c r="K1396" i="1"/>
  <c r="L1395" i="1"/>
  <c r="K1395" i="1"/>
  <c r="L1394" i="1"/>
  <c r="K1394" i="1"/>
  <c r="L1393" i="1"/>
  <c r="K1393" i="1"/>
  <c r="L1392" i="1"/>
  <c r="K1392" i="1"/>
  <c r="L1391" i="1"/>
  <c r="K1391" i="1"/>
  <c r="L1390" i="1"/>
  <c r="K1390" i="1"/>
  <c r="L1389" i="1"/>
  <c r="K1389" i="1"/>
  <c r="L1388" i="1"/>
  <c r="K1388" i="1"/>
  <c r="L1387" i="1"/>
  <c r="K1387" i="1"/>
  <c r="L1386" i="1"/>
  <c r="K1386" i="1"/>
  <c r="L1385" i="1"/>
  <c r="K1385" i="1"/>
  <c r="L1384" i="1"/>
  <c r="K1384" i="1"/>
  <c r="L1383" i="1"/>
  <c r="K1383" i="1"/>
  <c r="L1382" i="1"/>
  <c r="K1382" i="1"/>
  <c r="L1381" i="1"/>
  <c r="K1381" i="1"/>
  <c r="L1380" i="1"/>
  <c r="K1380" i="1"/>
  <c r="L1379" i="1"/>
  <c r="K1379" i="1"/>
  <c r="L1378" i="1"/>
  <c r="K1378" i="1"/>
  <c r="L1377" i="1"/>
  <c r="K1377" i="1"/>
  <c r="L1376" i="1"/>
  <c r="K1376" i="1"/>
  <c r="L1375" i="1"/>
  <c r="K1375" i="1"/>
  <c r="L1374" i="1"/>
  <c r="K1374" i="1"/>
  <c r="L1373" i="1"/>
  <c r="K1373" i="1"/>
  <c r="L1372" i="1"/>
  <c r="K1372" i="1"/>
  <c r="L1371" i="1"/>
  <c r="K1371" i="1"/>
  <c r="L1370" i="1"/>
  <c r="K1370" i="1"/>
  <c r="L1369" i="1"/>
  <c r="K1369" i="1"/>
  <c r="L1368" i="1"/>
  <c r="K1368" i="1"/>
  <c r="L1367" i="1"/>
  <c r="K1367" i="1"/>
  <c r="L1366" i="1"/>
  <c r="K1366" i="1"/>
  <c r="L1365" i="1"/>
  <c r="K1365" i="1"/>
  <c r="L1364" i="1"/>
  <c r="K1364" i="1"/>
  <c r="L1363" i="1"/>
  <c r="K1363" i="1"/>
  <c r="L1362" i="1"/>
  <c r="K1362" i="1"/>
  <c r="L1361" i="1"/>
  <c r="K1361" i="1"/>
  <c r="L1360" i="1"/>
  <c r="K1360" i="1"/>
  <c r="L1359" i="1"/>
  <c r="K1359" i="1"/>
  <c r="L1358" i="1"/>
  <c r="K1358" i="1"/>
  <c r="L1357" i="1"/>
  <c r="K1357" i="1"/>
  <c r="L1356" i="1"/>
  <c r="K1356" i="1"/>
  <c r="L1355" i="1"/>
  <c r="K1355" i="1"/>
  <c r="L1354" i="1"/>
  <c r="K1354" i="1"/>
  <c r="L1353" i="1"/>
  <c r="K1353" i="1"/>
  <c r="L1352" i="1"/>
  <c r="K1352" i="1"/>
  <c r="L1351" i="1"/>
  <c r="K1351" i="1"/>
  <c r="L1350" i="1"/>
  <c r="K1350" i="1"/>
  <c r="L1349" i="1"/>
  <c r="K1349" i="1"/>
  <c r="L1348" i="1"/>
  <c r="K1348" i="1"/>
  <c r="L1347" i="1"/>
  <c r="K1347" i="1"/>
  <c r="L1346" i="1"/>
  <c r="K1346" i="1"/>
  <c r="L1345" i="1"/>
  <c r="K1345" i="1"/>
  <c r="L1344" i="1"/>
  <c r="K1344" i="1"/>
  <c r="L1343" i="1"/>
  <c r="K1343" i="1"/>
  <c r="L1342" i="1"/>
  <c r="K1342" i="1"/>
  <c r="L1341" i="1"/>
  <c r="K1341" i="1"/>
  <c r="L1340" i="1"/>
  <c r="K1340" i="1"/>
  <c r="L1339" i="1"/>
  <c r="K1339" i="1"/>
  <c r="L1338" i="1"/>
  <c r="K1338" i="1"/>
  <c r="L1337" i="1"/>
  <c r="K1337" i="1"/>
  <c r="L1336" i="1"/>
  <c r="K1336" i="1"/>
  <c r="L1335" i="1"/>
  <c r="K1335" i="1"/>
  <c r="L1334" i="1"/>
  <c r="K1334" i="1"/>
  <c r="L1333" i="1"/>
  <c r="K1333" i="1"/>
  <c r="L1332" i="1"/>
  <c r="K1332" i="1"/>
  <c r="L1331" i="1"/>
  <c r="K1331" i="1"/>
  <c r="L1330" i="1"/>
  <c r="K1330" i="1"/>
  <c r="L1329" i="1"/>
  <c r="K1329" i="1"/>
  <c r="L1328" i="1"/>
  <c r="K1328" i="1"/>
  <c r="L1327" i="1"/>
  <c r="K1327" i="1"/>
  <c r="L1326" i="1"/>
  <c r="K1326" i="1"/>
  <c r="L1325" i="1"/>
  <c r="K1325" i="1"/>
  <c r="L1324" i="1"/>
  <c r="K1324" i="1"/>
  <c r="L633" i="1"/>
  <c r="K633" i="1"/>
  <c r="L632" i="1"/>
  <c r="K632" i="1"/>
  <c r="L631" i="1"/>
  <c r="K631" i="1"/>
  <c r="L630" i="1"/>
  <c r="K630" i="1"/>
  <c r="L629" i="1"/>
  <c r="K629" i="1"/>
  <c r="L628" i="1"/>
  <c r="K628" i="1"/>
  <c r="L627" i="1"/>
  <c r="K627" i="1"/>
  <c r="L626" i="1"/>
  <c r="K626" i="1"/>
  <c r="L625" i="1"/>
  <c r="K625" i="1"/>
  <c r="L624" i="1"/>
  <c r="K624" i="1"/>
  <c r="L623" i="1"/>
  <c r="K623" i="1"/>
  <c r="L622" i="1"/>
  <c r="K622" i="1"/>
  <c r="L621" i="1"/>
  <c r="K621" i="1"/>
  <c r="L620" i="1"/>
  <c r="K620" i="1"/>
  <c r="L619" i="1"/>
  <c r="K619" i="1"/>
  <c r="L618" i="1"/>
  <c r="K618" i="1"/>
  <c r="L617" i="1"/>
  <c r="K617" i="1"/>
  <c r="L616" i="1"/>
  <c r="K616" i="1"/>
  <c r="L615" i="1"/>
  <c r="K615" i="1"/>
  <c r="L614" i="1"/>
  <c r="K614" i="1"/>
  <c r="L613" i="1"/>
  <c r="K613" i="1"/>
  <c r="L612" i="1"/>
  <c r="K612" i="1"/>
  <c r="L611" i="1"/>
  <c r="K611" i="1"/>
  <c r="L610" i="1"/>
  <c r="K610" i="1"/>
  <c r="L609" i="1"/>
  <c r="K609" i="1"/>
  <c r="L608" i="1"/>
  <c r="K608" i="1"/>
  <c r="L607" i="1"/>
  <c r="K607" i="1"/>
  <c r="L606" i="1"/>
  <c r="K606" i="1"/>
  <c r="L605" i="1"/>
  <c r="K605" i="1"/>
  <c r="L604" i="1"/>
  <c r="K604" i="1"/>
  <c r="L603" i="1"/>
  <c r="K603" i="1"/>
  <c r="L602" i="1"/>
  <c r="K602" i="1"/>
  <c r="L601" i="1"/>
  <c r="K601" i="1"/>
  <c r="L600" i="1"/>
  <c r="K600" i="1"/>
  <c r="L599" i="1"/>
  <c r="K599" i="1"/>
  <c r="L598" i="1"/>
  <c r="K598" i="1"/>
  <c r="L597" i="1"/>
  <c r="K597" i="1"/>
  <c r="L596" i="1"/>
  <c r="K596" i="1"/>
  <c r="L595" i="1"/>
  <c r="K595" i="1"/>
  <c r="L594" i="1"/>
  <c r="K594" i="1"/>
  <c r="L593" i="1"/>
  <c r="K593" i="1"/>
  <c r="L592" i="1"/>
  <c r="K592" i="1"/>
  <c r="L591" i="1"/>
  <c r="K591" i="1"/>
  <c r="L590" i="1"/>
  <c r="K590" i="1"/>
  <c r="L589" i="1"/>
  <c r="K589" i="1"/>
  <c r="L588" i="1"/>
  <c r="K588" i="1"/>
  <c r="L587" i="1"/>
  <c r="K587" i="1"/>
  <c r="L586" i="1"/>
  <c r="K586" i="1"/>
  <c r="L585" i="1"/>
  <c r="K585" i="1"/>
  <c r="L584" i="1"/>
  <c r="K584" i="1"/>
  <c r="L583" i="1"/>
  <c r="K583" i="1"/>
  <c r="L582" i="1"/>
  <c r="K582" i="1"/>
  <c r="L581" i="1"/>
  <c r="K581" i="1"/>
  <c r="L580" i="1"/>
  <c r="K58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L573" i="1"/>
  <c r="K573" i="1"/>
  <c r="L572" i="1"/>
  <c r="K572" i="1"/>
  <c r="L571" i="1"/>
  <c r="K571" i="1"/>
  <c r="L570" i="1"/>
  <c r="K570" i="1"/>
  <c r="L569" i="1"/>
  <c r="K569" i="1"/>
  <c r="L568" i="1"/>
  <c r="K568" i="1"/>
  <c r="L567" i="1"/>
  <c r="K567" i="1"/>
  <c r="L566" i="1"/>
  <c r="K566" i="1"/>
  <c r="L565" i="1"/>
  <c r="K565" i="1"/>
  <c r="L564" i="1"/>
  <c r="K564" i="1"/>
  <c r="L563" i="1"/>
  <c r="K563" i="1"/>
  <c r="L562" i="1"/>
  <c r="K562" i="1"/>
  <c r="L561" i="1"/>
  <c r="K561" i="1"/>
  <c r="L560" i="1"/>
  <c r="K560" i="1"/>
  <c r="L559" i="1"/>
  <c r="K559" i="1"/>
  <c r="L558" i="1"/>
  <c r="K558" i="1"/>
  <c r="L557" i="1"/>
  <c r="K557" i="1"/>
  <c r="L556" i="1"/>
  <c r="K556" i="1"/>
  <c r="L555" i="1"/>
  <c r="K555" i="1"/>
  <c r="L554" i="1"/>
  <c r="K554" i="1"/>
  <c r="L553" i="1"/>
  <c r="K553" i="1"/>
  <c r="L552" i="1"/>
  <c r="K552" i="1"/>
  <c r="L551" i="1"/>
  <c r="K551" i="1"/>
  <c r="L550" i="1"/>
  <c r="K550" i="1"/>
  <c r="L549" i="1"/>
  <c r="K549" i="1"/>
  <c r="L548" i="1"/>
  <c r="K548" i="1"/>
  <c r="L547" i="1"/>
  <c r="K547" i="1"/>
  <c r="L546" i="1"/>
  <c r="K546" i="1"/>
  <c r="L545" i="1"/>
  <c r="K545" i="1"/>
  <c r="L544" i="1"/>
  <c r="K544" i="1"/>
  <c r="L543" i="1"/>
  <c r="K543" i="1"/>
  <c r="L542" i="1"/>
  <c r="K542" i="1"/>
  <c r="L541" i="1"/>
  <c r="K541" i="1"/>
  <c r="L540" i="1"/>
  <c r="K540" i="1"/>
  <c r="L539" i="1"/>
  <c r="K539" i="1"/>
  <c r="L538" i="1"/>
  <c r="K538" i="1"/>
  <c r="L537" i="1"/>
  <c r="K537" i="1"/>
  <c r="L536" i="1"/>
  <c r="K536" i="1"/>
  <c r="L535" i="1"/>
  <c r="K535" i="1"/>
  <c r="L534" i="1"/>
  <c r="K534" i="1"/>
  <c r="L533" i="1"/>
  <c r="K533" i="1"/>
  <c r="L532" i="1"/>
  <c r="K532" i="1"/>
  <c r="L531" i="1"/>
  <c r="K531" i="1"/>
  <c r="L530" i="1"/>
  <c r="K530" i="1"/>
  <c r="L529" i="1"/>
  <c r="K529" i="1"/>
  <c r="L528" i="1"/>
  <c r="K528" i="1"/>
  <c r="L527" i="1"/>
  <c r="K527" i="1"/>
  <c r="L526" i="1"/>
  <c r="K526" i="1"/>
  <c r="L525" i="1"/>
  <c r="K525" i="1"/>
  <c r="L524" i="1"/>
  <c r="K524" i="1"/>
  <c r="L523" i="1"/>
  <c r="K523" i="1"/>
  <c r="L522" i="1"/>
  <c r="K522" i="1"/>
  <c r="L521" i="1"/>
  <c r="K521" i="1"/>
  <c r="L520" i="1"/>
  <c r="K520" i="1"/>
  <c r="L519" i="1"/>
  <c r="K519" i="1"/>
  <c r="L518" i="1"/>
  <c r="K518" i="1"/>
  <c r="L517" i="1"/>
  <c r="K517" i="1"/>
  <c r="L516" i="1"/>
  <c r="K516" i="1"/>
  <c r="L515" i="1"/>
  <c r="K515" i="1"/>
  <c r="L514" i="1"/>
  <c r="K514" i="1"/>
  <c r="L513" i="1"/>
  <c r="K513" i="1"/>
  <c r="L512" i="1"/>
  <c r="K512" i="1"/>
  <c r="L511" i="1"/>
  <c r="K511" i="1"/>
  <c r="L510" i="1"/>
  <c r="K510" i="1"/>
  <c r="L509" i="1"/>
  <c r="K509" i="1"/>
  <c r="L508" i="1"/>
  <c r="K508" i="1"/>
  <c r="L507" i="1"/>
  <c r="K507" i="1"/>
  <c r="L506" i="1"/>
  <c r="K506" i="1"/>
  <c r="L505" i="1"/>
  <c r="K505" i="1"/>
  <c r="L504" i="1"/>
  <c r="K504" i="1"/>
  <c r="L503" i="1"/>
  <c r="K503" i="1"/>
  <c r="L502" i="1"/>
  <c r="K502" i="1"/>
  <c r="L501" i="1"/>
  <c r="K501" i="1"/>
  <c r="L500" i="1"/>
  <c r="K500" i="1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1323" i="1"/>
  <c r="K1323" i="1"/>
  <c r="L393" i="1"/>
  <c r="K393" i="1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247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3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247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3" i="5"/>
  <c r="L1322" i="1"/>
  <c r="K1322" i="1"/>
  <c r="L1321" i="1"/>
  <c r="K1321" i="1"/>
  <c r="L1320" i="1"/>
  <c r="K1320" i="1"/>
  <c r="L1319" i="1"/>
  <c r="K1319" i="1"/>
  <c r="L1318" i="1"/>
  <c r="K1318" i="1"/>
  <c r="L1317" i="1"/>
  <c r="K1317" i="1"/>
  <c r="L1316" i="1"/>
  <c r="K1316" i="1"/>
  <c r="L1315" i="1"/>
  <c r="K1315" i="1"/>
  <c r="L1314" i="1"/>
  <c r="K1314" i="1"/>
  <c r="L1313" i="1"/>
  <c r="K1313" i="1"/>
  <c r="L1312" i="1"/>
  <c r="K1312" i="1"/>
  <c r="L1311" i="1"/>
  <c r="K1311" i="1"/>
  <c r="L1310" i="1"/>
  <c r="K1310" i="1"/>
  <c r="L1309" i="1"/>
  <c r="K1309" i="1"/>
  <c r="L1308" i="1"/>
  <c r="K1308" i="1"/>
  <c r="L1307" i="1"/>
  <c r="K1307" i="1"/>
  <c r="L1306" i="1"/>
  <c r="K1306" i="1"/>
  <c r="L1305" i="1"/>
  <c r="K1305" i="1"/>
  <c r="L1304" i="1"/>
  <c r="K1304" i="1"/>
  <c r="L1303" i="1"/>
  <c r="K1303" i="1"/>
  <c r="L1302" i="1"/>
  <c r="K1302" i="1"/>
  <c r="L1301" i="1"/>
  <c r="K1301" i="1"/>
  <c r="L1300" i="1"/>
  <c r="K1300" i="1"/>
  <c r="L1299" i="1"/>
  <c r="K1299" i="1"/>
  <c r="L1298" i="1"/>
  <c r="K1298" i="1"/>
  <c r="L1297" i="1"/>
  <c r="K1297" i="1"/>
  <c r="L1296" i="1"/>
  <c r="K1296" i="1"/>
  <c r="L1295" i="1"/>
  <c r="K1295" i="1"/>
  <c r="L1294" i="1"/>
  <c r="K1294" i="1"/>
  <c r="L1293" i="1"/>
  <c r="K1293" i="1"/>
  <c r="L1292" i="1"/>
  <c r="K1292" i="1"/>
  <c r="L1291" i="1"/>
  <c r="K1291" i="1"/>
  <c r="L1290" i="1"/>
  <c r="K1290" i="1"/>
  <c r="L1289" i="1"/>
  <c r="K1289" i="1"/>
  <c r="L1288" i="1"/>
  <c r="K1288" i="1"/>
  <c r="L1287" i="1"/>
  <c r="K1287" i="1"/>
  <c r="L1286" i="1"/>
  <c r="K1286" i="1"/>
  <c r="L1285" i="1"/>
  <c r="K1285" i="1"/>
  <c r="L1284" i="1"/>
  <c r="K1284" i="1"/>
  <c r="L1283" i="1"/>
  <c r="K1283" i="1"/>
  <c r="L1282" i="1"/>
  <c r="K1282" i="1"/>
  <c r="L1281" i="1"/>
  <c r="K1281" i="1"/>
  <c r="L1280" i="1"/>
  <c r="K1280" i="1"/>
  <c r="L1279" i="1"/>
  <c r="K1279" i="1"/>
  <c r="L1278" i="1"/>
  <c r="K1278" i="1"/>
  <c r="L1277" i="1"/>
  <c r="K1277" i="1"/>
  <c r="L1276" i="1"/>
  <c r="K1276" i="1"/>
  <c r="L1275" i="1"/>
  <c r="K1275" i="1"/>
  <c r="L1274" i="1"/>
  <c r="K1274" i="1"/>
  <c r="L1273" i="1"/>
  <c r="K1273" i="1"/>
  <c r="L1272" i="1"/>
  <c r="K1272" i="1"/>
  <c r="L1271" i="1"/>
  <c r="K1271" i="1"/>
  <c r="L1270" i="1"/>
  <c r="K1270" i="1"/>
  <c r="L1269" i="1"/>
  <c r="K1269" i="1"/>
  <c r="L1268" i="1"/>
  <c r="K1268" i="1"/>
  <c r="L1267" i="1"/>
  <c r="K1267" i="1"/>
  <c r="L1266" i="1"/>
  <c r="K1266" i="1"/>
  <c r="L1265" i="1"/>
  <c r="K1265" i="1"/>
  <c r="L1264" i="1"/>
  <c r="K1264" i="1"/>
  <c r="L1263" i="1"/>
  <c r="K1263" i="1"/>
  <c r="L1262" i="1"/>
  <c r="K1262" i="1"/>
  <c r="L1261" i="1"/>
  <c r="K1261" i="1"/>
  <c r="L1260" i="1"/>
  <c r="K1260" i="1"/>
  <c r="L1259" i="1"/>
  <c r="K1259" i="1"/>
  <c r="L1258" i="1"/>
  <c r="K1258" i="1"/>
  <c r="L1257" i="1"/>
  <c r="K1257" i="1"/>
  <c r="L1256" i="1"/>
  <c r="K1256" i="1"/>
  <c r="L1255" i="1"/>
  <c r="K1255" i="1"/>
  <c r="L1254" i="1"/>
  <c r="K1254" i="1"/>
  <c r="L1253" i="1"/>
  <c r="K1253" i="1"/>
  <c r="L1252" i="1"/>
  <c r="K1252" i="1"/>
  <c r="L1251" i="1"/>
  <c r="K1251" i="1"/>
  <c r="L1250" i="1"/>
  <c r="K1250" i="1"/>
  <c r="L1249" i="1"/>
  <c r="K1249" i="1"/>
  <c r="L1248" i="1"/>
  <c r="K1248" i="1"/>
  <c r="L1247" i="1"/>
  <c r="K1247" i="1"/>
  <c r="L1246" i="1"/>
  <c r="K1246" i="1"/>
  <c r="L1245" i="1"/>
  <c r="K1245" i="1"/>
  <c r="L1244" i="1"/>
  <c r="K1244" i="1"/>
  <c r="L1243" i="1"/>
  <c r="K1243" i="1"/>
  <c r="L1242" i="1"/>
  <c r="K1242" i="1"/>
  <c r="L1241" i="1"/>
  <c r="K1241" i="1"/>
  <c r="L1240" i="1"/>
  <c r="K1240" i="1"/>
  <c r="L1239" i="1"/>
  <c r="K1239" i="1"/>
  <c r="L1238" i="1"/>
  <c r="K1238" i="1"/>
  <c r="L1237" i="1"/>
  <c r="K1237" i="1"/>
  <c r="L1236" i="1"/>
  <c r="K1236" i="1"/>
  <c r="L1235" i="1"/>
  <c r="K1235" i="1"/>
  <c r="L1234" i="1"/>
  <c r="K1234" i="1"/>
  <c r="L1233" i="1"/>
  <c r="K1233" i="1"/>
  <c r="L1232" i="1"/>
  <c r="K1232" i="1"/>
  <c r="L1231" i="1"/>
  <c r="K1231" i="1"/>
  <c r="L1230" i="1"/>
  <c r="K1230" i="1"/>
  <c r="L1229" i="1"/>
  <c r="K1229" i="1"/>
  <c r="L1228" i="1"/>
  <c r="K1228" i="1"/>
  <c r="L1227" i="1"/>
  <c r="K1227" i="1"/>
  <c r="L1226" i="1"/>
  <c r="K1226" i="1"/>
  <c r="L1225" i="1"/>
  <c r="K1225" i="1"/>
  <c r="L1224" i="1"/>
  <c r="K1224" i="1"/>
  <c r="L1223" i="1"/>
  <c r="K1223" i="1"/>
  <c r="L1222" i="1"/>
  <c r="K1222" i="1"/>
  <c r="L1221" i="1"/>
  <c r="K1221" i="1"/>
  <c r="L1220" i="1"/>
  <c r="K1220" i="1"/>
  <c r="L1219" i="1"/>
  <c r="K1219" i="1"/>
  <c r="L1218" i="1"/>
  <c r="K1218" i="1"/>
  <c r="L1217" i="1"/>
  <c r="K1217" i="1"/>
  <c r="L1216" i="1"/>
  <c r="K1216" i="1"/>
  <c r="L1215" i="1"/>
  <c r="K1215" i="1"/>
  <c r="L1214" i="1"/>
  <c r="K1214" i="1"/>
  <c r="L1213" i="1"/>
  <c r="K1213" i="1"/>
  <c r="L1212" i="1"/>
  <c r="K1212" i="1"/>
  <c r="L1211" i="1"/>
  <c r="K1211" i="1"/>
  <c r="L1210" i="1"/>
  <c r="K1210" i="1"/>
  <c r="L1209" i="1"/>
  <c r="K1209" i="1"/>
  <c r="L1208" i="1"/>
  <c r="K1208" i="1"/>
  <c r="L1207" i="1"/>
  <c r="K1207" i="1"/>
  <c r="L1206" i="1"/>
  <c r="K1206" i="1"/>
  <c r="L1205" i="1"/>
  <c r="K1205" i="1"/>
  <c r="L1204" i="1"/>
  <c r="K1204" i="1"/>
  <c r="L1203" i="1"/>
  <c r="K1203" i="1"/>
  <c r="L1202" i="1"/>
  <c r="K1202" i="1"/>
  <c r="L1201" i="1"/>
  <c r="K1201" i="1"/>
  <c r="L1200" i="1"/>
  <c r="K1200" i="1"/>
  <c r="L1199" i="1"/>
  <c r="K1199" i="1"/>
  <c r="L1198" i="1"/>
  <c r="K1198" i="1"/>
  <c r="L1197" i="1"/>
  <c r="K1197" i="1"/>
  <c r="L1196" i="1"/>
  <c r="K1196" i="1"/>
  <c r="L1195" i="1"/>
  <c r="K1195" i="1"/>
  <c r="L1194" i="1"/>
  <c r="K1194" i="1"/>
  <c r="L1193" i="1"/>
  <c r="K1193" i="1"/>
  <c r="L1192" i="1"/>
  <c r="K1192" i="1"/>
  <c r="L1191" i="1"/>
  <c r="K1191" i="1"/>
  <c r="L1190" i="1"/>
  <c r="K1190" i="1"/>
  <c r="L1189" i="1"/>
  <c r="K1189" i="1"/>
  <c r="L1188" i="1"/>
  <c r="K1188" i="1"/>
  <c r="L1187" i="1"/>
  <c r="K1187" i="1"/>
  <c r="L1186" i="1"/>
  <c r="K1186" i="1"/>
  <c r="L1185" i="1"/>
  <c r="K1185" i="1"/>
  <c r="L1184" i="1"/>
  <c r="K1184" i="1"/>
  <c r="L1183" i="1"/>
  <c r="K1183" i="1"/>
  <c r="L1182" i="1"/>
  <c r="K1182" i="1"/>
  <c r="L1181" i="1"/>
  <c r="K1181" i="1"/>
  <c r="L1180" i="1"/>
  <c r="K1180" i="1"/>
  <c r="L1179" i="1"/>
  <c r="K1179" i="1"/>
  <c r="L1178" i="1"/>
  <c r="K1178" i="1"/>
  <c r="L1177" i="1"/>
  <c r="K1177" i="1"/>
  <c r="L1176" i="1"/>
  <c r="K1176" i="1"/>
  <c r="L1175" i="1"/>
  <c r="K1175" i="1"/>
  <c r="L1174" i="1"/>
  <c r="K1174" i="1"/>
  <c r="L1173" i="1"/>
  <c r="K1173" i="1"/>
  <c r="L1172" i="1"/>
  <c r="K1172" i="1"/>
  <c r="L1171" i="1"/>
  <c r="K1171" i="1"/>
  <c r="L1170" i="1"/>
  <c r="K1170" i="1"/>
  <c r="L1169" i="1"/>
  <c r="K1169" i="1"/>
  <c r="L1168" i="1"/>
  <c r="K1168" i="1"/>
  <c r="L1167" i="1"/>
  <c r="K1167" i="1"/>
  <c r="L1166" i="1"/>
  <c r="K1166" i="1"/>
  <c r="L1165" i="1"/>
  <c r="K1165" i="1"/>
  <c r="L1164" i="1"/>
  <c r="K1164" i="1"/>
  <c r="L1163" i="1"/>
  <c r="K1163" i="1"/>
  <c r="L1162" i="1"/>
  <c r="K1162" i="1"/>
  <c r="L1161" i="1"/>
  <c r="K1161" i="1"/>
  <c r="L1160" i="1"/>
  <c r="K1160" i="1"/>
  <c r="L1159" i="1"/>
  <c r="K1159" i="1"/>
  <c r="L1158" i="1"/>
  <c r="K1158" i="1"/>
  <c r="L1157" i="1"/>
  <c r="K1157" i="1"/>
  <c r="L1156" i="1"/>
  <c r="K1156" i="1"/>
  <c r="L1155" i="1"/>
  <c r="K1155" i="1"/>
  <c r="L1154" i="1"/>
  <c r="K1154" i="1"/>
  <c r="L1153" i="1"/>
  <c r="K1153" i="1"/>
  <c r="L1152" i="1"/>
  <c r="K1152" i="1"/>
  <c r="L1151" i="1"/>
  <c r="K1151" i="1"/>
  <c r="L1150" i="1"/>
  <c r="K1150" i="1"/>
  <c r="L1149" i="1"/>
  <c r="K1149" i="1"/>
  <c r="L1148" i="1"/>
  <c r="K1148" i="1"/>
  <c r="L1147" i="1"/>
  <c r="K1147" i="1"/>
  <c r="L1146" i="1"/>
  <c r="K1146" i="1"/>
  <c r="L1145" i="1"/>
  <c r="K1145" i="1"/>
  <c r="L1144" i="1"/>
  <c r="K1144" i="1"/>
  <c r="L1143" i="1"/>
  <c r="K114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1142" i="1"/>
  <c r="K1142" i="1"/>
  <c r="L290" i="1"/>
  <c r="K290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637" i="1"/>
  <c r="L11" i="1"/>
  <c r="L9" i="1"/>
  <c r="L18" i="1"/>
  <c r="L16" i="1"/>
  <c r="L5" i="1"/>
  <c r="L12" i="1"/>
  <c r="L50" i="1"/>
  <c r="L23" i="1"/>
  <c r="L24" i="1"/>
  <c r="L29" i="1"/>
  <c r="L27" i="1"/>
  <c r="L26" i="1"/>
  <c r="L20" i="1"/>
  <c r="L19" i="1"/>
  <c r="L44" i="1"/>
  <c r="L45" i="1"/>
  <c r="L51" i="1"/>
  <c r="L21" i="1"/>
  <c r="L22" i="1"/>
  <c r="L28" i="1"/>
  <c r="L30" i="1"/>
  <c r="L43" i="1"/>
  <c r="L36" i="1"/>
  <c r="L46" i="1"/>
  <c r="L41" i="1"/>
  <c r="L42" i="1"/>
  <c r="L37" i="1"/>
  <c r="L31" i="1"/>
  <c r="L33" i="1"/>
  <c r="L32" i="1"/>
  <c r="L47" i="1"/>
  <c r="L48" i="1"/>
  <c r="L55" i="1"/>
  <c r="L54" i="1"/>
  <c r="L53" i="1"/>
  <c r="L35" i="1"/>
  <c r="L38" i="1"/>
  <c r="L34" i="1"/>
  <c r="L40" i="1"/>
  <c r="L166" i="1"/>
  <c r="L39" i="1"/>
  <c r="L71" i="1"/>
  <c r="L59" i="1"/>
  <c r="L73" i="1"/>
  <c r="L63" i="1"/>
  <c r="L67" i="1"/>
  <c r="L60" i="1"/>
  <c r="L75" i="1"/>
  <c r="L56" i="1"/>
  <c r="L68" i="1"/>
  <c r="L57" i="1"/>
  <c r="L69" i="1"/>
  <c r="L70" i="1"/>
  <c r="L72" i="1"/>
  <c r="L62" i="1"/>
  <c r="L66" i="1"/>
  <c r="L76" i="1"/>
  <c r="L61" i="1"/>
  <c r="L77" i="1"/>
  <c r="L64" i="1"/>
  <c r="L58" i="1"/>
  <c r="L74" i="1"/>
  <c r="L65" i="1"/>
  <c r="L95" i="1"/>
  <c r="L83" i="1"/>
  <c r="L90" i="1"/>
  <c r="L87" i="1"/>
  <c r="L88" i="1"/>
  <c r="L84" i="1"/>
  <c r="L81" i="1"/>
  <c r="L89" i="1"/>
  <c r="L80" i="1"/>
  <c r="L82" i="1"/>
  <c r="L91" i="1"/>
  <c r="L92" i="1"/>
  <c r="L94" i="1"/>
  <c r="L93" i="1"/>
  <c r="L85" i="1"/>
  <c r="L86" i="1"/>
  <c r="L79" i="1"/>
  <c r="L78" i="1"/>
  <c r="L97" i="1"/>
  <c r="L96" i="1"/>
  <c r="L114" i="1"/>
  <c r="L107" i="1"/>
  <c r="L124" i="1"/>
  <c r="L100" i="1"/>
  <c r="L112" i="1"/>
  <c r="L113" i="1"/>
  <c r="L109" i="1"/>
  <c r="L115" i="1"/>
  <c r="L122" i="1"/>
  <c r="L133" i="1"/>
  <c r="L123" i="1"/>
  <c r="L126" i="1"/>
  <c r="L125" i="1"/>
  <c r="L108" i="1"/>
  <c r="L102" i="1"/>
  <c r="L101" i="1"/>
  <c r="L111" i="1"/>
  <c r="L106" i="1"/>
  <c r="L110" i="1"/>
  <c r="L104" i="1"/>
  <c r="L105" i="1"/>
  <c r="L99" i="1"/>
  <c r="L98" i="1"/>
  <c r="L103" i="1"/>
  <c r="L140" i="1"/>
  <c r="L118" i="1"/>
  <c r="L134" i="1"/>
  <c r="L120" i="1"/>
  <c r="L121" i="1"/>
  <c r="L129" i="1"/>
  <c r="L116" i="1"/>
  <c r="L185" i="1"/>
  <c r="L117" i="1"/>
  <c r="L157" i="1"/>
  <c r="L135" i="1"/>
  <c r="L139" i="1"/>
  <c r="L138" i="1"/>
  <c r="L128" i="1"/>
  <c r="L119" i="1"/>
  <c r="L144" i="1"/>
  <c r="L143" i="1"/>
  <c r="L127" i="1"/>
  <c r="L131" i="1"/>
  <c r="L145" i="1"/>
  <c r="L136" i="1"/>
  <c r="L137" i="1"/>
  <c r="L141" i="1"/>
  <c r="L142" i="1"/>
  <c r="L130" i="1"/>
  <c r="L132" i="1"/>
  <c r="L164" i="1"/>
  <c r="L148" i="1"/>
  <c r="L158" i="1"/>
  <c r="L149" i="1"/>
  <c r="L147" i="1"/>
  <c r="L159" i="1"/>
  <c r="L160" i="1"/>
  <c r="L162" i="1"/>
  <c r="L163" i="1"/>
  <c r="L161" i="1"/>
  <c r="L165" i="1"/>
  <c r="L146" i="1"/>
  <c r="L154" i="1"/>
  <c r="L190" i="1"/>
  <c r="L155" i="1"/>
  <c r="L153" i="1"/>
  <c r="L152" i="1"/>
  <c r="L151" i="1"/>
  <c r="L150" i="1"/>
  <c r="L156" i="1"/>
  <c r="L189" i="1"/>
  <c r="L167" i="1"/>
  <c r="L172" i="1"/>
  <c r="L186" i="1"/>
  <c r="L173" i="1"/>
  <c r="L187" i="1"/>
  <c r="L188" i="1"/>
  <c r="L168" i="1"/>
  <c r="L171" i="1"/>
  <c r="L170" i="1"/>
  <c r="L169" i="1"/>
  <c r="L184" i="1"/>
  <c r="L174" i="1"/>
  <c r="L181" i="1"/>
  <c r="L178" i="1"/>
  <c r="L193" i="1"/>
  <c r="L176" i="1"/>
  <c r="L177" i="1"/>
  <c r="L202" i="1"/>
  <c r="L203" i="1"/>
  <c r="L182" i="1"/>
  <c r="L179" i="1"/>
  <c r="L175" i="1"/>
  <c r="L183" i="1"/>
  <c r="L192" i="1"/>
  <c r="L191" i="1"/>
  <c r="L201" i="1"/>
  <c r="L180" i="1"/>
  <c r="L209" i="1"/>
  <c r="L194" i="1"/>
  <c r="L214" i="1"/>
  <c r="L221" i="1"/>
  <c r="L196" i="1"/>
  <c r="L204" i="1"/>
  <c r="L199" i="1"/>
  <c r="L200" i="1"/>
  <c r="L197" i="1"/>
  <c r="L195" i="1"/>
  <c r="L205" i="1"/>
  <c r="L206" i="1"/>
  <c r="L208" i="1"/>
  <c r="L207" i="1"/>
  <c r="L210" i="1"/>
  <c r="L213" i="1"/>
  <c r="L212" i="1"/>
  <c r="L215" i="1"/>
  <c r="L198" i="1"/>
  <c r="L211" i="1"/>
  <c r="L246" i="1"/>
  <c r="L252" i="1"/>
  <c r="L219" i="1"/>
  <c r="L220" i="1"/>
  <c r="L217" i="1"/>
  <c r="L244" i="1"/>
  <c r="L245" i="1"/>
  <c r="L251" i="1"/>
  <c r="L216" i="1"/>
  <c r="L218" i="1"/>
  <c r="L226" i="1"/>
  <c r="L234" i="1"/>
  <c r="L247" i="1"/>
  <c r="L235" i="1"/>
  <c r="L230" i="1"/>
  <c r="L231" i="1"/>
  <c r="L227" i="1"/>
  <c r="L224" i="1"/>
  <c r="L248" i="1"/>
  <c r="L254" i="1"/>
  <c r="L253" i="1"/>
  <c r="L222" i="1"/>
  <c r="L229" i="1"/>
  <c r="L225" i="1"/>
  <c r="L228" i="1"/>
  <c r="L233" i="1"/>
  <c r="L223" i="1"/>
  <c r="L266" i="1"/>
  <c r="L232" i="1"/>
  <c r="L242" i="1"/>
  <c r="L243" i="1"/>
  <c r="L240" i="1"/>
  <c r="L239" i="1"/>
  <c r="L237" i="1"/>
  <c r="L238" i="1"/>
  <c r="L261" i="1"/>
  <c r="L249" i="1"/>
  <c r="L250" i="1"/>
  <c r="L255" i="1"/>
  <c r="L256" i="1"/>
  <c r="L265" i="1"/>
  <c r="L260" i="1"/>
  <c r="L236" i="1"/>
  <c r="L264" i="1"/>
  <c r="L241" i="1"/>
  <c r="L267" i="1"/>
  <c r="L263" i="1"/>
  <c r="L262" i="1"/>
  <c r="L258" i="1"/>
  <c r="L259" i="1"/>
  <c r="L268" i="1"/>
  <c r="L278" i="1"/>
  <c r="L281" i="1"/>
  <c r="L288" i="1"/>
  <c r="L273" i="1"/>
  <c r="L286" i="1"/>
  <c r="L271" i="1"/>
  <c r="L270" i="1"/>
  <c r="L283" i="1"/>
  <c r="L284" i="1"/>
  <c r="L272" i="1"/>
  <c r="L282" i="1"/>
  <c r="L274" i="1"/>
  <c r="L275" i="1"/>
  <c r="L277" i="1"/>
  <c r="L276" i="1"/>
  <c r="L289" i="1"/>
  <c r="L269" i="1"/>
  <c r="L285" i="1"/>
  <c r="L287" i="1"/>
  <c r="L279" i="1"/>
  <c r="L280" i="1"/>
  <c r="L13" i="1"/>
  <c r="L14" i="1"/>
  <c r="L10" i="1"/>
  <c r="L7" i="1"/>
  <c r="L8" i="1"/>
  <c r="L6" i="1"/>
  <c r="L49" i="1"/>
  <c r="L52" i="1"/>
  <c r="L25" i="1"/>
  <c r="L257" i="1"/>
  <c r="L4" i="1"/>
  <c r="L17" i="1"/>
  <c r="L15" i="1"/>
  <c r="K101" i="1"/>
  <c r="K111" i="1"/>
  <c r="K106" i="1"/>
  <c r="K110" i="1"/>
  <c r="K104" i="1"/>
  <c r="K105" i="1"/>
  <c r="K99" i="1"/>
  <c r="K98" i="1"/>
  <c r="K103" i="1"/>
  <c r="K140" i="1"/>
  <c r="K118" i="1"/>
  <c r="K134" i="1"/>
  <c r="K120" i="1"/>
  <c r="K121" i="1"/>
  <c r="K129" i="1"/>
  <c r="K116" i="1"/>
  <c r="K185" i="1"/>
  <c r="K117" i="1"/>
  <c r="K157" i="1"/>
  <c r="K135" i="1"/>
  <c r="K139" i="1"/>
  <c r="K138" i="1"/>
  <c r="K128" i="1"/>
  <c r="K119" i="1"/>
  <c r="K144" i="1"/>
  <c r="K143" i="1"/>
  <c r="K127" i="1"/>
  <c r="K131" i="1"/>
  <c r="K145" i="1"/>
  <c r="K136" i="1"/>
  <c r="K137" i="1"/>
  <c r="K141" i="1"/>
  <c r="K142" i="1"/>
  <c r="K130" i="1"/>
  <c r="K132" i="1"/>
  <c r="K164" i="1"/>
  <c r="K148" i="1"/>
  <c r="K158" i="1"/>
  <c r="K149" i="1"/>
  <c r="K147" i="1"/>
  <c r="K159" i="1"/>
  <c r="K160" i="1"/>
  <c r="K162" i="1"/>
  <c r="K163" i="1"/>
  <c r="K161" i="1"/>
  <c r="K165" i="1"/>
  <c r="K146" i="1"/>
  <c r="K154" i="1"/>
  <c r="K190" i="1"/>
  <c r="K155" i="1"/>
  <c r="K153" i="1"/>
  <c r="K152" i="1"/>
  <c r="K151" i="1"/>
  <c r="K150" i="1"/>
  <c r="K156" i="1"/>
  <c r="K189" i="1"/>
  <c r="K167" i="1"/>
  <c r="K172" i="1"/>
  <c r="K186" i="1"/>
  <c r="K173" i="1"/>
  <c r="K187" i="1"/>
  <c r="K188" i="1"/>
  <c r="K168" i="1"/>
  <c r="K171" i="1"/>
  <c r="K170" i="1"/>
  <c r="K169" i="1"/>
  <c r="K184" i="1"/>
  <c r="K174" i="1"/>
  <c r="K181" i="1"/>
  <c r="K178" i="1"/>
  <c r="K193" i="1"/>
  <c r="K176" i="1"/>
  <c r="K177" i="1"/>
  <c r="K202" i="1"/>
  <c r="K203" i="1"/>
  <c r="K182" i="1"/>
  <c r="K179" i="1"/>
  <c r="K175" i="1"/>
  <c r="K183" i="1"/>
  <c r="K192" i="1"/>
  <c r="K191" i="1"/>
  <c r="K201" i="1"/>
  <c r="K180" i="1"/>
  <c r="K209" i="1"/>
  <c r="K194" i="1"/>
  <c r="K214" i="1"/>
  <c r="K221" i="1"/>
  <c r="K196" i="1"/>
  <c r="K204" i="1"/>
  <c r="K199" i="1"/>
  <c r="K200" i="1"/>
  <c r="K197" i="1"/>
  <c r="K195" i="1"/>
  <c r="K205" i="1"/>
  <c r="K206" i="1"/>
  <c r="K208" i="1"/>
  <c r="K207" i="1"/>
  <c r="K210" i="1"/>
  <c r="K213" i="1"/>
  <c r="K212" i="1"/>
  <c r="K215" i="1"/>
  <c r="K198" i="1"/>
  <c r="K211" i="1"/>
  <c r="K246" i="1"/>
  <c r="K252" i="1"/>
  <c r="K219" i="1"/>
  <c r="K220" i="1"/>
  <c r="K217" i="1"/>
  <c r="K244" i="1"/>
  <c r="K245" i="1"/>
  <c r="K251" i="1"/>
  <c r="K216" i="1"/>
  <c r="K218" i="1"/>
  <c r="K226" i="1"/>
  <c r="K234" i="1"/>
  <c r="K247" i="1"/>
  <c r="K235" i="1"/>
  <c r="K230" i="1"/>
  <c r="K231" i="1"/>
  <c r="K227" i="1"/>
  <c r="K224" i="1"/>
  <c r="K248" i="1"/>
  <c r="K254" i="1"/>
  <c r="K253" i="1"/>
  <c r="K222" i="1"/>
  <c r="K229" i="1"/>
  <c r="K225" i="1"/>
  <c r="K228" i="1"/>
  <c r="K233" i="1"/>
  <c r="K223" i="1"/>
  <c r="K266" i="1"/>
  <c r="K232" i="1"/>
  <c r="K242" i="1"/>
  <c r="K243" i="1"/>
  <c r="K240" i="1"/>
  <c r="K239" i="1"/>
  <c r="K237" i="1"/>
  <c r="K238" i="1"/>
  <c r="K261" i="1"/>
  <c r="K249" i="1"/>
  <c r="K250" i="1"/>
  <c r="K255" i="1"/>
  <c r="K256" i="1"/>
  <c r="K265" i="1"/>
  <c r="K260" i="1"/>
  <c r="K236" i="1"/>
  <c r="K264" i="1"/>
  <c r="K241" i="1"/>
  <c r="K267" i="1"/>
  <c r="K263" i="1"/>
  <c r="K262" i="1"/>
  <c r="K258" i="1"/>
  <c r="K259" i="1"/>
  <c r="K268" i="1"/>
  <c r="K278" i="1"/>
  <c r="K281" i="1"/>
  <c r="K288" i="1"/>
  <c r="K273" i="1"/>
  <c r="K286" i="1"/>
  <c r="K271" i="1"/>
  <c r="K270" i="1"/>
  <c r="K283" i="1"/>
  <c r="K284" i="1"/>
  <c r="K272" i="1"/>
  <c r="K282" i="1"/>
  <c r="K274" i="1"/>
  <c r="K275" i="1"/>
  <c r="K277" i="1"/>
  <c r="K276" i="1"/>
  <c r="K289" i="1"/>
  <c r="K269" i="1"/>
  <c r="K285" i="1"/>
  <c r="K287" i="1"/>
  <c r="K279" i="1"/>
  <c r="K280" i="1"/>
  <c r="K27" i="1"/>
  <c r="K26" i="1"/>
  <c r="K20" i="1"/>
  <c r="K19" i="1"/>
  <c r="K44" i="1"/>
  <c r="K45" i="1"/>
  <c r="K51" i="1"/>
  <c r="K21" i="1"/>
  <c r="K22" i="1"/>
  <c r="K28" i="1"/>
  <c r="K30" i="1"/>
  <c r="K43" i="1"/>
  <c r="K36" i="1"/>
  <c r="K46" i="1"/>
  <c r="K41" i="1"/>
  <c r="K42" i="1"/>
  <c r="K37" i="1"/>
  <c r="K31" i="1"/>
  <c r="K33" i="1"/>
  <c r="K32" i="1"/>
  <c r="K47" i="1"/>
  <c r="K48" i="1"/>
  <c r="K55" i="1"/>
  <c r="K54" i="1"/>
  <c r="K53" i="1"/>
  <c r="K35" i="1"/>
  <c r="K38" i="1"/>
  <c r="K34" i="1"/>
  <c r="K40" i="1"/>
  <c r="K166" i="1"/>
  <c r="K39" i="1"/>
  <c r="K71" i="1"/>
  <c r="K59" i="1"/>
  <c r="K73" i="1"/>
  <c r="K63" i="1"/>
  <c r="K67" i="1"/>
  <c r="K60" i="1"/>
  <c r="K75" i="1"/>
  <c r="K56" i="1"/>
  <c r="K68" i="1"/>
  <c r="K57" i="1"/>
  <c r="K69" i="1"/>
  <c r="K70" i="1"/>
  <c r="K72" i="1"/>
  <c r="K62" i="1"/>
  <c r="K66" i="1"/>
  <c r="K76" i="1"/>
  <c r="K61" i="1"/>
  <c r="K77" i="1"/>
  <c r="K64" i="1"/>
  <c r="K58" i="1"/>
  <c r="K74" i="1"/>
  <c r="K65" i="1"/>
  <c r="K95" i="1"/>
  <c r="K83" i="1"/>
  <c r="K90" i="1"/>
  <c r="K87" i="1"/>
  <c r="K88" i="1"/>
  <c r="K84" i="1"/>
  <c r="K81" i="1"/>
  <c r="K89" i="1"/>
  <c r="K80" i="1"/>
  <c r="K82" i="1"/>
  <c r="K91" i="1"/>
  <c r="K92" i="1"/>
  <c r="K94" i="1"/>
  <c r="K93" i="1"/>
  <c r="K85" i="1"/>
  <c r="K86" i="1"/>
  <c r="K79" i="1"/>
  <c r="K78" i="1"/>
  <c r="K97" i="1"/>
  <c r="K96" i="1"/>
  <c r="K114" i="1"/>
  <c r="K107" i="1"/>
  <c r="K124" i="1"/>
  <c r="K100" i="1"/>
  <c r="K112" i="1"/>
  <c r="K113" i="1"/>
  <c r="K109" i="1"/>
  <c r="K115" i="1"/>
  <c r="K122" i="1"/>
  <c r="K133" i="1"/>
  <c r="K123" i="1"/>
  <c r="K126" i="1"/>
  <c r="K125" i="1"/>
  <c r="K108" i="1"/>
  <c r="K102" i="1"/>
  <c r="K13" i="1"/>
  <c r="K14" i="1"/>
  <c r="K10" i="1"/>
  <c r="K7" i="1"/>
  <c r="K8" i="1"/>
  <c r="K6" i="1"/>
  <c r="K49" i="1"/>
  <c r="K52" i="1"/>
  <c r="K25" i="1"/>
  <c r="K11" i="1"/>
  <c r="K9" i="1"/>
  <c r="K18" i="1"/>
  <c r="K16" i="1"/>
  <c r="K5" i="1"/>
  <c r="K12" i="1"/>
  <c r="K50" i="1"/>
  <c r="K23" i="1"/>
  <c r="K24" i="1"/>
  <c r="K29" i="1"/>
  <c r="K17" i="1"/>
  <c r="K257" i="1"/>
  <c r="K15" i="1"/>
  <c r="K4" i="1"/>
  <c r="C4" i="3" l="1"/>
  <c r="B7" i="3"/>
  <c r="E124" i="2"/>
  <c r="F124" i="2"/>
  <c r="E125" i="2"/>
  <c r="F125" i="2"/>
  <c r="E126" i="2"/>
  <c r="F126" i="2"/>
  <c r="E127" i="2"/>
  <c r="F127" i="2"/>
  <c r="E128" i="2"/>
  <c r="A139" i="2" s="1"/>
  <c r="F128" i="2"/>
  <c r="F132" i="2"/>
  <c r="G132" i="2"/>
  <c r="F133" i="2"/>
  <c r="G133" i="2"/>
  <c r="A142" i="2" s="1"/>
  <c r="F134" i="2"/>
  <c r="G134" i="2"/>
  <c r="F135" i="2"/>
  <c r="G135" i="2"/>
  <c r="F136" i="2"/>
  <c r="A143" i="2" s="1"/>
  <c r="G136" i="2"/>
  <c r="B62" i="2"/>
  <c r="A39" i="2"/>
  <c r="A30" i="2"/>
  <c r="A31" i="2"/>
  <c r="B63" i="2"/>
  <c r="C63" i="2"/>
  <c r="A50" i="2"/>
  <c r="C64" i="2"/>
  <c r="A45" i="2"/>
  <c r="B65" i="2"/>
  <c r="A32" i="2"/>
  <c r="C67" i="2"/>
  <c r="A49" i="2"/>
  <c r="B68" i="2"/>
  <c r="A36" i="2"/>
  <c r="A44" i="2"/>
  <c r="C68" i="2"/>
  <c r="C71" i="2"/>
  <c r="A48" i="2"/>
  <c r="D26" i="2"/>
  <c r="H26" i="2" s="1"/>
  <c r="A38" i="2" s="1"/>
  <c r="H25" i="2"/>
  <c r="B8" i="3" l="1"/>
  <c r="B9" i="3" s="1"/>
  <c r="C7" i="3"/>
  <c r="C8" i="3"/>
  <c r="E4" i="3"/>
  <c r="A140" i="2"/>
  <c r="A141" i="2"/>
  <c r="B73" i="2"/>
  <c r="A33" i="2"/>
  <c r="C9" i="3" l="1"/>
  <c r="D9" i="3" s="1"/>
  <c r="D7" i="3"/>
  <c r="D8" i="3"/>
  <c r="F4" i="3"/>
  <c r="H4" i="3" l="1"/>
  <c r="F7" i="3"/>
  <c r="E8" i="3"/>
  <c r="F8" i="3"/>
  <c r="E7" i="3"/>
  <c r="I4" i="3" l="1"/>
  <c r="H7" i="3"/>
  <c r="F9" i="3"/>
  <c r="G7" i="3"/>
  <c r="G8" i="3"/>
  <c r="E9" i="3"/>
  <c r="I7" i="3" l="1"/>
  <c r="I8" i="3"/>
  <c r="G9" i="3"/>
  <c r="K4" i="3"/>
  <c r="H8" i="3"/>
  <c r="I9" i="3" l="1"/>
  <c r="J7" i="3"/>
  <c r="L4" i="3"/>
  <c r="J8" i="3"/>
  <c r="H9" i="3"/>
  <c r="J9" i="3" l="1"/>
  <c r="N4" i="3"/>
  <c r="K7" i="3"/>
  <c r="K8" i="3"/>
  <c r="L8" i="3"/>
  <c r="L7" i="3"/>
  <c r="O4" i="3" l="1"/>
  <c r="N7" i="3"/>
  <c r="O8" i="3"/>
  <c r="O7" i="3"/>
  <c r="N8" i="3"/>
  <c r="K9" i="3"/>
  <c r="M8" i="3"/>
  <c r="M7" i="3"/>
  <c r="L9" i="3"/>
  <c r="O9" i="3" l="1"/>
  <c r="P7" i="3"/>
  <c r="N9" i="3"/>
  <c r="M9" i="3"/>
  <c r="P8" i="3"/>
  <c r="P9" i="3" l="1"/>
</calcChain>
</file>

<file path=xl/sharedStrings.xml><?xml version="1.0" encoding="utf-8"?>
<sst xmlns="http://schemas.openxmlformats.org/spreadsheetml/2006/main" count="14548" uniqueCount="1962">
  <si>
    <t>Resultado de la Produccion</t>
  </si>
  <si>
    <t>organizacion: FABRICA ZONA 7</t>
  </si>
  <si>
    <t>no_documento</t>
  </si>
  <si>
    <t>fecha_plan</t>
  </si>
  <si>
    <t>fecha_fin</t>
  </si>
  <si>
    <t>codigo_producido</t>
  </si>
  <si>
    <t>producido</t>
  </si>
  <si>
    <t>centro</t>
  </si>
  <si>
    <t>cant_plan</t>
  </si>
  <si>
    <t>total_producido</t>
  </si>
  <si>
    <t>u_buenas</t>
  </si>
  <si>
    <t>u_malas</t>
  </si>
  <si>
    <t>rendimiento_%</t>
  </si>
  <si>
    <t>merma_%</t>
  </si>
  <si>
    <t>estado</t>
  </si>
  <si>
    <t>organizacion</t>
  </si>
  <si>
    <t>OPC009488</t>
  </si>
  <si>
    <t>PR045</t>
  </si>
  <si>
    <t>ALMIBAR PARA PASTEL</t>
  </si>
  <si>
    <t>CENTRO INTERMEDIO ZONA 7</t>
  </si>
  <si>
    <t>Completado</t>
  </si>
  <si>
    <t>FABRICA ZONA 7</t>
  </si>
  <si>
    <t>PRP-001372</t>
  </si>
  <si>
    <t>11111</t>
  </si>
  <si>
    <t>AZUCAR GLASS PROCESO</t>
  </si>
  <si>
    <t>PRP-001374</t>
  </si>
  <si>
    <t>OPM015720</t>
  </si>
  <si>
    <t>041</t>
  </si>
  <si>
    <t>BASES RELAMPAGO</t>
  </si>
  <si>
    <t>OPM015754</t>
  </si>
  <si>
    <t>OPM015766</t>
  </si>
  <si>
    <t>OPM015798</t>
  </si>
  <si>
    <t>OPM015816</t>
  </si>
  <si>
    <t>OPM015834</t>
  </si>
  <si>
    <t>OPM015851</t>
  </si>
  <si>
    <t>OPM015885</t>
  </si>
  <si>
    <t>ODP090372</t>
  </si>
  <si>
    <t>842</t>
  </si>
  <si>
    <t>CHAMPUPOLVOROSA 31</t>
  </si>
  <si>
    <t>Centro 2</t>
  </si>
  <si>
    <t>ODP090532</t>
  </si>
  <si>
    <t>ODP090970</t>
  </si>
  <si>
    <t>ODP091157</t>
  </si>
  <si>
    <t>ODP091088</t>
  </si>
  <si>
    <t>841</t>
  </si>
  <si>
    <t>CHAMPURRADA SIN GLUTEN 31</t>
  </si>
  <si>
    <t>SIN GLUTEN</t>
  </si>
  <si>
    <t>ODP090252</t>
  </si>
  <si>
    <t>834</t>
  </si>
  <si>
    <t>CHIQUIADORES 12</t>
  </si>
  <si>
    <t>ODP090367</t>
  </si>
  <si>
    <t>ODP090531</t>
  </si>
  <si>
    <t>ODP091053</t>
  </si>
  <si>
    <t>ODP091186</t>
  </si>
  <si>
    <t>S042</t>
  </si>
  <si>
    <t>CHURROS INTEGRALES</t>
  </si>
  <si>
    <t>ODP091194</t>
  </si>
  <si>
    <t>ODP091460</t>
  </si>
  <si>
    <t>ODP090214</t>
  </si>
  <si>
    <t>S155</t>
  </si>
  <si>
    <t>CONCHA GOLEADORA</t>
  </si>
  <si>
    <t>Centro 6</t>
  </si>
  <si>
    <t>ODP090279</t>
  </si>
  <si>
    <t>ODP090564</t>
  </si>
  <si>
    <t>ODP090824</t>
  </si>
  <si>
    <t>ODP090223</t>
  </si>
  <si>
    <t>326</t>
  </si>
  <si>
    <t>CORONA 34</t>
  </si>
  <si>
    <t>ODP090271</t>
  </si>
  <si>
    <t>ODP090378</t>
  </si>
  <si>
    <t>ODP090462</t>
  </si>
  <si>
    <t>ODP090553</t>
  </si>
  <si>
    <t>ODP090706</t>
  </si>
  <si>
    <t>ODP090994</t>
  </si>
  <si>
    <t>ODP091074</t>
  </si>
  <si>
    <t>ODP091168</t>
  </si>
  <si>
    <t>ODP091281</t>
  </si>
  <si>
    <t>ODP091304</t>
  </si>
  <si>
    <t>ODP091380</t>
  </si>
  <si>
    <t>ODP091502</t>
  </si>
  <si>
    <t>OPM015776</t>
  </si>
  <si>
    <t>0021</t>
  </si>
  <si>
    <t>CORONA (Coronitas)</t>
  </si>
  <si>
    <t>OPM015862</t>
  </si>
  <si>
    <t>OPC009396</t>
  </si>
  <si>
    <t>035</t>
  </si>
  <si>
    <t>CREMA PASTELERA</t>
  </si>
  <si>
    <t>OPC009425</t>
  </si>
  <si>
    <t>OPC009446</t>
  </si>
  <si>
    <t>OPC009458</t>
  </si>
  <si>
    <t>OPC009474</t>
  </si>
  <si>
    <t>OPC009483</t>
  </si>
  <si>
    <t>OPC009497</t>
  </si>
  <si>
    <t>OPC009514</t>
  </si>
  <si>
    <t>ODP090384</t>
  </si>
  <si>
    <t>111</t>
  </si>
  <si>
    <t>CUBILETE MEDIANO 02</t>
  </si>
  <si>
    <t>Centro 3</t>
  </si>
  <si>
    <t>ODP090537</t>
  </si>
  <si>
    <t>ODP091058</t>
  </si>
  <si>
    <t>ODP091355</t>
  </si>
  <si>
    <t>ODP090212</t>
  </si>
  <si>
    <t>S150</t>
  </si>
  <si>
    <t>DONA UNIDAD</t>
  </si>
  <si>
    <t>ODP090213</t>
  </si>
  <si>
    <t>ODP090239</t>
  </si>
  <si>
    <t>ODP090240</t>
  </si>
  <si>
    <t>ODP090277</t>
  </si>
  <si>
    <t>ODP090278</t>
  </si>
  <si>
    <t>ODP090373</t>
  </si>
  <si>
    <t>ODP090470</t>
  </si>
  <si>
    <t>ODP090471</t>
  </si>
  <si>
    <t>ODP090562</t>
  </si>
  <si>
    <t>ODP090563</t>
  </si>
  <si>
    <t>ODP090712</t>
  </si>
  <si>
    <t>ODP090713</t>
  </si>
  <si>
    <t>ODP090736</t>
  </si>
  <si>
    <t>ODP090828</t>
  </si>
  <si>
    <t>ODP091173</t>
  </si>
  <si>
    <t>ODP091174</t>
  </si>
  <si>
    <t>ODP091192</t>
  </si>
  <si>
    <t>ODP091193</t>
  </si>
  <si>
    <t>ODP091291</t>
  </si>
  <si>
    <t>ODP091292</t>
  </si>
  <si>
    <t>ODP091300</t>
  </si>
  <si>
    <t>ODP091388</t>
  </si>
  <si>
    <t>ODP091389</t>
  </si>
  <si>
    <t>ODP091490</t>
  </si>
  <si>
    <t>ODP090207</t>
  </si>
  <si>
    <t>406</t>
  </si>
  <si>
    <t>EMPANADA DE LECHE</t>
  </si>
  <si>
    <t>ODP090237</t>
  </si>
  <si>
    <t>ODP090272</t>
  </si>
  <si>
    <t>ODP090377</t>
  </si>
  <si>
    <t>ODP090463</t>
  </si>
  <si>
    <t>ODP090555</t>
  </si>
  <si>
    <t>ODP090707</t>
  </si>
  <si>
    <t>ODP090731</t>
  </si>
  <si>
    <t>ODP090817</t>
  </si>
  <si>
    <t>ODP090995</t>
  </si>
  <si>
    <t>ODP091076</t>
  </si>
  <si>
    <t>ODP091169</t>
  </si>
  <si>
    <t>ODP091190</t>
  </si>
  <si>
    <t>ODP091282</t>
  </si>
  <si>
    <t>ODP091382</t>
  </si>
  <si>
    <t>ODP091482</t>
  </si>
  <si>
    <t>ODP090368</t>
  </si>
  <si>
    <t>S104</t>
  </si>
  <si>
    <t>GALLETA CORONA DE VAINILLA 10 UNID BOLSA</t>
  </si>
  <si>
    <t>ODP090445</t>
  </si>
  <si>
    <t>ODP090688</t>
  </si>
  <si>
    <t>ODP090253</t>
  </si>
  <si>
    <t>S102</t>
  </si>
  <si>
    <t>GALLETA ROSCA DE MANTEQUILLA 10 UNID BOLSA</t>
  </si>
  <si>
    <t>ODP090475</t>
  </si>
  <si>
    <t>ODP090479</t>
  </si>
  <si>
    <t>ODP091056</t>
  </si>
  <si>
    <t>ODP090369</t>
  </si>
  <si>
    <t>S103</t>
  </si>
  <si>
    <t>GALLETAS DE MANTEQUILLA Y NARANJA 10 UNID BOLSA</t>
  </si>
  <si>
    <t>ODP090444</t>
  </si>
  <si>
    <t>ODP091057</t>
  </si>
  <si>
    <t>ODP091185</t>
  </si>
  <si>
    <t>ODP090234</t>
  </si>
  <si>
    <t>714</t>
  </si>
  <si>
    <t>MAGDALENA AMAPOLA 11</t>
  </si>
  <si>
    <t>ODP090247</t>
  </si>
  <si>
    <t>ODP090923</t>
  </si>
  <si>
    <t>ODP091371</t>
  </si>
  <si>
    <t>ODP091467</t>
  </si>
  <si>
    <t>ODP090196</t>
  </si>
  <si>
    <t>702</t>
  </si>
  <si>
    <t>MAGDALENA CARAMELO</t>
  </si>
  <si>
    <t>ODP090232</t>
  </si>
  <si>
    <t>ODP090257</t>
  </si>
  <si>
    <t>ODP091369</t>
  </si>
  <si>
    <t>ODP091465</t>
  </si>
  <si>
    <t>ODP091164</t>
  </si>
  <si>
    <t>723</t>
  </si>
  <si>
    <t>MAGDALENA DE CHOCOLATE Y CARAMELO</t>
  </si>
  <si>
    <t>ODP091266</t>
  </si>
  <si>
    <t>ODP091468</t>
  </si>
  <si>
    <t>ODP090197</t>
  </si>
  <si>
    <t>711</t>
  </si>
  <si>
    <t>MAGDALENA DE NARANJA</t>
  </si>
  <si>
    <t>ODP090572</t>
  </si>
  <si>
    <t>ODP091370</t>
  </si>
  <si>
    <t>ODP091501</t>
  </si>
  <si>
    <t>ODP090195</t>
  </si>
  <si>
    <t>701</t>
  </si>
  <si>
    <t>MAGDALENA MARMOLEADA 11</t>
  </si>
  <si>
    <t>ODP090231</t>
  </si>
  <si>
    <t>ODP090256</t>
  </si>
  <si>
    <t>ODP090447</t>
  </si>
  <si>
    <t>ODP090689</t>
  </si>
  <si>
    <t>ODP091368</t>
  </si>
  <si>
    <t>ODP091464</t>
  </si>
  <si>
    <t>OPC009390</t>
  </si>
  <si>
    <t>038</t>
  </si>
  <si>
    <t>MANJAR AMARILLO C02</t>
  </si>
  <si>
    <t>OPC009391</t>
  </si>
  <si>
    <t>OPC009397</t>
  </si>
  <si>
    <t>OPC009398</t>
  </si>
  <si>
    <t>OPC009415</t>
  </si>
  <si>
    <t>OPC009424</t>
  </si>
  <si>
    <t>OPC009426</t>
  </si>
  <si>
    <t>OPC009427</t>
  </si>
  <si>
    <t>OPC009434</t>
  </si>
  <si>
    <t>OPC009435</t>
  </si>
  <si>
    <t>OPC009447</t>
  </si>
  <si>
    <t>OPC009448</t>
  </si>
  <si>
    <t>OPC009450</t>
  </si>
  <si>
    <t>OPC009451</t>
  </si>
  <si>
    <t>OPC009459</t>
  </si>
  <si>
    <t>OPC009460</t>
  </si>
  <si>
    <t>OPC009475</t>
  </si>
  <si>
    <t>OPC009481</t>
  </si>
  <si>
    <t>OPC009482</t>
  </si>
  <si>
    <t>OPC009484</t>
  </si>
  <si>
    <t>OPC009485</t>
  </si>
  <si>
    <t>OPC009486</t>
  </si>
  <si>
    <t>OPC009487</t>
  </si>
  <si>
    <t>-</t>
  </si>
  <si>
    <t>OPC009499</t>
  </si>
  <si>
    <t>OPC009507</t>
  </si>
  <si>
    <t>OPC009508</t>
  </si>
  <si>
    <t>OPC009515</t>
  </si>
  <si>
    <t>OPC009516</t>
  </si>
  <si>
    <t>OPM015813</t>
  </si>
  <si>
    <t>0012</t>
  </si>
  <si>
    <t>MASA CONCHA MEJICANO</t>
  </si>
  <si>
    <t>OPM015753</t>
  </si>
  <si>
    <t>009</t>
  </si>
  <si>
    <t>MASA DONA</t>
  </si>
  <si>
    <t>OPM015755</t>
  </si>
  <si>
    <t>OPM015765</t>
  </si>
  <si>
    <t>OPM015775</t>
  </si>
  <si>
    <t>OPM015797</t>
  </si>
  <si>
    <t>OPM015815</t>
  </si>
  <si>
    <t>OPM015850</t>
  </si>
  <si>
    <t>OPM015865</t>
  </si>
  <si>
    <t>OPM015875</t>
  </si>
  <si>
    <t>OPM015884</t>
  </si>
  <si>
    <t>OPM015887</t>
  </si>
  <si>
    <t>OPM015721</t>
  </si>
  <si>
    <t>PP012</t>
  </si>
  <si>
    <t>MASA DONA PREMEZCLA</t>
  </si>
  <si>
    <t>OPM015799</t>
  </si>
  <si>
    <t>OPM015854</t>
  </si>
  <si>
    <t>OPM015719</t>
  </si>
  <si>
    <t>001</t>
  </si>
  <si>
    <t>MASA MADRE DULCE C04</t>
  </si>
  <si>
    <t>OPM015725</t>
  </si>
  <si>
    <t>OPM015779</t>
  </si>
  <si>
    <t>OPM015811</t>
  </si>
  <si>
    <t>OPM015724</t>
  </si>
  <si>
    <t>0013</t>
  </si>
  <si>
    <t>MASA MILHOJA C02</t>
  </si>
  <si>
    <t>OPM015764</t>
  </si>
  <si>
    <t>OPM015796</t>
  </si>
  <si>
    <t>OPM015817</t>
  </si>
  <si>
    <t>OPM015832</t>
  </si>
  <si>
    <t>OPM015849</t>
  </si>
  <si>
    <t>OPM015864</t>
  </si>
  <si>
    <t>OPM015883</t>
  </si>
  <si>
    <t>OPM015722</t>
  </si>
  <si>
    <t>PP004</t>
  </si>
  <si>
    <t>MASA PARA GALLETAS</t>
  </si>
  <si>
    <t>OPM015778</t>
  </si>
  <si>
    <t>OPM015800</t>
  </si>
  <si>
    <t>OPM015888</t>
  </si>
  <si>
    <t>ODP090236</t>
  </si>
  <si>
    <t>403</t>
  </si>
  <si>
    <t>MILHOJAS 06</t>
  </si>
  <si>
    <t>ODP090375</t>
  </si>
  <si>
    <t>ODP090554</t>
  </si>
  <si>
    <t>ODP090730</t>
  </si>
  <si>
    <t>ODP090905</t>
  </si>
  <si>
    <t>ODP091075</t>
  </si>
  <si>
    <t>ODP091189</t>
  </si>
  <si>
    <t>ODP091379</t>
  </si>
  <si>
    <t>T318</t>
  </si>
  <si>
    <t>MUFFIN DE NARANJA</t>
  </si>
  <si>
    <t>ODP090539</t>
  </si>
  <si>
    <t>116</t>
  </si>
  <si>
    <t>MUFFIN GRANDE CHOCOLATE</t>
  </si>
  <si>
    <t>ODP090892</t>
  </si>
  <si>
    <t>ODP091060</t>
  </si>
  <si>
    <t>ODP090383</t>
  </si>
  <si>
    <t>115</t>
  </si>
  <si>
    <t>MUFFIN GRANDE VAINILLA</t>
  </si>
  <si>
    <t>ODP090538</t>
  </si>
  <si>
    <t>ODP090891</t>
  </si>
  <si>
    <t>ODP091366</t>
  </si>
  <si>
    <t>ODP090245</t>
  </si>
  <si>
    <t>903</t>
  </si>
  <si>
    <t>PACIENCIAS 16</t>
  </si>
  <si>
    <t>ODP090797</t>
  </si>
  <si>
    <t>ODP090883</t>
  </si>
  <si>
    <t>ODP090919</t>
  </si>
  <si>
    <t>ODP090924</t>
  </si>
  <si>
    <t>ODP090971</t>
  </si>
  <si>
    <t>ODP091054</t>
  </si>
  <si>
    <t>ODP091158</t>
  </si>
  <si>
    <t>ODP091255</t>
  </si>
  <si>
    <t>ODP091359</t>
  </si>
  <si>
    <t>ODP091456</t>
  </si>
  <si>
    <t>ODP090557</t>
  </si>
  <si>
    <t>653</t>
  </si>
  <si>
    <t>PALITOS DE QUESO 13</t>
  </si>
  <si>
    <t>ODP091078</t>
  </si>
  <si>
    <t>642</t>
  </si>
  <si>
    <t>PALITOS SIMPLES</t>
  </si>
  <si>
    <t>ODP091171</t>
  </si>
  <si>
    <t>ODP091284</t>
  </si>
  <si>
    <t>ODP090105</t>
  </si>
  <si>
    <t>T389</t>
  </si>
  <si>
    <t>PAN DE BANANO ZEPELIN</t>
  </si>
  <si>
    <t>ODP090270</t>
  </si>
  <si>
    <t>ODP090379</t>
  </si>
  <si>
    <t>ODP090705</t>
  </si>
  <si>
    <t>ODP090993</t>
  </si>
  <si>
    <t>ODP091073</t>
  </si>
  <si>
    <t>ODP091167</t>
  </si>
  <si>
    <t>ODP091279</t>
  </si>
  <si>
    <t>ODP090547</t>
  </si>
  <si>
    <t>S131</t>
  </si>
  <si>
    <t>PORCION PASTEL DE CHOCOLATE</t>
  </si>
  <si>
    <t>ODP091187</t>
  </si>
  <si>
    <t>ODP091376</t>
  </si>
  <si>
    <t>T279</t>
  </si>
  <si>
    <t>POUNDCAKE MANZANA ENTERO</t>
  </si>
  <si>
    <t>ODP090208</t>
  </si>
  <si>
    <t>415</t>
  </si>
  <si>
    <t>RELAMPAGO CON CHOCOLATE 06</t>
  </si>
  <si>
    <t>ODP090238</t>
  </si>
  <si>
    <t>ODP090273</t>
  </si>
  <si>
    <t>ODP090374</t>
  </si>
  <si>
    <t>ODP090464</t>
  </si>
  <si>
    <t>ODP090556</t>
  </si>
  <si>
    <t>ODP090708</t>
  </si>
  <si>
    <t>ODP090747</t>
  </si>
  <si>
    <t>ODP091170</t>
  </si>
  <si>
    <t>ODP091191</t>
  </si>
  <si>
    <t>ODP091283</t>
  </si>
  <si>
    <t>ODP091383</t>
  </si>
  <si>
    <t>ODP091483</t>
  </si>
  <si>
    <t>ODP091390</t>
  </si>
  <si>
    <t>T233</t>
  </si>
  <si>
    <t>ROLL CON CHILACAYOTE</t>
  </si>
  <si>
    <t>ODP091492</t>
  </si>
  <si>
    <t>PRP-001379</t>
  </si>
  <si>
    <t>PR009</t>
  </si>
  <si>
    <t>ROYAL ICING</t>
  </si>
  <si>
    <t>ODP090201</t>
  </si>
  <si>
    <t>F159</t>
  </si>
  <si>
    <t>(S7) PAN DE BANANO CON PANELA</t>
  </si>
  <si>
    <t>ODP090235</t>
  </si>
  <si>
    <t>ODP090263</t>
  </si>
  <si>
    <t>ODP090380</t>
  </si>
  <si>
    <t>ODP090542</t>
  </si>
  <si>
    <t>ODP090696</t>
  </si>
  <si>
    <t>ODP090985</t>
  </si>
  <si>
    <t>ODP091063</t>
  </si>
  <si>
    <t>ODP091166</t>
  </si>
  <si>
    <t>ODP091303</t>
  </si>
  <si>
    <t>ODP091374</t>
  </si>
  <si>
    <t>F269</t>
  </si>
  <si>
    <t>(S7) POUND CAKE DE LIMON</t>
  </si>
  <si>
    <t>ODP090225</t>
  </si>
  <si>
    <t>F213</t>
  </si>
  <si>
    <t>(S7) POUND CAKE MARMOLEADO CAJA</t>
  </si>
  <si>
    <t>ODP090381</t>
  </si>
  <si>
    <t>ODP090543</t>
  </si>
  <si>
    <t>ODP091372</t>
  </si>
  <si>
    <t>ODP091358</t>
  </si>
  <si>
    <t>843</t>
  </si>
  <si>
    <t>TOSTADO INTEGRAL 31</t>
  </si>
  <si>
    <t>ODP091455</t>
  </si>
  <si>
    <t>ODP090976</t>
  </si>
  <si>
    <t>S044</t>
  </si>
  <si>
    <t>TOSTADO SURTIDO</t>
  </si>
  <si>
    <t>ODP091179</t>
  </si>
  <si>
    <t>ODP091260</t>
  </si>
  <si>
    <t>ODP091364</t>
  </si>
  <si>
    <t>ODP090222</t>
  </si>
  <si>
    <t>F256</t>
  </si>
  <si>
    <t>(W) EMPANADA DE CREMA BAVARA</t>
  </si>
  <si>
    <t>ODP090276</t>
  </si>
  <si>
    <t>ODP090467</t>
  </si>
  <si>
    <t>ODP091396</t>
  </si>
  <si>
    <t>ODP090370</t>
  </si>
  <si>
    <t>F229</t>
  </si>
  <si>
    <t>(WM) CHAMPURRADA 10 U</t>
  </si>
  <si>
    <t>ODP090442</t>
  </si>
  <si>
    <t>ODP090536</t>
  </si>
  <si>
    <t>ODP090686</t>
  </si>
  <si>
    <t>ODP090194</t>
  </si>
  <si>
    <t>F059</t>
  </si>
  <si>
    <t>(WM) HOJALDRA DOMO</t>
  </si>
  <si>
    <t>ODP090371</t>
  </si>
  <si>
    <t>ODP090441</t>
  </si>
  <si>
    <t>ODP090534</t>
  </si>
  <si>
    <t>ODP090685</t>
  </si>
  <si>
    <t>ODP090262</t>
  </si>
  <si>
    <t>F155</t>
  </si>
  <si>
    <t>(WM) MINI MUFFIN CHOCOLATE DOMO 15 UNID</t>
  </si>
  <si>
    <t>ODP090209</t>
  </si>
  <si>
    <t>F147</t>
  </si>
  <si>
    <t>(WM) ROLES DE CANELA DOMO</t>
  </si>
  <si>
    <t>ODP090275</t>
  </si>
  <si>
    <t>ODP090382</t>
  </si>
  <si>
    <t>153</t>
  </si>
  <si>
    <t>ZEPELIN DE LA CASA</t>
  </si>
  <si>
    <t>ODP090540</t>
  </si>
  <si>
    <t>ODP091061</t>
  </si>
  <si>
    <t>organizacion: FABRICA UTATLAN</t>
  </si>
  <si>
    <t>PRP-001376</t>
  </si>
  <si>
    <t>41653</t>
  </si>
  <si>
    <t>AJO PELADO LIBRA</t>
  </si>
  <si>
    <t>CENTRO INTERMEDIO UTATLAN</t>
  </si>
  <si>
    <t>FABRICA UTATLAN</t>
  </si>
  <si>
    <t>ODP090315</t>
  </si>
  <si>
    <t>238</t>
  </si>
  <si>
    <t>BAGUETTE 18</t>
  </si>
  <si>
    <t>Centro 9</t>
  </si>
  <si>
    <t>ODP090352</t>
  </si>
  <si>
    <t>ODP090418</t>
  </si>
  <si>
    <t>ODP090512</t>
  </si>
  <si>
    <t>ODP090741</t>
  </si>
  <si>
    <t>ODP090782</t>
  </si>
  <si>
    <t>ODP090957</t>
  </si>
  <si>
    <t>ODP091137</t>
  </si>
  <si>
    <t>ODP091237</t>
  </si>
  <si>
    <t>ODP091337</t>
  </si>
  <si>
    <t>ODP090296</t>
  </si>
  <si>
    <t>237</t>
  </si>
  <si>
    <t>BAGUETTE GIGANTE 18</t>
  </si>
  <si>
    <t>Centro 7</t>
  </si>
  <si>
    <t>ODP090340</t>
  </si>
  <si>
    <t>ODP090396</t>
  </si>
  <si>
    <t>ODP090494</t>
  </si>
  <si>
    <t>ODP090739</t>
  </si>
  <si>
    <t>ODP090761</t>
  </si>
  <si>
    <t>ODP090940</t>
  </si>
  <si>
    <t>ODP091025</t>
  </si>
  <si>
    <t>ODP091184</t>
  </si>
  <si>
    <t>ODP091213</t>
  </si>
  <si>
    <t>ODP091318</t>
  </si>
  <si>
    <t>ODP091550</t>
  </si>
  <si>
    <t>ODP090314</t>
  </si>
  <si>
    <t>234</t>
  </si>
  <si>
    <t>BAGUETTE PEQUENA 18</t>
  </si>
  <si>
    <t>ODP090351</t>
  </si>
  <si>
    <t>ODP090417</t>
  </si>
  <si>
    <t>ODP090510</t>
  </si>
  <si>
    <t>ODP090780</t>
  </si>
  <si>
    <t>ODP091042</t>
  </si>
  <si>
    <t>ODP091335</t>
  </si>
  <si>
    <t>ODP090310</t>
  </si>
  <si>
    <t>087</t>
  </si>
  <si>
    <t>BARRA BLANCA 4 ONZAS</t>
  </si>
  <si>
    <t>ODP090414</t>
  </si>
  <si>
    <t>ODP090507</t>
  </si>
  <si>
    <t>ODP090777</t>
  </si>
  <si>
    <t>ODP090955</t>
  </si>
  <si>
    <t>ODP091132</t>
  </si>
  <si>
    <t>ODP090931</t>
  </si>
  <si>
    <t>090</t>
  </si>
  <si>
    <t>BARRA BLANCA 6 ONZAS</t>
  </si>
  <si>
    <t>ODP091404</t>
  </si>
  <si>
    <t>ODP090397</t>
  </si>
  <si>
    <t>239</t>
  </si>
  <si>
    <t>BARRA GALLEGA GRANDE 18</t>
  </si>
  <si>
    <t>ODP090740</t>
  </si>
  <si>
    <t>ODP090762</t>
  </si>
  <si>
    <t>ODP090941</t>
  </si>
  <si>
    <t>ODP091026</t>
  </si>
  <si>
    <t>ODP091183</t>
  </si>
  <si>
    <t>ODP091214</t>
  </si>
  <si>
    <t>ODP091319</t>
  </si>
  <si>
    <t>ODP091549</t>
  </si>
  <si>
    <t>ODP090511</t>
  </si>
  <si>
    <t>235</t>
  </si>
  <si>
    <t>BARRA GALLEGA PEQ 18</t>
  </si>
  <si>
    <t>ODP090781</t>
  </si>
  <si>
    <t>ODP091136</t>
  </si>
  <si>
    <t>ODP091236</t>
  </si>
  <si>
    <t>ODP090290</t>
  </si>
  <si>
    <t>018</t>
  </si>
  <si>
    <t>BASE DE PIZZA</t>
  </si>
  <si>
    <t>REEMPAQUE</t>
  </si>
  <si>
    <t>ODP090433</t>
  </si>
  <si>
    <t>E022</t>
  </si>
  <si>
    <t>(BDK RG) CHAMPURRADA / SESAME SEED COOKIE 9 UNITS</t>
  </si>
  <si>
    <t>Centro 88</t>
  </si>
  <si>
    <t>ODP090251</t>
  </si>
  <si>
    <t>226</t>
  </si>
  <si>
    <t>BOLILLO 18</t>
  </si>
  <si>
    <t>ODP091023</t>
  </si>
  <si>
    <t>ODP091316</t>
  </si>
  <si>
    <t>ODP090300</t>
  </si>
  <si>
    <t>629</t>
  </si>
  <si>
    <t>BOLLOS DE LECHE 10</t>
  </si>
  <si>
    <t>ODP090402</t>
  </si>
  <si>
    <t>ODP090311</t>
  </si>
  <si>
    <t>0941</t>
  </si>
  <si>
    <t>BOLSA BARRA BLANCA PEQ 10 UNID</t>
  </si>
  <si>
    <t>ODP090779</t>
  </si>
  <si>
    <t>ODP091133</t>
  </si>
  <si>
    <t>ODP091233</t>
  </si>
  <si>
    <t>ODP090323</t>
  </si>
  <si>
    <t>837</t>
  </si>
  <si>
    <t>BOLSA CHAMPURRADA GRANDE 31</t>
  </si>
  <si>
    <t>ODP090361</t>
  </si>
  <si>
    <t>ODP090877</t>
  </si>
  <si>
    <t>ODP091351</t>
  </si>
  <si>
    <t>ODP091016</t>
  </si>
  <si>
    <t>0946</t>
  </si>
  <si>
    <t>BOLSA CHAPATA BLANCA 8 UND</t>
  </si>
  <si>
    <t>ODP091105</t>
  </si>
  <si>
    <t>ODP091311</t>
  </si>
  <si>
    <t>ODP091407</t>
  </si>
  <si>
    <t>ODP090486</t>
  </si>
  <si>
    <t>0948</t>
  </si>
  <si>
    <t>BOLSA CHAPATA INTEGRAL 8 UND</t>
  </si>
  <si>
    <t>ODP090934</t>
  </si>
  <si>
    <t>ODP091312</t>
  </si>
  <si>
    <t>ODP091408</t>
  </si>
  <si>
    <t>ODP091445</t>
  </si>
  <si>
    <t>S080</t>
  </si>
  <si>
    <t>BOLSA DE BASES DE PIZZA 10 UND</t>
  </si>
  <si>
    <t>Centro 10</t>
  </si>
  <si>
    <t>ODP090333</t>
  </si>
  <si>
    <t>0940</t>
  </si>
  <si>
    <t>BOLSA FRANCES CONGELADO</t>
  </si>
  <si>
    <t>ODP090484</t>
  </si>
  <si>
    <t>ODP090752</t>
  </si>
  <si>
    <t>ODP090932</t>
  </si>
  <si>
    <t>ODP091204</t>
  </si>
  <si>
    <t>ODP091405</t>
  </si>
  <si>
    <t>ODP090312</t>
  </si>
  <si>
    <t>0947</t>
  </si>
  <si>
    <t>BOLSA PAN DE AGUA 10 UNID</t>
  </si>
  <si>
    <t>ODP090415</t>
  </si>
  <si>
    <t>ODP091040</t>
  </si>
  <si>
    <t>ODP091234</t>
  </si>
  <si>
    <t>ODP091333</t>
  </si>
  <si>
    <t>ODP090529</t>
  </si>
  <si>
    <t>613</t>
  </si>
  <si>
    <t>BOQUITAS (BOLSA)</t>
  </si>
  <si>
    <t>ODP090735</t>
  </si>
  <si>
    <t>ODP091050</t>
  </si>
  <si>
    <t>ODP091197</t>
  </si>
  <si>
    <t>ODP091547</t>
  </si>
  <si>
    <t>ODP091033</t>
  </si>
  <si>
    <t>F033</t>
  </si>
  <si>
    <t>(BU) CIABATA INTEGRAL 17</t>
  </si>
  <si>
    <t>ODP090947</t>
  </si>
  <si>
    <t>F032</t>
  </si>
  <si>
    <t>(BU) SUB INTEGRAL DE OREGANO 17</t>
  </si>
  <si>
    <t>ODP090757</t>
  </si>
  <si>
    <t>219</t>
  </si>
  <si>
    <t>CAMPECHANA 18</t>
  </si>
  <si>
    <t>ODP091020</t>
  </si>
  <si>
    <t>ODP090403</t>
  </si>
  <si>
    <t>F024</t>
  </si>
  <si>
    <t>(CA) PAN REDONDO</t>
  </si>
  <si>
    <t>ODP090768</t>
  </si>
  <si>
    <t>ODP091032</t>
  </si>
  <si>
    <t>ODP091325</t>
  </si>
  <si>
    <t>ODP090325</t>
  </si>
  <si>
    <t>S043</t>
  </si>
  <si>
    <t>CHAMPURRADA</t>
  </si>
  <si>
    <t>ODP090364</t>
  </si>
  <si>
    <t>ODP090435</t>
  </si>
  <si>
    <t>ODP090527</t>
  </si>
  <si>
    <t>ODP090795</t>
  </si>
  <si>
    <t>ODP090968</t>
  </si>
  <si>
    <t>ODP091049</t>
  </si>
  <si>
    <t>ODP091253</t>
  </si>
  <si>
    <t>ODP090431</t>
  </si>
  <si>
    <t>838</t>
  </si>
  <si>
    <t>CHAMPURRADAS DE AVENA 31</t>
  </si>
  <si>
    <t>ODP090226</t>
  </si>
  <si>
    <t>840</t>
  </si>
  <si>
    <t>CHAMPURRADAS INTEGRALES 31</t>
  </si>
  <si>
    <t>ODP090524</t>
  </si>
  <si>
    <t>ODP090967</t>
  </si>
  <si>
    <t>ODP091451</t>
  </si>
  <si>
    <t>ODP090339</t>
  </si>
  <si>
    <t>232</t>
  </si>
  <si>
    <t>CHAPATA</t>
  </si>
  <si>
    <t>ODP090395</t>
  </si>
  <si>
    <t>ODP090719</t>
  </si>
  <si>
    <t>ODP090760</t>
  </si>
  <si>
    <t>ODP090939</t>
  </si>
  <si>
    <t>ODP091095</t>
  </si>
  <si>
    <t>ODP091111</t>
  </si>
  <si>
    <t>ODP091212</t>
  </si>
  <si>
    <t>ODP091317</t>
  </si>
  <si>
    <t>ODP091413</t>
  </si>
  <si>
    <t>ODP090399</t>
  </si>
  <si>
    <t>252</t>
  </si>
  <si>
    <t>CHAPATA INTEGRAL 18</t>
  </si>
  <si>
    <t>ODP091028</t>
  </si>
  <si>
    <t>ODP091321</t>
  </si>
  <si>
    <t>ODP089874</t>
  </si>
  <si>
    <t>233</t>
  </si>
  <si>
    <t>CHAPATINA BLANCA 18</t>
  </si>
  <si>
    <t>ODP091091</t>
  </si>
  <si>
    <t>F030</t>
  </si>
  <si>
    <t>(CH) PAN DULCE 3 FORMAS (CAJA)</t>
  </si>
  <si>
    <t>ODP091093</t>
  </si>
  <si>
    <t>ODP091153</t>
  </si>
  <si>
    <t>ODP090149</t>
  </si>
  <si>
    <t>ODP090526</t>
  </si>
  <si>
    <t>ODP090878</t>
  </si>
  <si>
    <t>OPM015730</t>
  </si>
  <si>
    <t>081</t>
  </si>
  <si>
    <t>CONCHA   PARA PAN DE YEMAS</t>
  </si>
  <si>
    <t>OPM015741</t>
  </si>
  <si>
    <t>OPM015742</t>
  </si>
  <si>
    <t>OPM015751</t>
  </si>
  <si>
    <t>OPM015761</t>
  </si>
  <si>
    <t>OPM015772</t>
  </si>
  <si>
    <t>OPM015784</t>
  </si>
  <si>
    <t>OPM015809</t>
  </si>
  <si>
    <t>OPM015823</t>
  </si>
  <si>
    <t>OPM015830</t>
  </si>
  <si>
    <t>OPM015840</t>
  </si>
  <si>
    <t>OPM015872</t>
  </si>
  <si>
    <t>OPM015880</t>
  </si>
  <si>
    <t>ODP090327</t>
  </si>
  <si>
    <t>S045</t>
  </si>
  <si>
    <t>CORTADA INTEGRAL</t>
  </si>
  <si>
    <t>ODP091254</t>
  </si>
  <si>
    <t>ODP090248</t>
  </si>
  <si>
    <t>440</t>
  </si>
  <si>
    <t>CROISSANT DE JAMON Y QUESO</t>
  </si>
  <si>
    <t>ODP090319</t>
  </si>
  <si>
    <t>ODP090519</t>
  </si>
  <si>
    <t>ODP090723</t>
  </si>
  <si>
    <t>ODP090742</t>
  </si>
  <si>
    <t>ODP090963</t>
  </si>
  <si>
    <t>ODP091146</t>
  </si>
  <si>
    <t>ODP090359</t>
  </si>
  <si>
    <t>S149</t>
  </si>
  <si>
    <t>CROISSANT SIMPLE UNIDAD</t>
  </si>
  <si>
    <t>ODP090744</t>
  </si>
  <si>
    <t>ODP090793</t>
  </si>
  <si>
    <t>ODP090964</t>
  </si>
  <si>
    <t>ODP091249</t>
  </si>
  <si>
    <t>ODP090346</t>
  </si>
  <si>
    <t>F015</t>
  </si>
  <si>
    <t>(DM) BARRA GALLEGA GIGANTE 17</t>
  </si>
  <si>
    <t>ODP090500</t>
  </si>
  <si>
    <t>ODP091031</t>
  </si>
  <si>
    <t>ODP091221</t>
  </si>
  <si>
    <t>ODP091324</t>
  </si>
  <si>
    <t>ODP090037</t>
  </si>
  <si>
    <t>T388</t>
  </si>
  <si>
    <t>EMPANADA CHILENA</t>
  </si>
  <si>
    <t>ODP090360</t>
  </si>
  <si>
    <t>ODP090430</t>
  </si>
  <si>
    <t>ODP090746</t>
  </si>
  <si>
    <t>ODP090875</t>
  </si>
  <si>
    <t>ODP090965</t>
  </si>
  <si>
    <t>ODP091151</t>
  </si>
  <si>
    <t>ODP091447</t>
  </si>
  <si>
    <t>ODP091349</t>
  </si>
  <si>
    <t>T234</t>
  </si>
  <si>
    <t>EMPANADA DE CHILE RELLENO</t>
  </si>
  <si>
    <t>ODP091446</t>
  </si>
  <si>
    <t>ODP090292</t>
  </si>
  <si>
    <t>279</t>
  </si>
  <si>
    <t>EMPANADA DE PINA</t>
  </si>
  <si>
    <t>Centro 8</t>
  </si>
  <si>
    <t>ODP091401</t>
  </si>
  <si>
    <t>ODP090330</t>
  </si>
  <si>
    <t>271</t>
  </si>
  <si>
    <t>EMPANADA DE POLLO 18</t>
  </si>
  <si>
    <t>ODP090481</t>
  </si>
  <si>
    <t>ODP090829</t>
  </si>
  <si>
    <t>ODP090926</t>
  </si>
  <si>
    <t>ODP091011</t>
  </si>
  <si>
    <t>ODP091196</t>
  </si>
  <si>
    <t>ODP091307</t>
  </si>
  <si>
    <t>ODP090530</t>
  </si>
  <si>
    <t>T227</t>
  </si>
  <si>
    <t>EMPANADA DE POLLO CON LOROCO GRANDE</t>
  </si>
  <si>
    <t>ODP090745</t>
  </si>
  <si>
    <t>ODP090833</t>
  </si>
  <si>
    <t>ODP090874</t>
  </si>
  <si>
    <t>ODP090930</t>
  </si>
  <si>
    <t>ODP090357</t>
  </si>
  <si>
    <t>S065</t>
  </si>
  <si>
    <t>EMPANADA DE POLLO Y ESPINACA</t>
  </si>
  <si>
    <t>ODP090743</t>
  </si>
  <si>
    <t>ODP091308</t>
  </si>
  <si>
    <t>ODP091402</t>
  </si>
  <si>
    <t>ODP090309</t>
  </si>
  <si>
    <t>T365</t>
  </si>
  <si>
    <t>FRANCES GIGANTE 6 UNIDADES</t>
  </si>
  <si>
    <t>ODP090413</t>
  </si>
  <si>
    <t>ODP090776</t>
  </si>
  <si>
    <t>ODP090954</t>
  </si>
  <si>
    <t>ODP091232</t>
  </si>
  <si>
    <t>ODP091430</t>
  </si>
  <si>
    <t>ODP090338</t>
  </si>
  <si>
    <t>221</t>
  </si>
  <si>
    <t>FRANCES GRANDE 18</t>
  </si>
  <si>
    <t>ODP090394</t>
  </si>
  <si>
    <t>ODP090491</t>
  </si>
  <si>
    <t>ODP090738</t>
  </si>
  <si>
    <t>ODP090759</t>
  </si>
  <si>
    <t>ODP090938</t>
  </si>
  <si>
    <t>ODP091022</t>
  </si>
  <si>
    <t>ODP091109</t>
  </si>
  <si>
    <t>ODP091211</t>
  </si>
  <si>
    <t>ODP091315</t>
  </si>
  <si>
    <t>ODP090295</t>
  </si>
  <si>
    <t>220</t>
  </si>
  <si>
    <t>FRANCES PEQUENO 18</t>
  </si>
  <si>
    <t>ODP090393</t>
  </si>
  <si>
    <t>ODP090490</t>
  </si>
  <si>
    <t>ODP090737</t>
  </si>
  <si>
    <t>ODP090758</t>
  </si>
  <si>
    <t>ODP090937</t>
  </si>
  <si>
    <t>ODP091096</t>
  </si>
  <si>
    <t>ODP091108</t>
  </si>
  <si>
    <t>ODP091210</t>
  </si>
  <si>
    <t>ODP091314</t>
  </si>
  <si>
    <t>ODP091410</t>
  </si>
  <si>
    <t>ODP091397</t>
  </si>
  <si>
    <t>F122</t>
  </si>
  <si>
    <t>(GF) PAN GALLEGO CON POLLO EN CREMA</t>
  </si>
  <si>
    <t>ODP091593</t>
  </si>
  <si>
    <t>F123</t>
  </si>
  <si>
    <t>(GF) SUB BLANCO PARMESANO CON POLLO</t>
  </si>
  <si>
    <t>ODP091092</t>
  </si>
  <si>
    <t>659</t>
  </si>
  <si>
    <t>HAMBURGUESA GRANDE 6 UNIDADES</t>
  </si>
  <si>
    <t>ODP091121</t>
  </si>
  <si>
    <t>ODP091220</t>
  </si>
  <si>
    <t>ODP091323</t>
  </si>
  <si>
    <t>ODP090345</t>
  </si>
  <si>
    <t>628</t>
  </si>
  <si>
    <t>HOT DOG 8 UND</t>
  </si>
  <si>
    <t>ODP090499</t>
  </si>
  <si>
    <t>ODP091030</t>
  </si>
  <si>
    <t>ODP091120</t>
  </si>
  <si>
    <t>ODP091420</t>
  </si>
  <si>
    <t>ODP090303</t>
  </si>
  <si>
    <t>F099</t>
  </si>
  <si>
    <t>HOT DOG GRANDE CON AJONJOLI 8 UND</t>
  </si>
  <si>
    <t>ODP090328</t>
  </si>
  <si>
    <t>ODP090349</t>
  </si>
  <si>
    <t>ODP090366</t>
  </si>
  <si>
    <t>ODP090406</t>
  </si>
  <si>
    <t>ODP090437</t>
  </si>
  <si>
    <t>ODP090504</t>
  </si>
  <si>
    <t>ODP090771</t>
  </si>
  <si>
    <t>ODP090950</t>
  </si>
  <si>
    <t>ODP091035</t>
  </si>
  <si>
    <t>ODP091125</t>
  </si>
  <si>
    <t>ODP091225</t>
  </si>
  <si>
    <t>ODP091297</t>
  </si>
  <si>
    <t>ODP091302</t>
  </si>
  <si>
    <t>ODP091327</t>
  </si>
  <si>
    <t>ODP091354</t>
  </si>
  <si>
    <t>ODP091425</t>
  </si>
  <si>
    <t>OPM015737</t>
  </si>
  <si>
    <t>046</t>
  </si>
  <si>
    <t>MASA MADRE CAPITAN (CENTRO 07)</t>
  </si>
  <si>
    <t>OPM015749</t>
  </si>
  <si>
    <t>OPM015759</t>
  </si>
  <si>
    <t>OPM015770</t>
  </si>
  <si>
    <t>OPM015782</t>
  </si>
  <si>
    <t>OPM015802</t>
  </si>
  <si>
    <t>OPM015807</t>
  </si>
  <si>
    <t>OPM015828</t>
  </si>
  <si>
    <t>OPM015838</t>
  </si>
  <si>
    <t>OPM015846</t>
  </si>
  <si>
    <t>OPM015857</t>
  </si>
  <si>
    <t>OPM015870</t>
  </si>
  <si>
    <t>OPM015878</t>
  </si>
  <si>
    <t>OPM015739</t>
  </si>
  <si>
    <t>048</t>
  </si>
  <si>
    <t>MASA MADRE CAPITAN (CENTRO 09)</t>
  </si>
  <si>
    <t>OPM015750</t>
  </si>
  <si>
    <t>OPM015760</t>
  </si>
  <si>
    <t>OPM015771</t>
  </si>
  <si>
    <t>OPM015803</t>
  </si>
  <si>
    <t>OPM015808</t>
  </si>
  <si>
    <t>OPM015829</t>
  </si>
  <si>
    <t>OPM015839</t>
  </si>
  <si>
    <t>OPM015847</t>
  </si>
  <si>
    <t>OPM015858</t>
  </si>
  <si>
    <t>OPM015871</t>
  </si>
  <si>
    <t>OPM015879</t>
  </si>
  <si>
    <t>OPM015818</t>
  </si>
  <si>
    <t>002</t>
  </si>
  <si>
    <t>MASA MADRE (CENTRO 7)</t>
  </si>
  <si>
    <t>OPM015735</t>
  </si>
  <si>
    <t>013</t>
  </si>
  <si>
    <t>MASA MILHOJA C08 LIBRA</t>
  </si>
  <si>
    <t>OPM015748</t>
  </si>
  <si>
    <t>OPM015758</t>
  </si>
  <si>
    <t>OPM015768</t>
  </si>
  <si>
    <t>OPM015781</t>
  </si>
  <si>
    <t>OPM015819</t>
  </si>
  <si>
    <t>OPM015836</t>
  </si>
  <si>
    <t>OPM015856</t>
  </si>
  <si>
    <t>OPM015868</t>
  </si>
  <si>
    <t>ODP090876</t>
  </si>
  <si>
    <t>836</t>
  </si>
  <si>
    <t>MINI CHAMPURRADAS 12</t>
  </si>
  <si>
    <t>ODP090356</t>
  </si>
  <si>
    <t>S051</t>
  </si>
  <si>
    <t>MINI PIZZA ALFREDO</t>
  </si>
  <si>
    <t>ODP090185</t>
  </si>
  <si>
    <t>273</t>
  </si>
  <si>
    <t>MINI PIZZA JAMON Y QUESO</t>
  </si>
  <si>
    <t>ODP090318</t>
  </si>
  <si>
    <t>ODP090517</t>
  </si>
  <si>
    <t>ODP090927</t>
  </si>
  <si>
    <t>ODP091098</t>
  </si>
  <si>
    <t>ODP091188</t>
  </si>
  <si>
    <t>ODP091102</t>
  </si>
  <si>
    <t>084</t>
  </si>
  <si>
    <t>(MK) PAN GALLEGO</t>
  </si>
  <si>
    <t>ODP090422</t>
  </si>
  <si>
    <t>248</t>
  </si>
  <si>
    <t>PAN DE AGUA 1.5 ONZ</t>
  </si>
  <si>
    <t>ODP090786</t>
  </si>
  <si>
    <t>ODP091241</t>
  </si>
  <si>
    <t>ODP091341</t>
  </si>
  <si>
    <t>ODP091438</t>
  </si>
  <si>
    <t>ODP090316</t>
  </si>
  <si>
    <t>243</t>
  </si>
  <si>
    <t>PAN DE AGUA 2 ONZ</t>
  </si>
  <si>
    <t>ODP090420</t>
  </si>
  <si>
    <t>ODP090717</t>
  </si>
  <si>
    <t>ODP090784</t>
  </si>
  <si>
    <t>ODP091239</t>
  </si>
  <si>
    <t>ODP090516</t>
  </si>
  <si>
    <t>249</t>
  </si>
  <si>
    <t>PAN DE AGUA INTEGRAL 18</t>
  </si>
  <si>
    <t>ODP090787</t>
  </si>
  <si>
    <t>ODP091242</t>
  </si>
  <si>
    <t>ODP090419</t>
  </si>
  <si>
    <t>240</t>
  </si>
  <si>
    <t>PAN DE AJO 18</t>
  </si>
  <si>
    <t>ODP090958</t>
  </si>
  <si>
    <t>ODP091238</t>
  </si>
  <si>
    <t>ODP090172</t>
  </si>
  <si>
    <t>608</t>
  </si>
  <si>
    <t>PAN DE LINAZA Y SEMILLAS</t>
  </si>
  <si>
    <t>ODP090335</t>
  </si>
  <si>
    <t>102</t>
  </si>
  <si>
    <t>PAN DE MANTECA MED UNIDAD</t>
  </si>
  <si>
    <t>ODP090487</t>
  </si>
  <si>
    <t>ODP090722</t>
  </si>
  <si>
    <t>ODP090754</t>
  </si>
  <si>
    <t>ODP090935</t>
  </si>
  <si>
    <t>ODP091051</t>
  </si>
  <si>
    <t>ODP091250</t>
  </si>
  <si>
    <t>ODP091299</t>
  </si>
  <si>
    <t>ODP090307</t>
  </si>
  <si>
    <t>S148</t>
  </si>
  <si>
    <t>PAN DE MANTECA PEQ UNIDAD</t>
  </si>
  <si>
    <t>ODP090411</t>
  </si>
  <si>
    <t>ODP090774</t>
  </si>
  <si>
    <t>ODP090952</t>
  </si>
  <si>
    <t>ODP091154</t>
  </si>
  <si>
    <t>ODP091229</t>
  </si>
  <si>
    <t>ODP090421</t>
  </si>
  <si>
    <t>245</t>
  </si>
  <si>
    <t>PAN ITALIANO</t>
  </si>
  <si>
    <t>ODP090785</t>
  </si>
  <si>
    <t>ODP090959</t>
  </si>
  <si>
    <t>ODP091240</t>
  </si>
  <si>
    <t>ODP090297</t>
  </si>
  <si>
    <t>246</t>
  </si>
  <si>
    <t>PAN PARMESANO 18</t>
  </si>
  <si>
    <t>ODP090341</t>
  </si>
  <si>
    <t>ODP090763</t>
  </si>
  <si>
    <t>ODP091114</t>
  </si>
  <si>
    <t>ODP091215</t>
  </si>
  <si>
    <t>ODP090429</t>
  </si>
  <si>
    <t>T111</t>
  </si>
  <si>
    <t>OPC009395</t>
  </si>
  <si>
    <t>025</t>
  </si>
  <si>
    <t>PICADO DE AJO</t>
  </si>
  <si>
    <t>OPC009467</t>
  </si>
  <si>
    <t>OPC009490</t>
  </si>
  <si>
    <t>PRP-001373</t>
  </si>
  <si>
    <t>11513</t>
  </si>
  <si>
    <t>PRP-001377</t>
  </si>
  <si>
    <t>ODP090728</t>
  </si>
  <si>
    <t>S146</t>
  </si>
  <si>
    <t>PIZZA HAWAIANA PERSONAL</t>
  </si>
  <si>
    <t>ODP091047</t>
  </si>
  <si>
    <t>ODP090727</t>
  </si>
  <si>
    <t>S147</t>
  </si>
  <si>
    <t>PIZZA JAMON Y QUESO PERSONAL</t>
  </si>
  <si>
    <t>ODP090725</t>
  </si>
  <si>
    <t>S145</t>
  </si>
  <si>
    <t>PIZZA MARGARITA PERSONAL</t>
  </si>
  <si>
    <t>ODP091148</t>
  </si>
  <si>
    <t>ODP090750</t>
  </si>
  <si>
    <t>T151</t>
  </si>
  <si>
    <t>PIZZA ROLLS</t>
  </si>
  <si>
    <t>ODP090332</t>
  </si>
  <si>
    <t>277</t>
  </si>
  <si>
    <t>(PR) BOQUITAS DE POLLO 17</t>
  </si>
  <si>
    <t>ODP090390</t>
  </si>
  <si>
    <t>ODP090483</t>
  </si>
  <si>
    <t>ODP090577</t>
  </si>
  <si>
    <t>ODP090331</t>
  </si>
  <si>
    <t>275</t>
  </si>
  <si>
    <t>(PR) BOQUITAS DE RES 17</t>
  </si>
  <si>
    <t>ODP090389</t>
  </si>
  <si>
    <t>ODP090482</t>
  </si>
  <si>
    <t>ODP090576</t>
  </si>
  <si>
    <t>ODP090313</t>
  </si>
  <si>
    <t>0971</t>
  </si>
  <si>
    <t>(PR) PAN DE AGUA 2 ONZ- CAJA 17</t>
  </si>
  <si>
    <t>ODP090416</t>
  </si>
  <si>
    <t>ODP090956</t>
  </si>
  <si>
    <t>ODP091041</t>
  </si>
  <si>
    <t>OPC009456</t>
  </si>
  <si>
    <t>PR035</t>
  </si>
  <si>
    <t>RELLENO DE CHILE RELLENO</t>
  </si>
  <si>
    <t>OPC009495</t>
  </si>
  <si>
    <t>OPC009504</t>
  </si>
  <si>
    <t>OPC009513</t>
  </si>
  <si>
    <t>OPC009461</t>
  </si>
  <si>
    <t>00085</t>
  </si>
  <si>
    <t>RELLENO DE CHIMICHURRI</t>
  </si>
  <si>
    <t>OPC009403</t>
  </si>
  <si>
    <t>032</t>
  </si>
  <si>
    <t>RELLENO DE EMPANADA POLLO LOROCO</t>
  </si>
  <si>
    <t>OPC009410</t>
  </si>
  <si>
    <t>OPC009419</t>
  </si>
  <si>
    <t>OPC009430</t>
  </si>
  <si>
    <t>OPC009453</t>
  </si>
  <si>
    <t>OPC009511</t>
  </si>
  <si>
    <t>OPC009412</t>
  </si>
  <si>
    <t>PR036</t>
  </si>
  <si>
    <t>RELLENO DE ESPINACA Y POLLO</t>
  </si>
  <si>
    <t>OPC009496</t>
  </si>
  <si>
    <t>OPC009505</t>
  </si>
  <si>
    <t>OPC009423</t>
  </si>
  <si>
    <t>016</t>
  </si>
  <si>
    <t>OPC009500</t>
  </si>
  <si>
    <t>OPC009401</t>
  </si>
  <si>
    <t>023</t>
  </si>
  <si>
    <t>RELLENO DE VOLOVAN DE CARNE</t>
  </si>
  <si>
    <t>OPC009409</t>
  </si>
  <si>
    <t>OPC009418</t>
  </si>
  <si>
    <t>OPC009429</t>
  </si>
  <si>
    <t>OPC009502</t>
  </si>
  <si>
    <t>OPC009406</t>
  </si>
  <si>
    <t>PR054</t>
  </si>
  <si>
    <t>RELLENO EMPANADA CHILENA</t>
  </si>
  <si>
    <t>OPC009422</t>
  </si>
  <si>
    <t>OPC009457</t>
  </si>
  <si>
    <t>OPC009466</t>
  </si>
  <si>
    <t>OPC009473</t>
  </si>
  <si>
    <t>OPC009480</t>
  </si>
  <si>
    <t>OPC009506</t>
  </si>
  <si>
    <t>OPC009399</t>
  </si>
  <si>
    <t>021</t>
  </si>
  <si>
    <t>RELLENO   EMPANADA DE POLLO</t>
  </si>
  <si>
    <t>OPC009416</t>
  </si>
  <si>
    <t>OPC009436</t>
  </si>
  <si>
    <t>OPC009452</t>
  </si>
  <si>
    <t>OPC009462</t>
  </si>
  <si>
    <t>OPC009469</t>
  </si>
  <si>
    <t>OPC009509</t>
  </si>
  <si>
    <t>OPC009394</t>
  </si>
  <si>
    <t>PR023</t>
  </si>
  <si>
    <t>RELLENO STRUDEL MANZANA</t>
  </si>
  <si>
    <t>OPC009449</t>
  </si>
  <si>
    <t>OPC009400</t>
  </si>
  <si>
    <t>022</t>
  </si>
  <si>
    <t>RELLENO VOLOVAN DE POLLO</t>
  </si>
  <si>
    <t>OPC009408</t>
  </si>
  <si>
    <t>OPC009417</t>
  </si>
  <si>
    <t>OPC009428</t>
  </si>
  <si>
    <t>OPC009476</t>
  </si>
  <si>
    <t>OPC009492</t>
  </si>
  <si>
    <t>OPC009510</t>
  </si>
  <si>
    <t>ODP090363</t>
  </si>
  <si>
    <t>F139</t>
  </si>
  <si>
    <t>(S7) CHAMPURRADA 40 UNIDADES RTD</t>
  </si>
  <si>
    <t>ODP091252</t>
  </si>
  <si>
    <t>ODP090317</t>
  </si>
  <si>
    <t>F094</t>
  </si>
  <si>
    <t>(S7) SUB BLANCO</t>
  </si>
  <si>
    <t>ODP090423</t>
  </si>
  <si>
    <t>ODP090879</t>
  </si>
  <si>
    <t>ODP090961</t>
  </si>
  <si>
    <t>ODP091097</t>
  </si>
  <si>
    <t>ODP091144</t>
  </si>
  <si>
    <t>ODP091243</t>
  </si>
  <si>
    <t>ODP091343</t>
  </si>
  <si>
    <t>ODP091546</t>
  </si>
  <si>
    <t>ODP090503</t>
  </si>
  <si>
    <t>F096</t>
  </si>
  <si>
    <t>(S7) SUB BLANCO CON PARMESANO</t>
  </si>
  <si>
    <t>ODP091124</t>
  </si>
  <si>
    <t>ODP091224</t>
  </si>
  <si>
    <t>ODP091326</t>
  </si>
  <si>
    <t>F095</t>
  </si>
  <si>
    <t>(S7) SUB INTEGRAL</t>
  </si>
  <si>
    <t>ODP090789</t>
  </si>
  <si>
    <t>ODP090962</t>
  </si>
  <si>
    <t>ODP091440</t>
  </si>
  <si>
    <t>OPC009405</t>
  </si>
  <si>
    <t>PR030</t>
  </si>
  <si>
    <t>SALSA ALFREDO</t>
  </si>
  <si>
    <t>OPC009404</t>
  </si>
  <si>
    <t>PR022</t>
  </si>
  <si>
    <t>SALSA PARA PIZZA</t>
  </si>
  <si>
    <t>OPC009411</t>
  </si>
  <si>
    <t>OPC009438</t>
  </si>
  <si>
    <t>OPC009454</t>
  </si>
  <si>
    <t>OPC009478</t>
  </si>
  <si>
    <t>OPC009503</t>
  </si>
  <si>
    <t>ODP090298</t>
  </si>
  <si>
    <t>604</t>
  </si>
  <si>
    <t>SANDWICH 10</t>
  </si>
  <si>
    <t>ODP090342</t>
  </si>
  <si>
    <t>ODP090400</t>
  </si>
  <si>
    <t>ODP090438</t>
  </si>
  <si>
    <t>ODP090573</t>
  </si>
  <si>
    <t>ODP090718</t>
  </si>
  <si>
    <t>ODP090764</t>
  </si>
  <si>
    <t>ODP091094</t>
  </si>
  <si>
    <t>ODP091216</t>
  </si>
  <si>
    <t>ODP091322</t>
  </si>
  <si>
    <t>ODP090305</t>
  </si>
  <si>
    <t>S004</t>
  </si>
  <si>
    <t>SANDWICH DOBLE RODAJA 10</t>
  </si>
  <si>
    <t>ODP090409</t>
  </si>
  <si>
    <t>ODP091330</t>
  </si>
  <si>
    <t>ODP090170</t>
  </si>
  <si>
    <t>605</t>
  </si>
  <si>
    <t>SANDWICH GIGANTE 10</t>
  </si>
  <si>
    <t>ODP090343</t>
  </si>
  <si>
    <t>ODP090497</t>
  </si>
  <si>
    <t>ODP090765</t>
  </si>
  <si>
    <t>ODP090943</t>
  </si>
  <si>
    <t>ODP091117</t>
  </si>
  <si>
    <t>ODP091217</t>
  </si>
  <si>
    <t>ODP090171</t>
  </si>
  <si>
    <t>606</t>
  </si>
  <si>
    <t>SANDWICH INTEGRAL 10</t>
  </si>
  <si>
    <t>ODP090299</t>
  </si>
  <si>
    <t>ODP090401</t>
  </si>
  <si>
    <t>ODP090498</t>
  </si>
  <si>
    <t>ODP090766</t>
  </si>
  <si>
    <t>ODP090944</t>
  </si>
  <si>
    <t>ODP091118</t>
  </si>
  <si>
    <t>ODP091218</t>
  </si>
  <si>
    <t>ODP090881</t>
  </si>
  <si>
    <t>612</t>
  </si>
  <si>
    <t>SANDWICH INTEGRAL TOSTADO 10</t>
  </si>
  <si>
    <t>ODP091594</t>
  </si>
  <si>
    <t>ODP090291</t>
  </si>
  <si>
    <t>276</t>
  </si>
  <si>
    <t>STRUDEL DE MANZANA 18</t>
  </si>
  <si>
    <t>ODP090749</t>
  </si>
  <si>
    <t>ODP090831</t>
  </si>
  <si>
    <t>ODP090928</t>
  </si>
  <si>
    <t>ODP091201</t>
  </si>
  <si>
    <t>ODP091400</t>
  </si>
  <si>
    <t>ODP091010</t>
  </si>
  <si>
    <t>0867</t>
  </si>
  <si>
    <t>ODP091200</t>
  </si>
  <si>
    <t>ODP091305</t>
  </si>
  <si>
    <t>ODP090293</t>
  </si>
  <si>
    <t>0944</t>
  </si>
  <si>
    <t>SUB OREGANO</t>
  </si>
  <si>
    <t>ODP090334</t>
  </si>
  <si>
    <t>ODP090933</t>
  </si>
  <si>
    <t>ODP091205</t>
  </si>
  <si>
    <t>ODP091406</t>
  </si>
  <si>
    <t>ODP090180</t>
  </si>
  <si>
    <t>S040</t>
  </si>
  <si>
    <t>TF DOBLE RODAJA</t>
  </si>
  <si>
    <t>ODP090350</t>
  </si>
  <si>
    <t>ODP091036</t>
  </si>
  <si>
    <t>ODP091129</t>
  </si>
  <si>
    <t>ODP090294</t>
  </si>
  <si>
    <t>218</t>
  </si>
  <si>
    <t>TORTA DE QUESO</t>
  </si>
  <si>
    <t>ODP090936</t>
  </si>
  <si>
    <t>ODP090432</t>
  </si>
  <si>
    <t>ODP090794</t>
  </si>
  <si>
    <t>ODP090326</t>
  </si>
  <si>
    <t>ODP090365</t>
  </si>
  <si>
    <t>ODP090508</t>
  </si>
  <si>
    <t>0876</t>
  </si>
  <si>
    <t>(TyC) BARRA GALLEGA (2)</t>
  </si>
  <si>
    <t>ODP090778</t>
  </si>
  <si>
    <t>ODP090329</t>
  </si>
  <si>
    <t>270</t>
  </si>
  <si>
    <t>VOLOVAN DE CARNE 18</t>
  </si>
  <si>
    <t>ODP090480</t>
  </si>
  <si>
    <t>ODP091398</t>
  </si>
  <si>
    <t>ODP090388</t>
  </si>
  <si>
    <t>269</t>
  </si>
  <si>
    <t>VOLOVAN DE POLLO 18</t>
  </si>
  <si>
    <t>ODP090575</t>
  </si>
  <si>
    <t>ODP091306</t>
  </si>
  <si>
    <t>ODP090960</t>
  </si>
  <si>
    <t>F088</t>
  </si>
  <si>
    <t>(W) BAGUETTE INTEGRAL</t>
  </si>
  <si>
    <t>ODP090324</t>
  </si>
  <si>
    <t>F060</t>
  </si>
  <si>
    <t>(W) CHAMPURRADA DOMO</t>
  </si>
  <si>
    <t>ODP090362</t>
  </si>
  <si>
    <t>ODP090434</t>
  </si>
  <si>
    <t>ODP091352</t>
  </si>
  <si>
    <t>ODP090408</t>
  </si>
  <si>
    <t>F216</t>
  </si>
  <si>
    <t>(WM) CONCHA DE CHOCOLATE</t>
  </si>
  <si>
    <t>ODP091128</t>
  </si>
  <si>
    <t>ODP091329</t>
  </si>
  <si>
    <t>ODP090179</t>
  </si>
  <si>
    <t>F133</t>
  </si>
  <si>
    <t>(WM) PAN DE MANTECA CONCHITA</t>
  </si>
  <si>
    <t>ODP090304</t>
  </si>
  <si>
    <t>ODP091127</t>
  </si>
  <si>
    <t>ODP090176</t>
  </si>
  <si>
    <t>F077</t>
  </si>
  <si>
    <t>(W) PAN DE MANTECA 8 UNIDADES RISTRA</t>
  </si>
  <si>
    <t>ODP090227</t>
  </si>
  <si>
    <t>ODP090301</t>
  </si>
  <si>
    <t>ODP090347</t>
  </si>
  <si>
    <t>ODP090404</t>
  </si>
  <si>
    <t>ODP090720</t>
  </si>
  <si>
    <t>ODP090721</t>
  </si>
  <si>
    <t>ODP091251</t>
  </si>
  <si>
    <t>Análisis de Resultados de Producción por Centro</t>
  </si>
  <si>
    <t>Fuente: hoja1 — Resultado de la Producción (FABRICA ZONA 7 y FABRICA UTATLAN)</t>
  </si>
  <si>
    <t>1. Descripción del análisis</t>
  </si>
  <si>
    <t>Órdenes analizadas:</t>
  </si>
  <si>
    <t>Rango de fechas plan:</t>
  </si>
  <si>
    <t>Rendimiento % = total_producido / cant_plan. Ponderado por unidades (no promedio simple) para evitar que órdenes pequeñas distorsionen el resultado del centro.</t>
  </si>
  <si>
    <t>Merma % = (total_producido − u_buenas) / u_buenas. Mide la proporción de unidades malas respecto de la producción buena obtenida.</t>
  </si>
  <si>
    <t>Se reportan además el promedio simple, el mínimo y el máximo por centro para identificar la dispersión y los casos extremos.</t>
  </si>
  <si>
    <t>2. Consolidado por centro</t>
  </si>
  <si>
    <t>Centro</t>
  </si>
  <si>
    <t>Organización</t>
  </si>
  <si>
    <t>Órdenes</t>
  </si>
  <si>
    <t>Cant. plan (u)</t>
  </si>
  <si>
    <t>Total producido (u)</t>
  </si>
  <si>
    <t>U. buenas (u)</t>
  </si>
  <si>
    <t>U. malas (u)</t>
  </si>
  <si>
    <t>Rend. ponderado %</t>
  </si>
  <si>
    <t>Rend. promedio %</t>
  </si>
  <si>
    <t>Rend. mín %</t>
  </si>
  <si>
    <t>Rend. máx %</t>
  </si>
  <si>
    <t>Merma ponderada %</t>
  </si>
  <si>
    <t>Merma promedio %</t>
  </si>
  <si>
    <t>Merma máx %</t>
  </si>
  <si>
    <t>TOTAL / GLOBAL</t>
  </si>
  <si>
    <t>3. Tendencias de rendimiento por centro</t>
  </si>
  <si>
    <t>Mejores rendimientos</t>
  </si>
  <si>
    <t>Peores rendimientos</t>
  </si>
  <si>
    <t>4. Tendencias de merma por centro</t>
  </si>
  <si>
    <t>Mejores mermas (más bajas)</t>
  </si>
  <si>
    <t>Peores mermas (más altas)</t>
  </si>
  <si>
    <t>Conclusión / acciones sugeridas</t>
  </si>
  <si>
    <t>• Revisar los estándares de planificación de ZONA 7 (Centros 2, 3 y 6): el exceso constante sobre plan indica cantidades planificadas desactualizadas.</t>
  </si>
  <si>
    <t>• Priorizar Centro 9 y Centro 88 en un plan de reducción de merma; son los que peor combinan rendimiento y calidad.</t>
  </si>
  <si>
    <t>• Atacar la variabilidad de Centro 7 y Centro 10 (rangos de rendimiento superiores a 140 puntos) antes que su nivel promedio.</t>
  </si>
  <si>
    <t>• Auditar las órdenes con merma superior al 20% para descartar errores de registro frente a fallas reales de proceso.</t>
  </si>
  <si>
    <t>5. Gráficas</t>
  </si>
  <si>
    <t>Datos de las gráficas (vinculados al cuadro del punto 2)</t>
  </si>
  <si>
    <t>Rendimiento ponderado %</t>
  </si>
  <si>
    <t>PAÑUELO  DE ESPINACA Y QUESO</t>
  </si>
  <si>
    <t>PICADO DE PIÑA LIBRA</t>
  </si>
  <si>
    <t>RELLENO DE PIÑA ISOPAN</t>
  </si>
  <si>
    <t>STRUDEL DE PIÑA</t>
  </si>
  <si>
    <t>FPY = u_buenas / total_producido. Semana ISO según fecha_plan.</t>
  </si>
  <si>
    <t>Excluye CENTRO INTERMEDIO ZONA 7, CENTRO INTERMEDIO UTATLAN y REEMPAQUE.</t>
  </si>
  <si>
    <t>Planta</t>
  </si>
  <si>
    <t>Producido</t>
  </si>
  <si>
    <t>U. buenas</t>
  </si>
  <si>
    <t>FPY</t>
  </si>
  <si>
    <t>GLOBAL</t>
  </si>
  <si>
    <t>Rango (lun-dom)</t>
  </si>
  <si>
    <t>Semana 28</t>
  </si>
  <si>
    <t>Semana 29</t>
  </si>
  <si>
    <t>Semana 30</t>
  </si>
  <si>
    <t>6. Top 5 productos: mejores rendimientos y mayores mermas</t>
  </si>
  <si>
    <t>Top 5 — mejores rendimientos</t>
  </si>
  <si>
    <t>Producto</t>
  </si>
  <si>
    <t>Ranking ponderado por unidades sobre 128 productos. Se excluyen los centros intermedios y REEMPAQUE (no son producto terminado).</t>
  </si>
  <si>
    <t>Centros excluidos del ranking:</t>
  </si>
  <si>
    <t>Top 5 — mayores mermas</t>
  </si>
  <si>
    <t>Lectura de los rankings</t>
  </si>
  <si>
    <t>ODP091301</t>
  </si>
  <si>
    <t>ODP091357</t>
  </si>
  <si>
    <t>ODP091552</t>
  </si>
  <si>
    <t>ODP091578</t>
  </si>
  <si>
    <t>ODP091584</t>
  </si>
  <si>
    <t>ODP091585</t>
  </si>
  <si>
    <t>OPC009523</t>
  </si>
  <si>
    <t>OPC009524</t>
  </si>
  <si>
    <t>OPM015896</t>
  </si>
  <si>
    <t>OPM015897</t>
  </si>
  <si>
    <t>ODP091471</t>
  </si>
  <si>
    <t>ODP091478</t>
  </si>
  <si>
    <t>T243</t>
  </si>
  <si>
    <t>RODAJA POUND CAKE MANZANA</t>
  </si>
  <si>
    <t>ODP091480</t>
  </si>
  <si>
    <t>ODP091551</t>
  </si>
  <si>
    <t>ODP091557</t>
  </si>
  <si>
    <t>ODP091558</t>
  </si>
  <si>
    <t>ODP091559</t>
  </si>
  <si>
    <t>ODP091560</t>
  </si>
  <si>
    <t>ODP091561</t>
  </si>
  <si>
    <t>ODP091566</t>
  </si>
  <si>
    <t>ODP091575</t>
  </si>
  <si>
    <t>ODP091577</t>
  </si>
  <si>
    <t>ODP091581</t>
  </si>
  <si>
    <t>ODP091645</t>
  </si>
  <si>
    <t>ODP091646</t>
  </si>
  <si>
    <t>ODP091647</t>
  </si>
  <si>
    <t>ODP091648</t>
  </si>
  <si>
    <t>ODP091649</t>
  </si>
  <si>
    <t>ODP091653</t>
  </si>
  <si>
    <t>F230</t>
  </si>
  <si>
    <t>(WM) QUESADILLA</t>
  </si>
  <si>
    <t>ODP091659</t>
  </si>
  <si>
    <t>ODP091660</t>
  </si>
  <si>
    <t>ODP091670</t>
  </si>
  <si>
    <t>ODP091674</t>
  </si>
  <si>
    <t>T235</t>
  </si>
  <si>
    <t>ZEPELIN DE CHILACAYOTE SG</t>
  </si>
  <si>
    <t>OPC009526</t>
  </si>
  <si>
    <t>OPC009527</t>
  </si>
  <si>
    <t>OPC009528</t>
  </si>
  <si>
    <t>OPM015906</t>
  </si>
  <si>
    <t>OPM015908</t>
  </si>
  <si>
    <t>PRP-001378</t>
  </si>
  <si>
    <t>ODP090991</t>
  </si>
  <si>
    <t>T309</t>
  </si>
  <si>
    <t>PASTEL  TIRAMISU</t>
  </si>
  <si>
    <t>ODP091381</t>
  </si>
  <si>
    <t>ODP091576</t>
  </si>
  <si>
    <t>ODP091644</t>
  </si>
  <si>
    <t>ODP091675</t>
  </si>
  <si>
    <t>ODP091676</t>
  </si>
  <si>
    <t>ODP091730</t>
  </si>
  <si>
    <t>ODP091740</t>
  </si>
  <si>
    <t>ODP091743</t>
  </si>
  <si>
    <t>ODP091744</t>
  </si>
  <si>
    <t>ODP091745</t>
  </si>
  <si>
    <t>ODP091746</t>
  </si>
  <si>
    <t>ODP091750</t>
  </si>
  <si>
    <t>ODP091760</t>
  </si>
  <si>
    <t>ODP091761</t>
  </si>
  <si>
    <t>ODP091768</t>
  </si>
  <si>
    <t>ODP091782</t>
  </si>
  <si>
    <t>ODP091783</t>
  </si>
  <si>
    <t>ODP091784</t>
  </si>
  <si>
    <t>ODP091785</t>
  </si>
  <si>
    <t>ODP091793</t>
  </si>
  <si>
    <t>ODP091794</t>
  </si>
  <si>
    <t>ODP091795</t>
  </si>
  <si>
    <t>ODP091796</t>
  </si>
  <si>
    <t>ODP091798</t>
  </si>
  <si>
    <t>ODP091799</t>
  </si>
  <si>
    <t>ODP091802</t>
  </si>
  <si>
    <t>ODP091806</t>
  </si>
  <si>
    <t>ODP091807</t>
  </si>
  <si>
    <t>ODP091808</t>
  </si>
  <si>
    <t>ODP091810</t>
  </si>
  <si>
    <t>ODP091812</t>
  </si>
  <si>
    <t>ODP091931</t>
  </si>
  <si>
    <t>ODP091933</t>
  </si>
  <si>
    <t>ODP091935</t>
  </si>
  <si>
    <t>ODP091948</t>
  </si>
  <si>
    <t>ODP091949</t>
  </si>
  <si>
    <t>ODP091969</t>
  </si>
  <si>
    <t>831</t>
  </si>
  <si>
    <t>PALMERITAS 12</t>
  </si>
  <si>
    <t>ODP091970</t>
  </si>
  <si>
    <t>829</t>
  </si>
  <si>
    <t>ESPUMILLAS SIMPLES 12</t>
  </si>
  <si>
    <t>ODP091971</t>
  </si>
  <si>
    <t>ODP091972</t>
  </si>
  <si>
    <t>ODP091974</t>
  </si>
  <si>
    <t>ODP091977</t>
  </si>
  <si>
    <t>T161</t>
  </si>
  <si>
    <t>GALLETAS SAFARI 5 PACK</t>
  </si>
  <si>
    <t>Centro 5</t>
  </si>
  <si>
    <t>ODP091978</t>
  </si>
  <si>
    <t>OPC009535</t>
  </si>
  <si>
    <t>OPC009536</t>
  </si>
  <si>
    <t>OPC009537</t>
  </si>
  <si>
    <t>OPC009539</t>
  </si>
  <si>
    <t>OPC009552</t>
  </si>
  <si>
    <t>OPM015917</t>
  </si>
  <si>
    <t>0010</t>
  </si>
  <si>
    <t>MILHOJA C06</t>
  </si>
  <si>
    <t>OPM015918</t>
  </si>
  <si>
    <t>OPM015935</t>
  </si>
  <si>
    <t>OPM015936</t>
  </si>
  <si>
    <t>OPM015938</t>
  </si>
  <si>
    <t>PRP-001380</t>
  </si>
  <si>
    <t>ODP091548</t>
  </si>
  <si>
    <t>ODP091713</t>
  </si>
  <si>
    <t>ODP091853</t>
  </si>
  <si>
    <t>ODP091911</t>
  </si>
  <si>
    <t>ODP091834</t>
  </si>
  <si>
    <t>ODP091885</t>
  </si>
  <si>
    <t>ODP091235</t>
  </si>
  <si>
    <t>ODP091851</t>
  </si>
  <si>
    <t>ODP091432</t>
  </si>
  <si>
    <t>ODP091847</t>
  </si>
  <si>
    <t>ODP091907</t>
  </si>
  <si>
    <t>ODP091835</t>
  </si>
  <si>
    <t>ODP091886</t>
  </si>
  <si>
    <t>ODP091852</t>
  </si>
  <si>
    <t>ODP091910</t>
  </si>
  <si>
    <t>ODP091412</t>
  </si>
  <si>
    <t>ODP091831</t>
  </si>
  <si>
    <t>ODP091883</t>
  </si>
  <si>
    <t>ODP091908</t>
  </si>
  <si>
    <t>ODP091826</t>
  </si>
  <si>
    <t>ODP091683</t>
  </si>
  <si>
    <t>ODP091828</t>
  </si>
  <si>
    <t>ODP091880</t>
  </si>
  <si>
    <t>ODP091524</t>
  </si>
  <si>
    <t>ODP091841</t>
  </si>
  <si>
    <t>ODP091515</t>
  </si>
  <si>
    <t>ODP091832</t>
  </si>
  <si>
    <t>ODP091884</t>
  </si>
  <si>
    <t>ODP091837</t>
  </si>
  <si>
    <t>OPM015894</t>
  </si>
  <si>
    <t>OPM015903</t>
  </si>
  <si>
    <t>OPM015927</t>
  </si>
  <si>
    <t>ODP091443</t>
  </si>
  <si>
    <t>ODP091539</t>
  </si>
  <si>
    <t>ODP091982</t>
  </si>
  <si>
    <t>ODP091840</t>
  </si>
  <si>
    <t>ODP091893</t>
  </si>
  <si>
    <t>ODP091981</t>
  </si>
  <si>
    <t>ODP091542</t>
  </si>
  <si>
    <t>ODP091863</t>
  </si>
  <si>
    <t>ODP091506</t>
  </si>
  <si>
    <t>ODP091822</t>
  </si>
  <si>
    <t>ODP091874</t>
  </si>
  <si>
    <t>ODP091504</t>
  </si>
  <si>
    <t>ODP091872</t>
  </si>
  <si>
    <t>ODP091507</t>
  </si>
  <si>
    <t>ODP091979</t>
  </si>
  <si>
    <t>ODP091980</t>
  </si>
  <si>
    <t>ODP091706</t>
  </si>
  <si>
    <t>ODP091905</t>
  </si>
  <si>
    <t>ODP091411</t>
  </si>
  <si>
    <t>ODP091513</t>
  </si>
  <si>
    <t>ODP091690</t>
  </si>
  <si>
    <t>ODP091830</t>
  </si>
  <si>
    <t>ODP091882</t>
  </si>
  <si>
    <t>ODP091638</t>
  </si>
  <si>
    <t>ODP091689</t>
  </si>
  <si>
    <t>ODP091829</t>
  </si>
  <si>
    <t>ODP091881</t>
  </si>
  <si>
    <t>ODP091892</t>
  </si>
  <si>
    <t>ODP091891</t>
  </si>
  <si>
    <t>ODP091527</t>
  </si>
  <si>
    <t>ODP091701</t>
  </si>
  <si>
    <t>ODP091843</t>
  </si>
  <si>
    <t>ODP091868</t>
  </si>
  <si>
    <t>ODP091897</t>
  </si>
  <si>
    <t>OPM015892</t>
  </si>
  <si>
    <t>OPM015912</t>
  </si>
  <si>
    <t>OPM015925</t>
  </si>
  <si>
    <t>OPM015931</t>
  </si>
  <si>
    <t>OPM015893</t>
  </si>
  <si>
    <t>OPM015913</t>
  </si>
  <si>
    <t>OPM015926</t>
  </si>
  <si>
    <t>OPM015932</t>
  </si>
  <si>
    <t>OPM015922</t>
  </si>
  <si>
    <t>OPM015877</t>
  </si>
  <si>
    <t>OPM015890</t>
  </si>
  <si>
    <t>OPM015899</t>
  </si>
  <si>
    <t>OPM015923</t>
  </si>
  <si>
    <t>OPM015930</t>
  </si>
  <si>
    <t>ODP091538</t>
  </si>
  <si>
    <t>ODP091431</t>
  </si>
  <si>
    <t>U001</t>
  </si>
  <si>
    <t>NUDITOS DE AJO UNIDAD</t>
  </si>
  <si>
    <t>ODP091728</t>
  </si>
  <si>
    <t>ODP091856</t>
  </si>
  <si>
    <t>ODP091915</t>
  </si>
  <si>
    <t>ODP091043</t>
  </si>
  <si>
    <t>ODP091139</t>
  </si>
  <si>
    <t>ODP091339</t>
  </si>
  <si>
    <t>ODP091715</t>
  </si>
  <si>
    <t>ODP091855</t>
  </si>
  <si>
    <t>ODP091913</t>
  </si>
  <si>
    <t>ODP090605</t>
  </si>
  <si>
    <t>ODP091138</t>
  </si>
  <si>
    <t>ODP091338</t>
  </si>
  <si>
    <t>ODP091854</t>
  </si>
  <si>
    <t>ODP091453</t>
  </si>
  <si>
    <t>ODP091452</t>
  </si>
  <si>
    <t>ODP091545</t>
  </si>
  <si>
    <t>ODP091864</t>
  </si>
  <si>
    <t>104</t>
  </si>
  <si>
    <t>PAN DE YEMAS 01</t>
  </si>
  <si>
    <t>ODP091340</t>
  </si>
  <si>
    <t>ODP091861</t>
  </si>
  <si>
    <t>OPC009520</t>
  </si>
  <si>
    <t>OPC009518</t>
  </si>
  <si>
    <t>OPC009530</t>
  </si>
  <si>
    <t>OPC009543</t>
  </si>
  <si>
    <t>OPC009521</t>
  </si>
  <si>
    <t>OPC009544</t>
  </si>
  <si>
    <t>OPC009545</t>
  </si>
  <si>
    <t>OPC009517</t>
  </si>
  <si>
    <t>OPC009542</t>
  </si>
  <si>
    <t>OPC009555</t>
  </si>
  <si>
    <t>OPC009522</t>
  </si>
  <si>
    <t>OPC009540</t>
  </si>
  <si>
    <t>OPC009534</t>
  </si>
  <si>
    <t>OPC009541</t>
  </si>
  <si>
    <t>ODP091536</t>
  </si>
  <si>
    <t>ODP091720</t>
  </si>
  <si>
    <t>ODP091858</t>
  </si>
  <si>
    <t>ODP091896</t>
  </si>
  <si>
    <t>ODP091537</t>
  </si>
  <si>
    <t>ODP091721</t>
  </si>
  <si>
    <t>OPC009519</t>
  </si>
  <si>
    <t>OPC009556</t>
  </si>
  <si>
    <t>ODP091696</t>
  </si>
  <si>
    <t>ODP091838</t>
  </si>
  <si>
    <t>ODP091845</t>
  </si>
  <si>
    <t>ODP091417</t>
  </si>
  <si>
    <t>ODP091418</t>
  </si>
  <si>
    <t>ODP091505</t>
  </si>
  <si>
    <t>ODP091973</t>
  </si>
  <si>
    <t>STRUDEL DE PIÃ‘A</t>
  </si>
  <si>
    <t>ODP091820</t>
  </si>
  <si>
    <t>ODP091824</t>
  </si>
  <si>
    <t>ODP091877</t>
  </si>
  <si>
    <t>ODP091827</t>
  </si>
  <si>
    <t>ODP091879</t>
  </si>
  <si>
    <t>ODP091332</t>
  </si>
  <si>
    <t>ODP091729</t>
  </si>
  <si>
    <t>ODP092113</t>
  </si>
  <si>
    <t>ODP091595</t>
  </si>
  <si>
    <t>ODP091871</t>
  </si>
  <si>
    <t>ODP091503</t>
  </si>
  <si>
    <t>ODP091844</t>
  </si>
  <si>
    <t>F113</t>
  </si>
  <si>
    <t>(WM) BOLILLO CON FRIJOL</t>
  </si>
  <si>
    <t>Semana 31</t>
  </si>
  <si>
    <t>Semana 32</t>
  </si>
  <si>
    <t>FPY por semana — julio-agosto 2026</t>
  </si>
  <si>
    <t>OPC009598</t>
  </si>
  <si>
    <t>OPC009610</t>
  </si>
  <si>
    <t>OPM015973</t>
  </si>
  <si>
    <t>OPM015995</t>
  </si>
  <si>
    <t>OPM016016</t>
  </si>
  <si>
    <t>ODP092076</t>
  </si>
  <si>
    <t>ODP092168</t>
  </si>
  <si>
    <t>ODP092478</t>
  </si>
  <si>
    <t>ODP092587</t>
  </si>
  <si>
    <t>ODP093065</t>
  </si>
  <si>
    <t>ODP092331</t>
  </si>
  <si>
    <t>T398</t>
  </si>
  <si>
    <t>CHAMPUPOLVOROSA DE NARANJA 5U</t>
  </si>
  <si>
    <t>ODP092488</t>
  </si>
  <si>
    <t>ODP092595</t>
  </si>
  <si>
    <t>ODP092941</t>
  </si>
  <si>
    <t>ODP092202</t>
  </si>
  <si>
    <t>ODP092517</t>
  </si>
  <si>
    <t>ODP092879</t>
  </si>
  <si>
    <t>ODP093104</t>
  </si>
  <si>
    <t>ODP092190</t>
  </si>
  <si>
    <t>ODP092305</t>
  </si>
  <si>
    <t>ODP092503</t>
  </si>
  <si>
    <t>ODP092709</t>
  </si>
  <si>
    <t>ODP093091</t>
  </si>
  <si>
    <t>OPM015983</t>
  </si>
  <si>
    <t>OPC009568</t>
  </si>
  <si>
    <t>OPC009579</t>
  </si>
  <si>
    <t>OPC009596</t>
  </si>
  <si>
    <t>OPC009611</t>
  </si>
  <si>
    <t>OPC009627</t>
  </si>
  <si>
    <t>OPC009650</t>
  </si>
  <si>
    <t>ODP092086</t>
  </si>
  <si>
    <t>ODP092332</t>
  </si>
  <si>
    <t>ODP092631</t>
  </si>
  <si>
    <t>ODP093167</t>
  </si>
  <si>
    <t>ODP092199</t>
  </si>
  <si>
    <t>ODP092200</t>
  </si>
  <si>
    <t>ODP092216</t>
  </si>
  <si>
    <t>ODP092217</t>
  </si>
  <si>
    <t>ODP092314</t>
  </si>
  <si>
    <t>ODP092315</t>
  </si>
  <si>
    <t>ODP092359</t>
  </si>
  <si>
    <t>ODP092360</t>
  </si>
  <si>
    <t>ODP092513</t>
  </si>
  <si>
    <t>ODP092514</t>
  </si>
  <si>
    <t>ODP092619</t>
  </si>
  <si>
    <t>ODP092620</t>
  </si>
  <si>
    <t>ODP092718</t>
  </si>
  <si>
    <t>ODP092719</t>
  </si>
  <si>
    <t>ODP092102</t>
  </si>
  <si>
    <t>ODP092119</t>
  </si>
  <si>
    <t>ODP092191</t>
  </si>
  <si>
    <t>ODP092214</t>
  </si>
  <si>
    <t>ODP092306</t>
  </si>
  <si>
    <t>ODP092350</t>
  </si>
  <si>
    <t>ODP092504</t>
  </si>
  <si>
    <t>ODP092611</t>
  </si>
  <si>
    <t>ODP092710</t>
  </si>
  <si>
    <t>ODP092867</t>
  </si>
  <si>
    <t>ODP092920</t>
  </si>
  <si>
    <t>ODP092209</t>
  </si>
  <si>
    <t>S105</t>
  </si>
  <si>
    <t>GALLETA 2 PACK INDEPENDENCIA</t>
  </si>
  <si>
    <t>ODP092410</t>
  </si>
  <si>
    <t>ODP092526</t>
  </si>
  <si>
    <t>ODP092727</t>
  </si>
  <si>
    <t>ODP092938</t>
  </si>
  <si>
    <t>T324</t>
  </si>
  <si>
    <t>GALLETA CARAMELO</t>
  </si>
  <si>
    <t>ODP092286</t>
  </si>
  <si>
    <t>ODP092523</t>
  </si>
  <si>
    <t>ODP092698</t>
  </si>
  <si>
    <t>ODP093073</t>
  </si>
  <si>
    <t>ODP093106</t>
  </si>
  <si>
    <t>ODP092118</t>
  </si>
  <si>
    <t>S106</t>
  </si>
  <si>
    <t>GALLETA DE HIGO BOLSA 10U</t>
  </si>
  <si>
    <t>ODP092176</t>
  </si>
  <si>
    <t>ODP092287</t>
  </si>
  <si>
    <t>ODP092082</t>
  </si>
  <si>
    <t>ODP092173</t>
  </si>
  <si>
    <t>ODP092844</t>
  </si>
  <si>
    <t>ODP092083</t>
  </si>
  <si>
    <t>ODP092174</t>
  </si>
  <si>
    <t>ODP092845</t>
  </si>
  <si>
    <t>ODP092897</t>
  </si>
  <si>
    <t>T217</t>
  </si>
  <si>
    <t>GALLETAS FIESTA</t>
  </si>
  <si>
    <t>ODP092219</t>
  </si>
  <si>
    <t>ODP092220</t>
  </si>
  <si>
    <t>ODP092622</t>
  </si>
  <si>
    <t>ODP092721</t>
  </si>
  <si>
    <t>T399</t>
  </si>
  <si>
    <t>LOAF CHILE PIMIENTO UNIDAD</t>
  </si>
  <si>
    <t>ODP092725</t>
  </si>
  <si>
    <t>ODP093102</t>
  </si>
  <si>
    <t>ODP092702</t>
  </si>
  <si>
    <t>ODP092597</t>
  </si>
  <si>
    <t>ODP092635</t>
  </si>
  <si>
    <t>ODP092701</t>
  </si>
  <si>
    <t>ODP092290</t>
  </si>
  <si>
    <t>ODP092596</t>
  </si>
  <si>
    <t>OPC009565</t>
  </si>
  <si>
    <t>OPC009569</t>
  </si>
  <si>
    <t>OPC009570</t>
  </si>
  <si>
    <t>OPC009571</t>
  </si>
  <si>
    <t>OPC009572</t>
  </si>
  <si>
    <t>OPC009581</t>
  </si>
  <si>
    <t>OPC009582</t>
  </si>
  <si>
    <t>OPC009583</t>
  </si>
  <si>
    <t>OPC009597</t>
  </si>
  <si>
    <t>OPC009605</t>
  </si>
  <si>
    <t>OPC009606</t>
  </si>
  <si>
    <t>OPC009612</t>
  </si>
  <si>
    <t>OPC009613</t>
  </si>
  <si>
    <t>OPC009629</t>
  </si>
  <si>
    <t>OPC009643</t>
  </si>
  <si>
    <t>OPC009644</t>
  </si>
  <si>
    <t>OPM015959</t>
  </si>
  <si>
    <t>OPM015957</t>
  </si>
  <si>
    <t>OPM015972</t>
  </si>
  <si>
    <t>OPM015975</t>
  </si>
  <si>
    <t>OPM015994</t>
  </si>
  <si>
    <t>OPM016005</t>
  </si>
  <si>
    <t>OPM016015</t>
  </si>
  <si>
    <t>OPM015962</t>
  </si>
  <si>
    <t>OPM015958</t>
  </si>
  <si>
    <t>OPM015956</t>
  </si>
  <si>
    <t>OPM015971</t>
  </si>
  <si>
    <t>OPM015993</t>
  </si>
  <si>
    <t>OPM016014</t>
  </si>
  <si>
    <t>OPM016032</t>
  </si>
  <si>
    <t>OPM016060</t>
  </si>
  <si>
    <t>OPM015960</t>
  </si>
  <si>
    <t>OPM015948</t>
  </si>
  <si>
    <t>OPM015961</t>
  </si>
  <si>
    <t>OPM016004</t>
  </si>
  <si>
    <t>ODP091809</t>
  </si>
  <si>
    <t>ODP092101</t>
  </si>
  <si>
    <t>ODP092213</t>
  </si>
  <si>
    <t>ODP092349</t>
  </si>
  <si>
    <t>ODP092610</t>
  </si>
  <si>
    <t>ODP092866</t>
  </si>
  <si>
    <t>ODP092919</t>
  </si>
  <si>
    <t>ODP092708</t>
  </si>
  <si>
    <t>ODP092918</t>
  </si>
  <si>
    <t>ODP092334</t>
  </si>
  <si>
    <t>ODP092903</t>
  </si>
  <si>
    <t>ODP092634</t>
  </si>
  <si>
    <t>ODP092902</t>
  </si>
  <si>
    <t>ODP092280</t>
  </si>
  <si>
    <t>ODP092322</t>
  </si>
  <si>
    <t>ODP092479</t>
  </si>
  <si>
    <t>ODP092210</t>
  </si>
  <si>
    <t>T168</t>
  </si>
  <si>
    <t>PACK GALLETAS INDEPENDENCIA</t>
  </si>
  <si>
    <t>ODP092320</t>
  </si>
  <si>
    <t>ODP092524</t>
  </si>
  <si>
    <t>ODP092881</t>
  </si>
  <si>
    <t>ODP092104</t>
  </si>
  <si>
    <t>PALMERITAS</t>
  </si>
  <si>
    <t>ODP092105</t>
  </si>
  <si>
    <t>ODP092211</t>
  </si>
  <si>
    <t>ODP092626</t>
  </si>
  <si>
    <t>ODP092864</t>
  </si>
  <si>
    <t>ODP092303</t>
  </si>
  <si>
    <t>S130</t>
  </si>
  <si>
    <t>PASTEL DE CHOCOLATE</t>
  </si>
  <si>
    <t>ODP092342</t>
  </si>
  <si>
    <t>ODP092605</t>
  </si>
  <si>
    <t>ODP092192</t>
  </si>
  <si>
    <t>ODP092215</t>
  </si>
  <si>
    <t>ODP092307</t>
  </si>
  <si>
    <t>ODP092351</t>
  </si>
  <si>
    <t>ODP092505</t>
  </si>
  <si>
    <t>ODP092612</t>
  </si>
  <si>
    <t>ODP092711</t>
  </si>
  <si>
    <t>ODP092720</t>
  </si>
  <si>
    <t>ODP092931</t>
  </si>
  <si>
    <t>PRP-001382</t>
  </si>
  <si>
    <t>ODP092297</t>
  </si>
  <si>
    <t>ODP092632</t>
  </si>
  <si>
    <t>ODP092856</t>
  </si>
  <si>
    <t>ODP092884</t>
  </si>
  <si>
    <t>ODP092707</t>
  </si>
  <si>
    <t>F255</t>
  </si>
  <si>
    <t>(S7) POUND CAKE CALABAZA</t>
  </si>
  <si>
    <t>ODP092911</t>
  </si>
  <si>
    <t>ODP091939</t>
  </si>
  <si>
    <t>ODP092298</t>
  </si>
  <si>
    <t>ODP092907</t>
  </si>
  <si>
    <t>ODP092889</t>
  </si>
  <si>
    <t>F043</t>
  </si>
  <si>
    <t>(W) CHIQUIADOR DOMO 12</t>
  </si>
  <si>
    <t>ODP093066</t>
  </si>
  <si>
    <t>ODP092204</t>
  </si>
  <si>
    <t>F252</t>
  </si>
  <si>
    <t>(W) CONCHA DE COLORES ( 5 UNIDADES)</t>
  </si>
  <si>
    <t>ODP092197</t>
  </si>
  <si>
    <t>ODP092312</t>
  </si>
  <si>
    <t>ODP092890</t>
  </si>
  <si>
    <t>F058</t>
  </si>
  <si>
    <t>(W) ESPUMILLAS DOMO</t>
  </si>
  <si>
    <t>ODP093067</t>
  </si>
  <si>
    <t>ODP092887</t>
  </si>
  <si>
    <t>F220</t>
  </si>
  <si>
    <t>(WM) CHOCOPALITO</t>
  </si>
  <si>
    <t>ODP092925</t>
  </si>
  <si>
    <t>ODP092933</t>
  </si>
  <si>
    <t>ODP092940</t>
  </si>
  <si>
    <t>ODP092281</t>
  </si>
  <si>
    <t>ODP092325</t>
  </si>
  <si>
    <t>ODP093087</t>
  </si>
  <si>
    <t>F260</t>
  </si>
  <si>
    <t>(WM) MAGDALENA DE VAINILLA CON CHISPAS</t>
  </si>
  <si>
    <t>ODP092924</t>
  </si>
  <si>
    <t>ODP092203</t>
  </si>
  <si>
    <t>ODP092089</t>
  </si>
  <si>
    <t>ODP092335</t>
  </si>
  <si>
    <t>ODP092633</t>
  </si>
  <si>
    <t>ODP092904</t>
  </si>
  <si>
    <t>Total FABRICA ZONA 7</t>
  </si>
  <si>
    <t>ODP092023</t>
  </si>
  <si>
    <t>ODP092259</t>
  </si>
  <si>
    <t>ODP092393</t>
  </si>
  <si>
    <t>ODP092455</t>
  </si>
  <si>
    <t>ODP092675</t>
  </si>
  <si>
    <t>ODP092764</t>
  </si>
  <si>
    <t>ODP092820</t>
  </si>
  <si>
    <t>ODP091998</t>
  </si>
  <si>
    <t>ODP092234</t>
  </si>
  <si>
    <t>ODP092378</t>
  </si>
  <si>
    <t>ODP092432</t>
  </si>
  <si>
    <t>ODP092544</t>
  </si>
  <si>
    <t>ODP092628</t>
  </si>
  <si>
    <t>ODP092799</t>
  </si>
  <si>
    <t>ODP092257</t>
  </si>
  <si>
    <t>ODP092453</t>
  </si>
  <si>
    <t>ODP092253</t>
  </si>
  <si>
    <t>ODP092561</t>
  </si>
  <si>
    <t>ODP092760</t>
  </si>
  <si>
    <t>ODP092814</t>
  </si>
  <si>
    <t>ODP091999</t>
  </si>
  <si>
    <t>ODP092379</t>
  </si>
  <si>
    <t>ODP092411</t>
  </si>
  <si>
    <t>ODP092414</t>
  </si>
  <si>
    <t>ODP092433</t>
  </si>
  <si>
    <t>ODP092627</t>
  </si>
  <si>
    <t>ODP092654</t>
  </si>
  <si>
    <t>ODP092800</t>
  </si>
  <si>
    <t>ODP092258</t>
  </si>
  <si>
    <t>ODP092392</t>
  </si>
  <si>
    <t>ODP092728</t>
  </si>
  <si>
    <t>E018</t>
  </si>
  <si>
    <t>(BDK ML) PAN DE MANTECA / BUTTER BREAD</t>
  </si>
  <si>
    <t>ODP092232</t>
  </si>
  <si>
    <t>ODP092375</t>
  </si>
  <si>
    <t>ODP092797</t>
  </si>
  <si>
    <t>ODP092254</t>
  </si>
  <si>
    <t>ODP091991</t>
  </si>
  <si>
    <t>ODP092227</t>
  </si>
  <si>
    <t>ODP092370</t>
  </si>
  <si>
    <t>ODP092424</t>
  </si>
  <si>
    <t>ODP092371</t>
  </si>
  <si>
    <t>ODP092425</t>
  </si>
  <si>
    <t>ODP092225</t>
  </si>
  <si>
    <t>ODP092368</t>
  </si>
  <si>
    <t>ODP092422</t>
  </si>
  <si>
    <t>ODP092535</t>
  </si>
  <si>
    <t>ODP092629</t>
  </si>
  <si>
    <t>ODP092255</t>
  </si>
  <si>
    <t>ODP092390</t>
  </si>
  <si>
    <t>ODP092229</t>
  </si>
  <si>
    <t>ODP092427</t>
  </si>
  <si>
    <t>ODP092539</t>
  </si>
  <si>
    <t>ODP093165</t>
  </si>
  <si>
    <t>ODP092006</t>
  </si>
  <si>
    <t>ODP092242</t>
  </si>
  <si>
    <t>ODP091997</t>
  </si>
  <si>
    <t>ODP092233</t>
  </si>
  <si>
    <t>ODP092376</t>
  </si>
  <si>
    <t>ODP092431</t>
  </si>
  <si>
    <t>ODP092381</t>
  </si>
  <si>
    <t>ODP092377</t>
  </si>
  <si>
    <t>OPM015954</t>
  </si>
  <si>
    <t>OPM015968</t>
  </si>
  <si>
    <t>OPM015980</t>
  </si>
  <si>
    <t>OPM015990</t>
  </si>
  <si>
    <t>OPM016001</t>
  </si>
  <si>
    <t>OPM016011</t>
  </si>
  <si>
    <t>OPM016021</t>
  </si>
  <si>
    <t>OPM016028</t>
  </si>
  <si>
    <t>ODP092577</t>
  </si>
  <si>
    <t>ODP092685</t>
  </si>
  <si>
    <t>ODP092272</t>
  </si>
  <si>
    <t>ODP092776</t>
  </si>
  <si>
    <t>ODP092005</t>
  </si>
  <si>
    <t>ODP092386</t>
  </si>
  <si>
    <t>ODP092550</t>
  </si>
  <si>
    <t>ODP092403</t>
  </si>
  <si>
    <t>ODP092471</t>
  </si>
  <si>
    <t>ODP092581</t>
  </si>
  <si>
    <t>ODP091986</t>
  </si>
  <si>
    <t>ODP092124</t>
  </si>
  <si>
    <t>ODP092363</t>
  </si>
  <si>
    <t>ODP092416</t>
  </si>
  <si>
    <t>ODP092528</t>
  </si>
  <si>
    <t>ODP092117</t>
  </si>
  <si>
    <t>EMPANADA DE POLLO CON LOROCO Y AJONJOLI GRANDE</t>
  </si>
  <si>
    <t>ODP092120</t>
  </si>
  <si>
    <t>ODP092212</t>
  </si>
  <si>
    <t>ODP092939</t>
  </si>
  <si>
    <t>ODP093111</t>
  </si>
  <si>
    <t>ODP092115</t>
  </si>
  <si>
    <t>T322</t>
  </si>
  <si>
    <t>FRANCES CON FRIJOL Y QUESO</t>
  </si>
  <si>
    <t>ODP093166</t>
  </si>
  <si>
    <t>ODP092016</t>
  </si>
  <si>
    <t>ODP092252</t>
  </si>
  <si>
    <t>ODP092448</t>
  </si>
  <si>
    <t>ODP092560</t>
  </si>
  <si>
    <t>ODP092759</t>
  </si>
  <si>
    <t>ODP092813</t>
  </si>
  <si>
    <t>ODP091995</t>
  </si>
  <si>
    <t>ODP092231</t>
  </si>
  <si>
    <t>ODP092374</t>
  </si>
  <si>
    <t>ODP092429</t>
  </si>
  <si>
    <t>ODP092541</t>
  </si>
  <si>
    <t>ODP092630</t>
  </si>
  <si>
    <t>ODP092651</t>
  </si>
  <si>
    <t>ODP092796</t>
  </si>
  <si>
    <t>ODP091994</t>
  </si>
  <si>
    <t>ODP092230</t>
  </si>
  <si>
    <t>ODP092373</t>
  </si>
  <si>
    <t>ODP092428</t>
  </si>
  <si>
    <t>ODP092540</t>
  </si>
  <si>
    <t>ODP092650</t>
  </si>
  <si>
    <t>ODP092795</t>
  </si>
  <si>
    <t>ODP092624</t>
  </si>
  <si>
    <t>F125</t>
  </si>
  <si>
    <t>(GF) CHAPATA CON FRIJOL Y QUESOS</t>
  </si>
  <si>
    <t>ODP092885</t>
  </si>
  <si>
    <t>ODP092138</t>
  </si>
  <si>
    <t>ODP092241</t>
  </si>
  <si>
    <t>ODP092438</t>
  </si>
  <si>
    <t>ODP092623</t>
  </si>
  <si>
    <t>OPM015942</t>
  </si>
  <si>
    <t>OPM015952</t>
  </si>
  <si>
    <t>OPM015966</t>
  </si>
  <si>
    <t>OPM015978</t>
  </si>
  <si>
    <t>OPM015988</t>
  </si>
  <si>
    <t>OPM015999</t>
  </si>
  <si>
    <t>OPM016009</t>
  </si>
  <si>
    <t>OPM016019</t>
  </si>
  <si>
    <t>OPM016026</t>
  </si>
  <si>
    <t>OPM015943</t>
  </si>
  <si>
    <t>OPM015967</t>
  </si>
  <si>
    <t>OPM015979</t>
  </si>
  <si>
    <t>OPM015989</t>
  </si>
  <si>
    <t>OPM016000</t>
  </si>
  <si>
    <t>OPM016010</t>
  </si>
  <si>
    <t>OPM016020</t>
  </si>
  <si>
    <t>OPM016027</t>
  </si>
  <si>
    <t>OPM015951</t>
  </si>
  <si>
    <t>OPM015964</t>
  </si>
  <si>
    <t>OPM015977</t>
  </si>
  <si>
    <t>OPM015986</t>
  </si>
  <si>
    <t>OPM015997</t>
  </si>
  <si>
    <t>OPM016018</t>
  </si>
  <si>
    <t>OPM016024</t>
  </si>
  <si>
    <t>OPM016012</t>
  </si>
  <si>
    <t>PR052</t>
  </si>
  <si>
    <t>MASA MILHOJA C10 LIBRA</t>
  </si>
  <si>
    <t>ODP092401</t>
  </si>
  <si>
    <t>ODP091987</t>
  </si>
  <si>
    <t>ODP092934</t>
  </si>
  <si>
    <t>ODP091975</t>
  </si>
  <si>
    <t>207</t>
  </si>
  <si>
    <t>MOLLETE MEDIANO</t>
  </si>
  <si>
    <t>ODP092263</t>
  </si>
  <si>
    <t>ODP092397</t>
  </si>
  <si>
    <t>ODP092571</t>
  </si>
  <si>
    <t>ODP092025</t>
  </si>
  <si>
    <t>ODP092261</t>
  </si>
  <si>
    <t>ODP092395</t>
  </si>
  <si>
    <t>ODP092457</t>
  </si>
  <si>
    <t>ODP092677</t>
  </si>
  <si>
    <t>ODP092264</t>
  </si>
  <si>
    <t>ODP092224</t>
  </si>
  <si>
    <t>0872</t>
  </si>
  <si>
    <t>PAN DE AGUA REDONDO</t>
  </si>
  <si>
    <t>ODP092260</t>
  </si>
  <si>
    <t>ODP092394</t>
  </si>
  <si>
    <t>ODP092821</t>
  </si>
  <si>
    <t>ODP092036</t>
  </si>
  <si>
    <t>ODP092273</t>
  </si>
  <si>
    <t>ODP092039</t>
  </si>
  <si>
    <t>ODP092477</t>
  </si>
  <si>
    <t>ODP092262</t>
  </si>
  <si>
    <t>ODP092396</t>
  </si>
  <si>
    <t>ODP092458</t>
  </si>
  <si>
    <t>OPC009607</t>
  </si>
  <si>
    <t>027</t>
  </si>
  <si>
    <t>PICADO DE CHILE PIMIENTO</t>
  </si>
  <si>
    <t>PRP-001381</t>
  </si>
  <si>
    <t>PICADO DE PIÃ‘A LIBRA</t>
  </si>
  <si>
    <t>ODP092402</t>
  </si>
  <si>
    <t>ODP092788</t>
  </si>
  <si>
    <t>OPC009577</t>
  </si>
  <si>
    <t>OPC009588</t>
  </si>
  <si>
    <t>OPC009595</t>
  </si>
  <si>
    <t>OPC009620</t>
  </si>
  <si>
    <t>OPC009626</t>
  </si>
  <si>
    <t>OPC009614</t>
  </si>
  <si>
    <t>RELLENO DE PIÃ‘A ISOPAN</t>
  </si>
  <si>
    <t>OPC009585</t>
  </si>
  <si>
    <t>OPC009600</t>
  </si>
  <si>
    <t>OPC009622</t>
  </si>
  <si>
    <t>OPC009573</t>
  </si>
  <si>
    <t>OPC009584</t>
  </si>
  <si>
    <t>OPC009591</t>
  </si>
  <si>
    <t>OPC009567</t>
  </si>
  <si>
    <t>OPC009632</t>
  </si>
  <si>
    <t>OPC009574</t>
  </si>
  <si>
    <t>OPC009592</t>
  </si>
  <si>
    <t>OPC009616</t>
  </si>
  <si>
    <t>ODP092029</t>
  </si>
  <si>
    <t>ODP092160</t>
  </si>
  <si>
    <t>ODP092266</t>
  </si>
  <si>
    <t>ODP092525</t>
  </si>
  <si>
    <t>ODP092574</t>
  </si>
  <si>
    <t>ODP092682</t>
  </si>
  <si>
    <t>ODP092770</t>
  </si>
  <si>
    <t>ODP092008</t>
  </si>
  <si>
    <t>ODP092244</t>
  </si>
  <si>
    <t>ODP092554</t>
  </si>
  <si>
    <t>ODP092662</t>
  </si>
  <si>
    <t>ODP092267</t>
  </si>
  <si>
    <t>ODP092575</t>
  </si>
  <si>
    <t>OPC009576</t>
  </si>
  <si>
    <t>ODP092237</t>
  </si>
  <si>
    <t>ODP092382</t>
  </si>
  <si>
    <t>ODP092435</t>
  </si>
  <si>
    <t>ODP092547</t>
  </si>
  <si>
    <t>ODP092247</t>
  </si>
  <si>
    <t>ODP092557</t>
  </si>
  <si>
    <t>ODP092238</t>
  </si>
  <si>
    <t>ODP092383</t>
  </si>
  <si>
    <t>ODP092436</t>
  </si>
  <si>
    <t>ODP092882</t>
  </si>
  <si>
    <t>ODP092239</t>
  </si>
  <si>
    <t>ODP092437</t>
  </si>
  <si>
    <t>ODP092123</t>
  </si>
  <si>
    <t>ODP092222</t>
  </si>
  <si>
    <t>ODP092221</t>
  </si>
  <si>
    <t>ODP092734</t>
  </si>
  <si>
    <t>ODP092791</t>
  </si>
  <si>
    <t>ODP092367</t>
  </si>
  <si>
    <t>0921</t>
  </si>
  <si>
    <t>(TF) CIABATA 17</t>
  </si>
  <si>
    <t>ODP091992</t>
  </si>
  <si>
    <t>ODP092389</t>
  </si>
  <si>
    <t>ODP092206</t>
  </si>
  <si>
    <t>ODP092415</t>
  </si>
  <si>
    <t>ODP092637</t>
  </si>
  <si>
    <t>ODP092362</t>
  </si>
  <si>
    <t>ODP092527</t>
  </si>
  <si>
    <t>ODP092784</t>
  </si>
  <si>
    <t>ODP092265</t>
  </si>
  <si>
    <t>ODP092636</t>
  </si>
  <si>
    <t>ODP092256</t>
  </si>
  <si>
    <t>0961</t>
  </si>
  <si>
    <t>(W) BAGUETTINA ITALIANA 17</t>
  </si>
  <si>
    <t>ODP092391</t>
  </si>
  <si>
    <t>ODP092443</t>
  </si>
  <si>
    <t>ODP092143</t>
  </si>
  <si>
    <t>ODP092556</t>
  </si>
  <si>
    <t>ODP092664</t>
  </si>
  <si>
    <t>ODP092114</t>
  </si>
  <si>
    <t>F253</t>
  </si>
  <si>
    <t>(W) ROSCA XELA</t>
  </si>
  <si>
    <t>ODP092409</t>
  </si>
  <si>
    <t>Total FABRICA UTATLAN</t>
  </si>
  <si>
    <t>Grand Total</t>
  </si>
  <si>
    <t>Semana 33</t>
  </si>
  <si>
    <t>Semana 34</t>
  </si>
  <si>
    <t>Total 28-34</t>
  </si>
  <si>
    <t>Alcance: se consolidan las dos tablas de la hoja1 (FABRICA ZONA 7, filas 4–633; FABRICA UTATLAN, filas 637–1595) en un solo cuadro comparativo por centro de producción.</t>
  </si>
  <si>
    <t>Datos al 21/8</t>
  </si>
  <si>
    <t>reporte: Rendimiento y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</si>
</sst>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"/>
    <numFmt numFmtId="166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rgb="FF1F3864"/>
      <name val="Aptos Narrow"/>
      <family val="2"/>
      <scheme val="minor"/>
    </font>
    <font>
      <i/>
      <sz val="10"/>
      <color rgb="FF595959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sz val="11"/>
      <color rgb="FF0000FF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8">
    <xf numFmtId="0" fontId="0" fillId="0" borderId="0" xfId="0"/>
    <xf numFmtId="49" fontId="0" fillId="0" borderId="0" xfId="0" applyNumberFormat="1"/>
    <xf numFmtId="14" fontId="0" fillId="0" borderId="0" xfId="0" applyNumberFormat="1"/>
    <xf numFmtId="0" fontId="16" fillId="0" borderId="0" xfId="0" applyFont="1"/>
    <xf numFmtId="49" fontId="16" fillId="0" borderId="0" xfId="0" applyNumberFormat="1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33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13" xfId="0" applyBorder="1"/>
    <xf numFmtId="0" fontId="0" fillId="0" borderId="14" xfId="0" applyBorder="1"/>
    <xf numFmtId="3" fontId="0" fillId="0" borderId="14" xfId="0" applyNumberFormat="1" applyBorder="1"/>
    <xf numFmtId="164" fontId="0" fillId="0" borderId="14" xfId="0" applyNumberFormat="1" applyBorder="1"/>
    <xf numFmtId="164" fontId="0" fillId="0" borderId="15" xfId="0" applyNumberFormat="1" applyBorder="1"/>
    <xf numFmtId="0" fontId="16" fillId="35" borderId="13" xfId="0" applyFont="1" applyFill="1" applyBorder="1"/>
    <xf numFmtId="0" fontId="16" fillId="35" borderId="14" xfId="0" applyFont="1" applyFill="1" applyBorder="1"/>
    <xf numFmtId="3" fontId="16" fillId="35" borderId="14" xfId="0" applyNumberFormat="1" applyFont="1" applyFill="1" applyBorder="1"/>
    <xf numFmtId="164" fontId="16" fillId="35" borderId="14" xfId="0" applyNumberFormat="1" applyFont="1" applyFill="1" applyBorder="1"/>
    <xf numFmtId="164" fontId="16" fillId="35" borderId="15" xfId="0" applyNumberFormat="1" applyFont="1" applyFill="1" applyBorder="1"/>
    <xf numFmtId="0" fontId="21" fillId="34" borderId="13" xfId="0" applyFont="1" applyFill="1" applyBorder="1" applyAlignment="1">
      <alignment horizontal="center" wrapText="1"/>
    </xf>
    <xf numFmtId="0" fontId="21" fillId="34" borderId="14" xfId="0" applyFont="1" applyFill="1" applyBorder="1" applyAlignment="1">
      <alignment horizontal="center" wrapText="1"/>
    </xf>
    <xf numFmtId="0" fontId="21" fillId="34" borderId="15" xfId="0" applyFont="1" applyFill="1" applyBorder="1" applyAlignment="1">
      <alignment horizontal="center" wrapText="1"/>
    </xf>
    <xf numFmtId="0" fontId="16" fillId="0" borderId="13" xfId="0" applyFont="1" applyBorder="1"/>
    <xf numFmtId="0" fontId="23" fillId="0" borderId="0" xfId="0" applyFont="1"/>
    <xf numFmtId="0" fontId="24" fillId="0" borderId="0" xfId="0" applyFont="1"/>
    <xf numFmtId="0" fontId="22" fillId="0" borderId="0" xfId="0" applyFont="1"/>
    <xf numFmtId="0" fontId="25" fillId="0" borderId="0" xfId="0" applyFont="1"/>
    <xf numFmtId="0" fontId="21" fillId="34" borderId="10" xfId="0" applyFont="1" applyFill="1" applyBorder="1" applyAlignment="1">
      <alignment wrapText="1"/>
    </xf>
    <xf numFmtId="0" fontId="21" fillId="34" borderId="11" xfId="0" applyFont="1" applyFill="1" applyBorder="1" applyAlignment="1">
      <alignment wrapText="1"/>
    </xf>
    <xf numFmtId="0" fontId="21" fillId="34" borderId="12" xfId="0" applyFont="1" applyFill="1" applyBorder="1" applyAlignment="1">
      <alignment wrapText="1"/>
    </xf>
    <xf numFmtId="2" fontId="0" fillId="0" borderId="14" xfId="0" applyNumberFormat="1" applyBorder="1"/>
    <xf numFmtId="2" fontId="0" fillId="0" borderId="15" xfId="0" applyNumberFormat="1" applyBorder="1"/>
    <xf numFmtId="0" fontId="0" fillId="0" borderId="16" xfId="0" applyBorder="1"/>
    <xf numFmtId="2" fontId="0" fillId="0" borderId="17" xfId="0" applyNumberFormat="1" applyBorder="1"/>
    <xf numFmtId="2" fontId="0" fillId="0" borderId="18" xfId="0" applyNumberFormat="1" applyBorder="1"/>
    <xf numFmtId="0" fontId="26" fillId="0" borderId="0" xfId="0" applyFont="1"/>
    <xf numFmtId="0" fontId="27" fillId="0" borderId="0" xfId="0" applyFont="1"/>
    <xf numFmtId="0" fontId="16" fillId="0" borderId="14" xfId="0" applyFont="1" applyBorder="1"/>
    <xf numFmtId="0" fontId="13" fillId="0" borderId="0" xfId="0" applyFont="1"/>
    <xf numFmtId="0" fontId="17" fillId="0" borderId="0" xfId="0" applyFont="1"/>
    <xf numFmtId="0" fontId="21" fillId="36" borderId="19" xfId="0" applyFont="1" applyFill="1" applyBorder="1" applyAlignment="1">
      <alignment horizontal="center"/>
    </xf>
    <xf numFmtId="3" fontId="0" fillId="0" borderId="19" xfId="0" applyNumberFormat="1" applyBorder="1"/>
    <xf numFmtId="0" fontId="0" fillId="33" borderId="0" xfId="0" applyFill="1"/>
    <xf numFmtId="2" fontId="0" fillId="0" borderId="0" xfId="0" applyNumberFormat="1"/>
    <xf numFmtId="0" fontId="27" fillId="0" borderId="0" xfId="0" applyFont="1" applyBorder="1"/>
    <xf numFmtId="165" fontId="28" fillId="0" borderId="0" xfId="0" applyNumberFormat="1" applyFon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0" xfId="0" applyBorder="1"/>
    <xf numFmtId="0" fontId="21" fillId="36" borderId="19" xfId="0" applyFont="1" applyFill="1" applyBorder="1" applyAlignment="1">
      <alignment horizontal="center"/>
    </xf>
    <xf numFmtId="3" fontId="16" fillId="37" borderId="19" xfId="0" applyNumberFormat="1" applyFont="1" applyFill="1" applyBorder="1"/>
    <xf numFmtId="166" fontId="0" fillId="0" borderId="19" xfId="0" applyNumberFormat="1" applyBorder="1"/>
    <xf numFmtId="166" fontId="16" fillId="37" borderId="19" xfId="0" applyNumberFormat="1" applyFont="1" applyFill="1" applyBorder="1"/>
    <xf numFmtId="0" fontId="21" fillId="36" borderId="19" xfId="0" applyFont="1" applyFill="1" applyBorder="1" applyAlignment="1">
      <alignment horizontal="left"/>
    </xf>
    <xf numFmtId="0" fontId="0" fillId="0" borderId="19" xfId="0" applyBorder="1"/>
    <xf numFmtId="0" fontId="16" fillId="37" borderId="19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Rendimiento ponderado % por centro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Análisis!$B$61</c:f>
              <c:strCache>
                <c:ptCount val="1"/>
                <c:pt idx="0">
                  <c:v>Rendimiento ponderado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Análisis!$A$62:$A$73</c:f>
              <c:strCache>
                <c:ptCount val="12"/>
                <c:pt idx="0">
                  <c:v>Centro 2</c:v>
                </c:pt>
                <c:pt idx="1">
                  <c:v>Centro 3</c:v>
                </c:pt>
                <c:pt idx="2">
                  <c:v>Centro 6</c:v>
                </c:pt>
                <c:pt idx="3">
                  <c:v>CENTRO INTERMEDIO ZONA 7</c:v>
                </c:pt>
                <c:pt idx="4">
                  <c:v>SIN GLUTEN</c:v>
                </c:pt>
                <c:pt idx="5">
                  <c:v>Centro 7</c:v>
                </c:pt>
                <c:pt idx="6">
                  <c:v>Centro 8</c:v>
                </c:pt>
                <c:pt idx="7">
                  <c:v>Centro 9</c:v>
                </c:pt>
                <c:pt idx="8">
                  <c:v>Centro 10</c:v>
                </c:pt>
                <c:pt idx="9">
                  <c:v>Centro 88</c:v>
                </c:pt>
                <c:pt idx="10">
                  <c:v>CENTRO INTERMEDIO UTATLAN</c:v>
                </c:pt>
                <c:pt idx="11">
                  <c:v>REEMPAQUE</c:v>
                </c:pt>
              </c:strCache>
            </c:strRef>
          </c:cat>
          <c:val>
            <c:numRef>
              <c:f>Análisis!$B$62:$B$73</c:f>
              <c:numCache>
                <c:formatCode>0.00</c:formatCode>
                <c:ptCount val="12"/>
                <c:pt idx="0">
                  <c:v>106.36251639311686</c:v>
                </c:pt>
                <c:pt idx="1">
                  <c:v>105.55581679676477</c:v>
                </c:pt>
                <c:pt idx="2">
                  <c:v>102.34935776350586</c:v>
                </c:pt>
                <c:pt idx="3">
                  <c:v>100</c:v>
                </c:pt>
                <c:pt idx="4">
                  <c:v>100.16638935108153</c:v>
                </c:pt>
                <c:pt idx="5">
                  <c:v>99.549225338155495</c:v>
                </c:pt>
                <c:pt idx="6">
                  <c:v>99.585697026998631</c:v>
                </c:pt>
                <c:pt idx="7">
                  <c:v>88.185740477122778</c:v>
                </c:pt>
                <c:pt idx="8">
                  <c:v>100.30591063039441</c:v>
                </c:pt>
                <c:pt idx="9">
                  <c:v>97.706611164562432</c:v>
                </c:pt>
                <c:pt idx="10">
                  <c:v>100.78177236023247</c:v>
                </c:pt>
                <c:pt idx="11">
                  <c:v>101.48011100832564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B4-47C0-A22A-7E4F90445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999519"/>
        <c:axId val="1579046063"/>
      </c:barChart>
      <c:catAx>
        <c:axId val="132299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579046063"/>
        <c:crosses val="autoZero"/>
        <c:auto val="1"/>
        <c:lblAlgn val="ctr"/>
        <c:lblOffset val="100"/>
        <c:noMultiLvlLbl val="0"/>
      </c:catAx>
      <c:valAx>
        <c:axId val="157904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322999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Merma ponderada % por centro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G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Análisis!$C$61</c:f>
              <c:strCache>
                <c:ptCount val="1"/>
                <c:pt idx="0">
                  <c:v>Merma ponderada %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Análisis!$A$62:$A$73</c:f>
              <c:strCache>
                <c:ptCount val="12"/>
                <c:pt idx="0">
                  <c:v>Centro 2</c:v>
                </c:pt>
                <c:pt idx="1">
                  <c:v>Centro 3</c:v>
                </c:pt>
                <c:pt idx="2">
                  <c:v>Centro 6</c:v>
                </c:pt>
                <c:pt idx="3">
                  <c:v>CENTRO INTERMEDIO ZONA 7</c:v>
                </c:pt>
                <c:pt idx="4">
                  <c:v>SIN GLUTEN</c:v>
                </c:pt>
                <c:pt idx="5">
                  <c:v>Centro 7</c:v>
                </c:pt>
                <c:pt idx="6">
                  <c:v>Centro 8</c:v>
                </c:pt>
                <c:pt idx="7">
                  <c:v>Centro 9</c:v>
                </c:pt>
                <c:pt idx="8">
                  <c:v>Centro 10</c:v>
                </c:pt>
                <c:pt idx="9">
                  <c:v>Centro 88</c:v>
                </c:pt>
                <c:pt idx="10">
                  <c:v>CENTRO INTERMEDIO UTATLAN</c:v>
                </c:pt>
                <c:pt idx="11">
                  <c:v>REEMPAQUE</c:v>
                </c:pt>
              </c:strCache>
            </c:strRef>
          </c:cat>
          <c:val>
            <c:numRef>
              <c:f>Análisis!$C$62:$C$73</c:f>
              <c:numCache>
                <c:formatCode>0.00</c:formatCode>
                <c:ptCount val="12"/>
                <c:pt idx="0">
                  <c:v>1.4518024335696145</c:v>
                </c:pt>
                <c:pt idx="1">
                  <c:v>0.95116028062601188</c:v>
                </c:pt>
                <c:pt idx="2">
                  <c:v>0.68989547038327526</c:v>
                </c:pt>
                <c:pt idx="3">
                  <c:v>0</c:v>
                </c:pt>
                <c:pt idx="4">
                  <c:v>0.83752093802345051</c:v>
                </c:pt>
                <c:pt idx="5">
                  <c:v>2.8375530511430722</c:v>
                </c:pt>
                <c:pt idx="6">
                  <c:v>0.14327593492499471</c:v>
                </c:pt>
                <c:pt idx="7">
                  <c:v>5.8015937479419577</c:v>
                </c:pt>
                <c:pt idx="8">
                  <c:v>2.0063885931206888</c:v>
                </c:pt>
                <c:pt idx="9">
                  <c:v>3.2385892116182569</c:v>
                </c:pt>
                <c:pt idx="10">
                  <c:v>0</c:v>
                </c:pt>
                <c:pt idx="11">
                  <c:v>1.4801110083256246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2B-4CFD-B7DA-013871330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3007407"/>
        <c:axId val="1579079663"/>
      </c:barChart>
      <c:catAx>
        <c:axId val="132300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579079663"/>
        <c:crosses val="autoZero"/>
        <c:auto val="1"/>
        <c:lblAlgn val="ctr"/>
        <c:lblOffset val="100"/>
        <c:noMultiLvlLbl val="0"/>
      </c:catAx>
      <c:valAx>
        <c:axId val="1579079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GT"/>
          </a:p>
        </c:txPr>
        <c:crossAx val="132300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G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74</xdr:row>
      <xdr:rowOff>0</xdr:rowOff>
    </xdr:from>
    <xdr:to>
      <xdr:col>8</xdr:col>
      <xdr:colOff>0</xdr:colOff>
      <xdr:row>95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0F2D57-B1C7-2092-E36A-A809A13C8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95</xdr:row>
      <xdr:rowOff>182879</xdr:rowOff>
    </xdr:from>
    <xdr:to>
      <xdr:col>8</xdr:col>
      <xdr:colOff>0</xdr:colOff>
      <xdr:row>116</xdr:row>
      <xdr:rowOff>182879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5281351-29C3-45B8-8068-C0ABD26AF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AA6B45D-59C4-486C-BAEF-6B84D1AB5A79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87447b0a-1077-4f69-8371-d08ac5ba3435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EEB34-984A-4963-BC89-10442EA8FBF7}">
  <dimension ref="A1:N1595"/>
  <sheetViews>
    <sheetView zoomScaleNormal="100" workbookViewId="0">
      <pane xSplit="4" ySplit="3" topLeftCell="E628" activePane="bottomRight" state="frozen"/>
      <selection activeCell="G299" sqref="G299"/>
      <selection pane="topRight" activeCell="G299" sqref="G299"/>
      <selection pane="bottomLeft" activeCell="G299" sqref="G299"/>
      <selection pane="bottomRight" activeCell="L316" sqref="L316"/>
    </sheetView>
  </sheetViews>
  <sheetFormatPr baseColWidth="10" defaultRowHeight="14.4" x14ac:dyDescent="0.3"/>
  <cols>
    <col min="5" max="5" width="31.109375" customWidth="1"/>
    <col min="6" max="6" width="20.33203125" customWidth="1"/>
    <col min="7" max="12" width="11.5546875" style="5"/>
  </cols>
  <sheetData>
    <row r="1" spans="1:14" x14ac:dyDescent="0.3">
      <c r="A1" t="s">
        <v>0</v>
      </c>
    </row>
    <row r="2" spans="1:14" x14ac:dyDescent="0.3">
      <c r="A2" t="s">
        <v>1</v>
      </c>
    </row>
    <row r="3" spans="1:14" x14ac:dyDescent="0.3">
      <c r="A3" s="3" t="s">
        <v>2</v>
      </c>
      <c r="B3" s="3" t="s">
        <v>3</v>
      </c>
      <c r="C3" s="3" t="s">
        <v>4</v>
      </c>
      <c r="D3" s="4" t="s">
        <v>5</v>
      </c>
      <c r="E3" s="3" t="s">
        <v>6</v>
      </c>
      <c r="F3" s="3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3" t="s">
        <v>14</v>
      </c>
      <c r="N3" s="3" t="s">
        <v>15</v>
      </c>
    </row>
    <row r="4" spans="1:14" x14ac:dyDescent="0.3">
      <c r="A4" t="s">
        <v>315</v>
      </c>
      <c r="B4" s="2">
        <v>46212</v>
      </c>
      <c r="C4" s="2">
        <v>46216</v>
      </c>
      <c r="D4" s="1" t="s">
        <v>316</v>
      </c>
      <c r="E4" t="s">
        <v>317</v>
      </c>
      <c r="F4" t="s">
        <v>97</v>
      </c>
      <c r="G4" s="5">
        <v>100</v>
      </c>
      <c r="H4" s="5">
        <v>105</v>
      </c>
      <c r="I4" s="5">
        <v>104</v>
      </c>
      <c r="J4" s="5">
        <v>1</v>
      </c>
      <c r="K4" s="8">
        <f t="shared" ref="K4:K67" si="0">(H4/G4)*100</f>
        <v>105</v>
      </c>
      <c r="L4" s="8">
        <f t="shared" ref="L4:L67" si="1">((H4-I4)/I4)*100</f>
        <v>0.96153846153846156</v>
      </c>
      <c r="M4" t="s">
        <v>20</v>
      </c>
      <c r="N4" t="s">
        <v>21</v>
      </c>
    </row>
    <row r="5" spans="1:14" x14ac:dyDescent="0.3">
      <c r="A5" t="s">
        <v>397</v>
      </c>
      <c r="B5" s="2">
        <v>46213</v>
      </c>
      <c r="C5" s="2">
        <v>46216</v>
      </c>
      <c r="D5" s="1" t="s">
        <v>398</v>
      </c>
      <c r="E5" t="s">
        <v>399</v>
      </c>
      <c r="F5" t="s">
        <v>39</v>
      </c>
      <c r="G5" s="5">
        <v>388</v>
      </c>
      <c r="H5" s="5">
        <v>464</v>
      </c>
      <c r="I5" s="5">
        <v>463</v>
      </c>
      <c r="J5" s="5">
        <v>1</v>
      </c>
      <c r="K5" s="8">
        <f t="shared" si="0"/>
        <v>119.58762886597938</v>
      </c>
      <c r="L5" s="8">
        <f t="shared" si="1"/>
        <v>0.21598272138228944</v>
      </c>
      <c r="M5" t="s">
        <v>20</v>
      </c>
      <c r="N5" t="s">
        <v>21</v>
      </c>
    </row>
    <row r="6" spans="1:14" x14ac:dyDescent="0.3">
      <c r="A6" t="s">
        <v>188</v>
      </c>
      <c r="B6" s="2">
        <v>46213</v>
      </c>
      <c r="C6" s="2">
        <v>46216</v>
      </c>
      <c r="D6" s="1" t="s">
        <v>189</v>
      </c>
      <c r="E6" t="s">
        <v>190</v>
      </c>
      <c r="F6" t="s">
        <v>97</v>
      </c>
      <c r="G6" s="5">
        <v>300</v>
      </c>
      <c r="H6" s="5">
        <v>314</v>
      </c>
      <c r="I6" s="5">
        <v>307</v>
      </c>
      <c r="J6" s="5">
        <v>7</v>
      </c>
      <c r="K6" s="8">
        <f t="shared" si="0"/>
        <v>104.66666666666666</v>
      </c>
      <c r="L6" s="8">
        <f t="shared" si="1"/>
        <v>2.2801302931596092</v>
      </c>
      <c r="M6" t="s">
        <v>20</v>
      </c>
      <c r="N6" t="s">
        <v>21</v>
      </c>
    </row>
    <row r="7" spans="1:14" x14ac:dyDescent="0.3">
      <c r="A7" t="s">
        <v>170</v>
      </c>
      <c r="B7" s="2">
        <v>46213</v>
      </c>
      <c r="C7" s="2">
        <v>46216</v>
      </c>
      <c r="D7" s="1" t="s">
        <v>171</v>
      </c>
      <c r="E7" t="s">
        <v>172</v>
      </c>
      <c r="F7" t="s">
        <v>97</v>
      </c>
      <c r="G7" s="5">
        <v>225</v>
      </c>
      <c r="H7" s="5">
        <v>239</v>
      </c>
      <c r="I7" s="5">
        <v>238</v>
      </c>
      <c r="J7" s="5">
        <v>1</v>
      </c>
      <c r="K7" s="8">
        <f t="shared" si="0"/>
        <v>106.22222222222221</v>
      </c>
      <c r="L7" s="8">
        <f t="shared" si="1"/>
        <v>0.42016806722689076</v>
      </c>
      <c r="M7" t="s">
        <v>20</v>
      </c>
      <c r="N7" t="s">
        <v>21</v>
      </c>
    </row>
    <row r="8" spans="1:14" x14ac:dyDescent="0.3">
      <c r="A8" t="s">
        <v>182</v>
      </c>
      <c r="B8" s="2">
        <v>46213</v>
      </c>
      <c r="C8" s="2">
        <v>46216</v>
      </c>
      <c r="D8" s="1" t="s">
        <v>183</v>
      </c>
      <c r="E8" t="s">
        <v>184</v>
      </c>
      <c r="F8" t="s">
        <v>97</v>
      </c>
      <c r="G8" s="5">
        <v>225</v>
      </c>
      <c r="H8" s="5">
        <v>236</v>
      </c>
      <c r="I8" s="5">
        <v>234</v>
      </c>
      <c r="J8" s="5">
        <v>2</v>
      </c>
      <c r="K8" s="8">
        <f t="shared" si="0"/>
        <v>104.8888888888889</v>
      </c>
      <c r="L8" s="8">
        <f t="shared" si="1"/>
        <v>0.85470085470085477</v>
      </c>
      <c r="M8" t="s">
        <v>20</v>
      </c>
      <c r="N8" t="s">
        <v>21</v>
      </c>
    </row>
    <row r="9" spans="1:14" x14ac:dyDescent="0.3">
      <c r="A9" t="s">
        <v>354</v>
      </c>
      <c r="B9" s="2">
        <v>46213</v>
      </c>
      <c r="C9" s="2">
        <v>46216</v>
      </c>
      <c r="D9" s="1" t="s">
        <v>355</v>
      </c>
      <c r="E9" t="s">
        <v>356</v>
      </c>
      <c r="F9" t="s">
        <v>97</v>
      </c>
      <c r="G9" s="5">
        <v>33</v>
      </c>
      <c r="H9" s="5">
        <v>33</v>
      </c>
      <c r="I9" s="5">
        <v>27</v>
      </c>
      <c r="J9" s="5">
        <v>6</v>
      </c>
      <c r="K9" s="8">
        <f t="shared" si="0"/>
        <v>100</v>
      </c>
      <c r="L9" s="8">
        <f t="shared" si="1"/>
        <v>22.222222222222221</v>
      </c>
      <c r="M9" t="s">
        <v>20</v>
      </c>
      <c r="N9" t="s">
        <v>21</v>
      </c>
    </row>
    <row r="10" spans="1:14" x14ac:dyDescent="0.3">
      <c r="A10" t="s">
        <v>128</v>
      </c>
      <c r="B10" s="2">
        <v>46213</v>
      </c>
      <c r="C10" s="2">
        <v>46216</v>
      </c>
      <c r="D10" s="1" t="s">
        <v>129</v>
      </c>
      <c r="E10" t="s">
        <v>130</v>
      </c>
      <c r="F10" t="s">
        <v>61</v>
      </c>
      <c r="G10" s="5">
        <v>318</v>
      </c>
      <c r="H10" s="5">
        <v>336</v>
      </c>
      <c r="I10" s="5">
        <v>318</v>
      </c>
      <c r="J10" s="5">
        <v>18</v>
      </c>
      <c r="K10" s="8">
        <f t="shared" si="0"/>
        <v>105.66037735849056</v>
      </c>
      <c r="L10" s="8">
        <f t="shared" si="1"/>
        <v>5.6603773584905666</v>
      </c>
      <c r="M10" t="s">
        <v>20</v>
      </c>
      <c r="N10" t="s">
        <v>21</v>
      </c>
    </row>
    <row r="11" spans="1:14" x14ac:dyDescent="0.3">
      <c r="A11" t="s">
        <v>332</v>
      </c>
      <c r="B11" s="2">
        <v>46213</v>
      </c>
      <c r="C11" s="2">
        <v>46216</v>
      </c>
      <c r="D11" s="1" t="s">
        <v>333</v>
      </c>
      <c r="E11" t="s">
        <v>334</v>
      </c>
      <c r="F11" t="s">
        <v>61</v>
      </c>
      <c r="G11" s="5">
        <v>276</v>
      </c>
      <c r="H11" s="5">
        <v>281</v>
      </c>
      <c r="I11" s="5">
        <v>281</v>
      </c>
      <c r="J11" s="5">
        <v>0</v>
      </c>
      <c r="K11" s="8">
        <f t="shared" si="0"/>
        <v>101.81159420289856</v>
      </c>
      <c r="L11" s="8">
        <f t="shared" si="1"/>
        <v>0</v>
      </c>
      <c r="M11" t="s">
        <v>20</v>
      </c>
      <c r="N11" t="s">
        <v>21</v>
      </c>
    </row>
    <row r="12" spans="1:14" x14ac:dyDescent="0.3">
      <c r="A12" t="s">
        <v>407</v>
      </c>
      <c r="B12" s="2">
        <v>46213</v>
      </c>
      <c r="C12" s="2">
        <v>46216</v>
      </c>
      <c r="D12" s="1" t="s">
        <v>408</v>
      </c>
      <c r="E12" t="s">
        <v>409</v>
      </c>
      <c r="F12" t="s">
        <v>61</v>
      </c>
      <c r="G12" s="5">
        <v>91</v>
      </c>
      <c r="H12" s="5">
        <v>102</v>
      </c>
      <c r="I12" s="5">
        <v>102</v>
      </c>
      <c r="J12" s="5">
        <v>0</v>
      </c>
      <c r="K12" s="8">
        <f t="shared" si="0"/>
        <v>112.08791208791209</v>
      </c>
      <c r="L12" s="8">
        <f t="shared" si="1"/>
        <v>0</v>
      </c>
      <c r="M12" t="s">
        <v>20</v>
      </c>
      <c r="N12" t="s">
        <v>21</v>
      </c>
    </row>
    <row r="13" spans="1:14" x14ac:dyDescent="0.3">
      <c r="A13" t="s">
        <v>101</v>
      </c>
      <c r="B13" s="2">
        <v>46213</v>
      </c>
      <c r="C13" s="2">
        <v>46216</v>
      </c>
      <c r="D13" s="1" t="s">
        <v>102</v>
      </c>
      <c r="E13" t="s">
        <v>103</v>
      </c>
      <c r="F13" t="s">
        <v>61</v>
      </c>
      <c r="G13" s="5">
        <v>138</v>
      </c>
      <c r="H13" s="5">
        <v>147</v>
      </c>
      <c r="I13" s="5">
        <v>147</v>
      </c>
      <c r="J13" s="5">
        <v>0</v>
      </c>
      <c r="K13" s="8">
        <f t="shared" si="0"/>
        <v>106.5217391304348</v>
      </c>
      <c r="L13" s="8">
        <f t="shared" si="1"/>
        <v>0</v>
      </c>
      <c r="M13" t="s">
        <v>20</v>
      </c>
      <c r="N13" t="s">
        <v>21</v>
      </c>
    </row>
    <row r="14" spans="1:14" x14ac:dyDescent="0.3">
      <c r="A14" t="s">
        <v>104</v>
      </c>
      <c r="B14" s="2">
        <v>46213</v>
      </c>
      <c r="C14" s="2">
        <v>46216</v>
      </c>
      <c r="D14" s="1" t="s">
        <v>102</v>
      </c>
      <c r="E14" t="s">
        <v>103</v>
      </c>
      <c r="F14" t="s">
        <v>61</v>
      </c>
      <c r="G14" s="5">
        <v>276</v>
      </c>
      <c r="H14" s="5">
        <v>282</v>
      </c>
      <c r="I14" s="5">
        <v>279</v>
      </c>
      <c r="J14" s="5">
        <v>3</v>
      </c>
      <c r="K14" s="8">
        <f t="shared" si="0"/>
        <v>102.17391304347827</v>
      </c>
      <c r="L14" s="8">
        <f t="shared" si="1"/>
        <v>1.0752688172043012</v>
      </c>
      <c r="M14" t="s">
        <v>20</v>
      </c>
      <c r="N14" t="s">
        <v>21</v>
      </c>
    </row>
    <row r="15" spans="1:14" x14ac:dyDescent="0.3">
      <c r="A15" t="s">
        <v>58</v>
      </c>
      <c r="B15" s="2">
        <v>46213</v>
      </c>
      <c r="C15" s="2">
        <v>46216</v>
      </c>
      <c r="D15" s="1" t="s">
        <v>59</v>
      </c>
      <c r="E15" t="s">
        <v>60</v>
      </c>
      <c r="F15" t="s">
        <v>61</v>
      </c>
      <c r="G15" s="5">
        <v>900</v>
      </c>
      <c r="H15" s="5">
        <v>960</v>
      </c>
      <c r="I15" s="5">
        <v>903</v>
      </c>
      <c r="J15" s="5">
        <v>57</v>
      </c>
      <c r="K15" s="8">
        <f t="shared" si="0"/>
        <v>106.66666666666667</v>
      </c>
      <c r="L15" s="8">
        <f t="shared" si="1"/>
        <v>6.3122923588039868</v>
      </c>
      <c r="M15" t="s">
        <v>20</v>
      </c>
      <c r="N15" t="s">
        <v>21</v>
      </c>
    </row>
    <row r="16" spans="1:14" x14ac:dyDescent="0.3">
      <c r="A16" t="s">
        <v>385</v>
      </c>
      <c r="B16" s="2">
        <v>46213</v>
      </c>
      <c r="C16" s="2">
        <v>46216</v>
      </c>
      <c r="D16" s="1" t="s">
        <v>386</v>
      </c>
      <c r="E16" t="s">
        <v>387</v>
      </c>
      <c r="F16" t="s">
        <v>61</v>
      </c>
      <c r="G16" s="5">
        <v>300</v>
      </c>
      <c r="H16" s="5">
        <v>304</v>
      </c>
      <c r="I16" s="5">
        <v>300</v>
      </c>
      <c r="J16" s="5">
        <v>4</v>
      </c>
      <c r="K16" s="8">
        <f t="shared" si="0"/>
        <v>101.33333333333334</v>
      </c>
      <c r="L16" s="8">
        <f t="shared" si="1"/>
        <v>1.3333333333333335</v>
      </c>
      <c r="M16" t="s">
        <v>20</v>
      </c>
      <c r="N16" t="s">
        <v>21</v>
      </c>
    </row>
    <row r="17" spans="1:14" x14ac:dyDescent="0.3">
      <c r="A17" t="s">
        <v>65</v>
      </c>
      <c r="B17" s="2">
        <v>46213</v>
      </c>
      <c r="C17" s="2">
        <v>46216</v>
      </c>
      <c r="D17" s="1" t="s">
        <v>66</v>
      </c>
      <c r="E17" t="s">
        <v>67</v>
      </c>
      <c r="F17" t="s">
        <v>61</v>
      </c>
      <c r="G17" s="5">
        <v>500</v>
      </c>
      <c r="H17" s="5">
        <v>514</v>
      </c>
      <c r="I17" s="5">
        <v>508</v>
      </c>
      <c r="J17" s="5">
        <v>6</v>
      </c>
      <c r="K17" s="8">
        <f t="shared" si="0"/>
        <v>102.8</v>
      </c>
      <c r="L17" s="8">
        <f t="shared" si="1"/>
        <v>1.1811023622047243</v>
      </c>
      <c r="M17" t="s">
        <v>20</v>
      </c>
      <c r="N17" t="s">
        <v>21</v>
      </c>
    </row>
    <row r="18" spans="1:14" x14ac:dyDescent="0.3">
      <c r="A18" t="s">
        <v>369</v>
      </c>
      <c r="B18" s="2">
        <v>46213</v>
      </c>
      <c r="C18" s="2">
        <v>46216</v>
      </c>
      <c r="D18" s="1" t="s">
        <v>370</v>
      </c>
      <c r="E18" t="s">
        <v>371</v>
      </c>
      <c r="F18" t="s">
        <v>97</v>
      </c>
      <c r="G18" s="5">
        <v>22</v>
      </c>
      <c r="H18" s="5">
        <v>22</v>
      </c>
      <c r="I18" s="5">
        <v>21</v>
      </c>
      <c r="J18" s="5">
        <v>1</v>
      </c>
      <c r="K18" s="8">
        <f t="shared" si="0"/>
        <v>100</v>
      </c>
      <c r="L18" s="8">
        <f t="shared" si="1"/>
        <v>4.7619047619047619</v>
      </c>
      <c r="M18" t="s">
        <v>20</v>
      </c>
      <c r="N18" t="s">
        <v>21</v>
      </c>
    </row>
    <row r="19" spans="1:14" x14ac:dyDescent="0.3">
      <c r="A19" t="s">
        <v>191</v>
      </c>
      <c r="B19" s="2">
        <v>46214</v>
      </c>
      <c r="C19" s="2">
        <v>46216</v>
      </c>
      <c r="D19" s="1" t="s">
        <v>189</v>
      </c>
      <c r="E19" t="s">
        <v>190</v>
      </c>
      <c r="F19" t="s">
        <v>97</v>
      </c>
      <c r="G19" s="5">
        <v>150</v>
      </c>
      <c r="H19" s="5">
        <v>170</v>
      </c>
      <c r="I19" s="5">
        <v>167</v>
      </c>
      <c r="J19" s="5">
        <v>3</v>
      </c>
      <c r="K19" s="8">
        <f t="shared" si="0"/>
        <v>113.33333333333333</v>
      </c>
      <c r="L19" s="8">
        <f t="shared" si="1"/>
        <v>1.7964071856287425</v>
      </c>
      <c r="M19" t="s">
        <v>20</v>
      </c>
      <c r="N19" t="s">
        <v>21</v>
      </c>
    </row>
    <row r="20" spans="1:14" x14ac:dyDescent="0.3">
      <c r="A20" t="s">
        <v>173</v>
      </c>
      <c r="B20" s="2">
        <v>46214</v>
      </c>
      <c r="C20" s="2">
        <v>46216</v>
      </c>
      <c r="D20" s="1" t="s">
        <v>171</v>
      </c>
      <c r="E20" t="s">
        <v>172</v>
      </c>
      <c r="F20" t="s">
        <v>97</v>
      </c>
      <c r="G20" s="5">
        <v>150</v>
      </c>
      <c r="H20" s="5">
        <v>160</v>
      </c>
      <c r="I20" s="5">
        <v>160</v>
      </c>
      <c r="J20" s="5">
        <v>0</v>
      </c>
      <c r="K20" s="8">
        <f t="shared" si="0"/>
        <v>106.66666666666667</v>
      </c>
      <c r="L20" s="8">
        <f t="shared" si="1"/>
        <v>0</v>
      </c>
      <c r="M20" t="s">
        <v>20</v>
      </c>
      <c r="N20" t="s">
        <v>21</v>
      </c>
    </row>
    <row r="21" spans="1:14" x14ac:dyDescent="0.3">
      <c r="A21" t="s">
        <v>271</v>
      </c>
      <c r="B21" s="2">
        <v>46214</v>
      </c>
      <c r="C21" s="2">
        <v>46216</v>
      </c>
      <c r="D21" s="1" t="s">
        <v>272</v>
      </c>
      <c r="E21" t="s">
        <v>273</v>
      </c>
      <c r="F21" t="s">
        <v>61</v>
      </c>
      <c r="G21" s="5">
        <v>1498</v>
      </c>
      <c r="H21" s="5">
        <v>1599</v>
      </c>
      <c r="I21" s="5">
        <v>1589</v>
      </c>
      <c r="J21" s="5">
        <v>10</v>
      </c>
      <c r="K21" s="8">
        <f t="shared" si="0"/>
        <v>106.74232309746327</v>
      </c>
      <c r="L21" s="8">
        <f t="shared" si="1"/>
        <v>0.62932662051604782</v>
      </c>
      <c r="M21" t="s">
        <v>20</v>
      </c>
      <c r="N21" t="s">
        <v>21</v>
      </c>
    </row>
    <row r="22" spans="1:14" x14ac:dyDescent="0.3">
      <c r="A22" t="s">
        <v>335</v>
      </c>
      <c r="B22" s="2">
        <v>46214</v>
      </c>
      <c r="C22" s="2">
        <v>46216</v>
      </c>
      <c r="D22" s="1" t="s">
        <v>333</v>
      </c>
      <c r="E22" t="s">
        <v>334</v>
      </c>
      <c r="F22" t="s">
        <v>61</v>
      </c>
      <c r="G22" s="5">
        <v>252</v>
      </c>
      <c r="H22" s="5">
        <v>252</v>
      </c>
      <c r="I22" s="5">
        <v>252</v>
      </c>
      <c r="J22" s="5">
        <v>0</v>
      </c>
      <c r="K22" s="8">
        <f t="shared" si="0"/>
        <v>100</v>
      </c>
      <c r="L22" s="8">
        <f t="shared" si="1"/>
        <v>0</v>
      </c>
      <c r="M22" t="s">
        <v>20</v>
      </c>
      <c r="N22" t="s">
        <v>21</v>
      </c>
    </row>
    <row r="23" spans="1:14" x14ac:dyDescent="0.3">
      <c r="A23" t="s">
        <v>105</v>
      </c>
      <c r="B23" s="2">
        <v>46214</v>
      </c>
      <c r="C23" s="2">
        <v>46216</v>
      </c>
      <c r="D23" s="1" t="s">
        <v>102</v>
      </c>
      <c r="E23" t="s">
        <v>103</v>
      </c>
      <c r="F23" t="s">
        <v>61</v>
      </c>
      <c r="G23" s="5">
        <v>138</v>
      </c>
      <c r="H23" s="5">
        <v>138</v>
      </c>
      <c r="I23" s="5">
        <v>138</v>
      </c>
      <c r="J23" s="5">
        <v>0</v>
      </c>
      <c r="K23" s="8">
        <f t="shared" si="0"/>
        <v>100</v>
      </c>
      <c r="L23" s="8">
        <f t="shared" si="1"/>
        <v>0</v>
      </c>
      <c r="M23" t="s">
        <v>20</v>
      </c>
      <c r="N23" t="s">
        <v>21</v>
      </c>
    </row>
    <row r="24" spans="1:14" x14ac:dyDescent="0.3">
      <c r="A24" t="s">
        <v>106</v>
      </c>
      <c r="B24" s="2">
        <v>46214</v>
      </c>
      <c r="C24" s="2">
        <v>46216</v>
      </c>
      <c r="D24" s="1" t="s">
        <v>102</v>
      </c>
      <c r="E24" t="s">
        <v>103</v>
      </c>
      <c r="F24" t="s">
        <v>61</v>
      </c>
      <c r="G24" s="5">
        <v>276</v>
      </c>
      <c r="H24" s="5">
        <v>276</v>
      </c>
      <c r="I24" s="5">
        <v>276</v>
      </c>
      <c r="J24" s="5">
        <v>0</v>
      </c>
      <c r="K24" s="8">
        <f t="shared" si="0"/>
        <v>100</v>
      </c>
      <c r="L24" s="8">
        <f t="shared" si="1"/>
        <v>0</v>
      </c>
      <c r="M24" t="s">
        <v>20</v>
      </c>
      <c r="N24" t="s">
        <v>21</v>
      </c>
    </row>
    <row r="25" spans="1:14" x14ac:dyDescent="0.3">
      <c r="A25" t="s">
        <v>294</v>
      </c>
      <c r="B25" s="2">
        <v>46213</v>
      </c>
      <c r="C25" s="2">
        <v>46216</v>
      </c>
      <c r="D25" s="1" t="s">
        <v>295</v>
      </c>
      <c r="E25" t="s">
        <v>296</v>
      </c>
      <c r="F25" t="s">
        <v>39</v>
      </c>
      <c r="G25" s="5">
        <v>300</v>
      </c>
      <c r="H25" s="5">
        <v>326</v>
      </c>
      <c r="I25" s="5">
        <v>297</v>
      </c>
      <c r="J25" s="5">
        <v>29</v>
      </c>
      <c r="K25" s="8">
        <f t="shared" si="0"/>
        <v>108.66666666666667</v>
      </c>
      <c r="L25" s="8">
        <f t="shared" si="1"/>
        <v>9.7643097643097647</v>
      </c>
      <c r="M25" t="s">
        <v>20</v>
      </c>
      <c r="N25" t="s">
        <v>21</v>
      </c>
    </row>
    <row r="26" spans="1:14" x14ac:dyDescent="0.3">
      <c r="A26" t="s">
        <v>166</v>
      </c>
      <c r="B26" s="2">
        <v>46214</v>
      </c>
      <c r="C26" s="2">
        <v>46216</v>
      </c>
      <c r="D26" s="1" t="s">
        <v>164</v>
      </c>
      <c r="E26" t="s">
        <v>165</v>
      </c>
      <c r="F26" t="s">
        <v>97</v>
      </c>
      <c r="G26" s="5">
        <v>300</v>
      </c>
      <c r="H26" s="5">
        <v>321</v>
      </c>
      <c r="I26" s="5">
        <v>320</v>
      </c>
      <c r="J26" s="5">
        <v>1</v>
      </c>
      <c r="K26" s="8">
        <f t="shared" si="0"/>
        <v>107</v>
      </c>
      <c r="L26" s="8">
        <f t="shared" si="1"/>
        <v>0.3125</v>
      </c>
      <c r="M26" t="s">
        <v>20</v>
      </c>
      <c r="N26" t="s">
        <v>21</v>
      </c>
    </row>
    <row r="27" spans="1:14" x14ac:dyDescent="0.3">
      <c r="A27" t="s">
        <v>163</v>
      </c>
      <c r="B27" s="2">
        <v>46214</v>
      </c>
      <c r="C27" s="2">
        <v>46217</v>
      </c>
      <c r="D27" s="1" t="s">
        <v>164</v>
      </c>
      <c r="E27" t="s">
        <v>165</v>
      </c>
      <c r="F27" t="s">
        <v>97</v>
      </c>
      <c r="G27" s="5">
        <v>150</v>
      </c>
      <c r="H27" s="5">
        <v>157</v>
      </c>
      <c r="I27" s="5">
        <v>153</v>
      </c>
      <c r="J27" s="5">
        <v>4</v>
      </c>
      <c r="K27" s="8">
        <f t="shared" si="0"/>
        <v>104.66666666666666</v>
      </c>
      <c r="L27" s="8">
        <f t="shared" si="1"/>
        <v>2.6143790849673203</v>
      </c>
      <c r="M27" t="s">
        <v>20</v>
      </c>
      <c r="N27" t="s">
        <v>21</v>
      </c>
    </row>
    <row r="28" spans="1:14" x14ac:dyDescent="0.3">
      <c r="A28" t="s">
        <v>357</v>
      </c>
      <c r="B28" s="2">
        <v>46214</v>
      </c>
      <c r="C28" s="2">
        <v>46217</v>
      </c>
      <c r="D28" s="1" t="s">
        <v>355</v>
      </c>
      <c r="E28" t="s">
        <v>356</v>
      </c>
      <c r="F28" t="s">
        <v>97</v>
      </c>
      <c r="G28" s="5">
        <v>33</v>
      </c>
      <c r="H28" s="5">
        <v>33</v>
      </c>
      <c r="I28" s="5">
        <v>26</v>
      </c>
      <c r="J28" s="5">
        <v>7</v>
      </c>
      <c r="K28" s="8">
        <f t="shared" si="0"/>
        <v>100</v>
      </c>
      <c r="L28" s="8">
        <f t="shared" si="1"/>
        <v>26.923076923076923</v>
      </c>
      <c r="M28" t="s">
        <v>20</v>
      </c>
      <c r="N28" t="s">
        <v>21</v>
      </c>
    </row>
    <row r="29" spans="1:14" x14ac:dyDescent="0.3">
      <c r="A29" t="s">
        <v>131</v>
      </c>
      <c r="B29" s="2">
        <v>46214</v>
      </c>
      <c r="C29" s="2">
        <v>46217</v>
      </c>
      <c r="D29" s="1" t="s">
        <v>129</v>
      </c>
      <c r="E29" t="s">
        <v>130</v>
      </c>
      <c r="F29" t="s">
        <v>61</v>
      </c>
      <c r="G29" s="5">
        <v>276</v>
      </c>
      <c r="H29" s="5">
        <v>263</v>
      </c>
      <c r="I29" s="5">
        <v>258</v>
      </c>
      <c r="J29" s="5">
        <v>5</v>
      </c>
      <c r="K29" s="8">
        <f t="shared" si="0"/>
        <v>95.289855072463766</v>
      </c>
      <c r="L29" s="8">
        <f t="shared" si="1"/>
        <v>1.9379844961240309</v>
      </c>
      <c r="M29" t="s">
        <v>20</v>
      </c>
      <c r="N29" t="s">
        <v>21</v>
      </c>
    </row>
    <row r="30" spans="1:14" x14ac:dyDescent="0.3">
      <c r="A30" t="s">
        <v>47</v>
      </c>
      <c r="B30" s="2">
        <v>46216</v>
      </c>
      <c r="C30" s="2">
        <v>46217</v>
      </c>
      <c r="D30" s="1" t="s">
        <v>48</v>
      </c>
      <c r="E30" t="s">
        <v>49</v>
      </c>
      <c r="F30" t="s">
        <v>39</v>
      </c>
      <c r="G30" s="5">
        <v>210</v>
      </c>
      <c r="H30" s="5">
        <v>192</v>
      </c>
      <c r="I30" s="5">
        <v>187</v>
      </c>
      <c r="J30" s="5">
        <v>5</v>
      </c>
      <c r="K30" s="8">
        <f t="shared" si="0"/>
        <v>91.428571428571431</v>
      </c>
      <c r="L30" s="8">
        <f t="shared" si="1"/>
        <v>2.6737967914438503</v>
      </c>
      <c r="M30" t="s">
        <v>20</v>
      </c>
      <c r="N30" t="s">
        <v>21</v>
      </c>
    </row>
    <row r="31" spans="1:14" x14ac:dyDescent="0.3">
      <c r="A31" t="s">
        <v>151</v>
      </c>
      <c r="B31" s="2">
        <v>46216</v>
      </c>
      <c r="C31" s="2">
        <v>46217</v>
      </c>
      <c r="D31" s="1" t="s">
        <v>152</v>
      </c>
      <c r="E31" t="s">
        <v>153</v>
      </c>
      <c r="F31" t="s">
        <v>39</v>
      </c>
      <c r="G31" s="5">
        <v>142</v>
      </c>
      <c r="H31" s="5">
        <v>161</v>
      </c>
      <c r="I31" s="5">
        <v>161</v>
      </c>
      <c r="J31" s="5">
        <v>0</v>
      </c>
      <c r="K31" s="8">
        <f t="shared" si="0"/>
        <v>113.38028169014085</v>
      </c>
      <c r="L31" s="8">
        <f t="shared" si="1"/>
        <v>0</v>
      </c>
      <c r="M31" t="s">
        <v>20</v>
      </c>
      <c r="N31" t="s">
        <v>21</v>
      </c>
    </row>
    <row r="32" spans="1:14" x14ac:dyDescent="0.3">
      <c r="A32" t="s">
        <v>192</v>
      </c>
      <c r="B32" s="2">
        <v>46216</v>
      </c>
      <c r="C32" s="2">
        <v>46217</v>
      </c>
      <c r="D32" s="1" t="s">
        <v>189</v>
      </c>
      <c r="E32" t="s">
        <v>190</v>
      </c>
      <c r="F32" t="s">
        <v>97</v>
      </c>
      <c r="G32" s="5">
        <v>150</v>
      </c>
      <c r="H32" s="5">
        <v>170</v>
      </c>
      <c r="I32" s="5">
        <v>164</v>
      </c>
      <c r="J32" s="5">
        <v>6</v>
      </c>
      <c r="K32" s="8">
        <f t="shared" si="0"/>
        <v>113.33333333333333</v>
      </c>
      <c r="L32" s="8">
        <f t="shared" si="1"/>
        <v>3.6585365853658534</v>
      </c>
      <c r="M32" t="s">
        <v>20</v>
      </c>
      <c r="N32" t="s">
        <v>21</v>
      </c>
    </row>
    <row r="33" spans="1:14" x14ac:dyDescent="0.3">
      <c r="A33" t="s">
        <v>174</v>
      </c>
      <c r="B33" s="2">
        <v>46216</v>
      </c>
      <c r="C33" s="2">
        <v>46217</v>
      </c>
      <c r="D33" s="1" t="s">
        <v>171</v>
      </c>
      <c r="E33" t="s">
        <v>172</v>
      </c>
      <c r="F33" t="s">
        <v>97</v>
      </c>
      <c r="G33" s="5">
        <v>150</v>
      </c>
      <c r="H33" s="5">
        <v>156</v>
      </c>
      <c r="I33" s="5">
        <v>152</v>
      </c>
      <c r="J33" s="5">
        <v>4</v>
      </c>
      <c r="K33" s="8">
        <f t="shared" si="0"/>
        <v>104</v>
      </c>
      <c r="L33" s="8">
        <f t="shared" si="1"/>
        <v>2.6315789473684208</v>
      </c>
      <c r="M33" t="s">
        <v>20</v>
      </c>
      <c r="N33" t="s">
        <v>21</v>
      </c>
    </row>
    <row r="34" spans="1:14" x14ac:dyDescent="0.3">
      <c r="A34" t="s">
        <v>358</v>
      </c>
      <c r="B34" s="2">
        <v>46216</v>
      </c>
      <c r="C34" s="2">
        <v>46217</v>
      </c>
      <c r="D34" s="1" t="s">
        <v>355</v>
      </c>
      <c r="E34" t="s">
        <v>356</v>
      </c>
      <c r="F34" t="s">
        <v>97</v>
      </c>
      <c r="G34" s="5">
        <v>33</v>
      </c>
      <c r="H34" s="5">
        <v>32</v>
      </c>
      <c r="I34" s="5">
        <v>28</v>
      </c>
      <c r="J34" s="5">
        <v>4</v>
      </c>
      <c r="K34" s="8">
        <f t="shared" si="0"/>
        <v>96.969696969696969</v>
      </c>
      <c r="L34" s="8">
        <f t="shared" si="1"/>
        <v>14.285714285714285</v>
      </c>
      <c r="M34" t="s">
        <v>20</v>
      </c>
      <c r="N34" t="s">
        <v>21</v>
      </c>
    </row>
    <row r="35" spans="1:14" x14ac:dyDescent="0.3">
      <c r="A35" t="s">
        <v>318</v>
      </c>
      <c r="B35" s="2">
        <v>46216</v>
      </c>
      <c r="C35" s="2">
        <v>46217</v>
      </c>
      <c r="D35" s="1" t="s">
        <v>316</v>
      </c>
      <c r="E35" t="s">
        <v>317</v>
      </c>
      <c r="F35" t="s">
        <v>97</v>
      </c>
      <c r="G35" s="5">
        <v>100</v>
      </c>
      <c r="H35" s="5">
        <v>107</v>
      </c>
      <c r="I35" s="5">
        <v>107</v>
      </c>
      <c r="J35" s="5">
        <v>0</v>
      </c>
      <c r="K35" s="8">
        <f t="shared" si="0"/>
        <v>107</v>
      </c>
      <c r="L35" s="8">
        <f t="shared" si="1"/>
        <v>0</v>
      </c>
      <c r="M35" t="s">
        <v>20</v>
      </c>
      <c r="N35" t="s">
        <v>21</v>
      </c>
    </row>
    <row r="36" spans="1:14" x14ac:dyDescent="0.3">
      <c r="A36" t="s">
        <v>68</v>
      </c>
      <c r="B36" s="2">
        <v>46216</v>
      </c>
      <c r="C36" s="2">
        <v>46217</v>
      </c>
      <c r="D36" s="1" t="s">
        <v>66</v>
      </c>
      <c r="E36" t="s">
        <v>67</v>
      </c>
      <c r="F36" t="s">
        <v>61</v>
      </c>
      <c r="G36" s="5">
        <v>300</v>
      </c>
      <c r="H36" s="5">
        <v>312</v>
      </c>
      <c r="I36" s="5">
        <v>312</v>
      </c>
      <c r="J36" s="5">
        <v>0</v>
      </c>
      <c r="K36" s="8">
        <f t="shared" si="0"/>
        <v>104</v>
      </c>
      <c r="L36" s="8">
        <f t="shared" si="1"/>
        <v>0</v>
      </c>
      <c r="M36" t="s">
        <v>20</v>
      </c>
      <c r="N36" t="s">
        <v>21</v>
      </c>
    </row>
    <row r="37" spans="1:14" x14ac:dyDescent="0.3">
      <c r="A37" t="s">
        <v>132</v>
      </c>
      <c r="B37" s="2">
        <v>46216</v>
      </c>
      <c r="C37" s="2">
        <v>46217</v>
      </c>
      <c r="D37" s="1" t="s">
        <v>129</v>
      </c>
      <c r="E37" t="s">
        <v>130</v>
      </c>
      <c r="F37" t="s">
        <v>61</v>
      </c>
      <c r="G37" s="5">
        <v>276</v>
      </c>
      <c r="H37" s="5">
        <v>288</v>
      </c>
      <c r="I37" s="5">
        <v>288</v>
      </c>
      <c r="J37" s="5">
        <v>0</v>
      </c>
      <c r="K37" s="8">
        <f t="shared" si="0"/>
        <v>104.34782608695652</v>
      </c>
      <c r="L37" s="8">
        <f t="shared" si="1"/>
        <v>0</v>
      </c>
      <c r="M37" t="s">
        <v>20</v>
      </c>
      <c r="N37" t="s">
        <v>21</v>
      </c>
    </row>
    <row r="38" spans="1:14" x14ac:dyDescent="0.3">
      <c r="A38" t="s">
        <v>336</v>
      </c>
      <c r="B38" s="2">
        <v>46216</v>
      </c>
      <c r="C38" s="2">
        <v>46217</v>
      </c>
      <c r="D38" s="1" t="s">
        <v>333</v>
      </c>
      <c r="E38" t="s">
        <v>334</v>
      </c>
      <c r="F38" t="s">
        <v>61</v>
      </c>
      <c r="G38" s="5">
        <v>234</v>
      </c>
      <c r="H38" s="5">
        <v>234</v>
      </c>
      <c r="I38" s="5">
        <v>234</v>
      </c>
      <c r="J38" s="5">
        <v>0</v>
      </c>
      <c r="K38" s="8">
        <f t="shared" si="0"/>
        <v>100</v>
      </c>
      <c r="L38" s="8">
        <f t="shared" si="1"/>
        <v>0</v>
      </c>
      <c r="M38" t="s">
        <v>20</v>
      </c>
      <c r="N38" t="s">
        <v>21</v>
      </c>
    </row>
    <row r="39" spans="1:14" x14ac:dyDescent="0.3">
      <c r="A39" t="s">
        <v>410</v>
      </c>
      <c r="B39" s="2">
        <v>46216</v>
      </c>
      <c r="C39" s="2">
        <v>46217</v>
      </c>
      <c r="D39" s="1" t="s">
        <v>408</v>
      </c>
      <c r="E39" t="s">
        <v>409</v>
      </c>
      <c r="F39" t="s">
        <v>61</v>
      </c>
      <c r="G39" s="5">
        <v>91</v>
      </c>
      <c r="H39" s="5">
        <v>113</v>
      </c>
      <c r="I39" s="5">
        <v>111</v>
      </c>
      <c r="J39" s="5">
        <v>2</v>
      </c>
      <c r="K39" s="8">
        <f t="shared" si="0"/>
        <v>124.17582417582418</v>
      </c>
      <c r="L39" s="8">
        <f t="shared" si="1"/>
        <v>1.8018018018018018</v>
      </c>
      <c r="M39" t="s">
        <v>20</v>
      </c>
      <c r="N39" t="s">
        <v>21</v>
      </c>
    </row>
    <row r="40" spans="1:14" x14ac:dyDescent="0.3">
      <c r="A40" t="s">
        <v>388</v>
      </c>
      <c r="B40" s="2">
        <v>46216</v>
      </c>
      <c r="C40" s="2">
        <v>46217</v>
      </c>
      <c r="D40" s="1" t="s">
        <v>386</v>
      </c>
      <c r="E40" t="s">
        <v>387</v>
      </c>
      <c r="F40" t="s">
        <v>61</v>
      </c>
      <c r="G40" s="5">
        <v>400</v>
      </c>
      <c r="H40" s="5">
        <v>400</v>
      </c>
      <c r="I40" s="5">
        <v>396</v>
      </c>
      <c r="J40" s="5">
        <v>4</v>
      </c>
      <c r="K40" s="8">
        <f t="shared" si="0"/>
        <v>100</v>
      </c>
      <c r="L40" s="8">
        <f t="shared" si="1"/>
        <v>1.0101010101010102</v>
      </c>
      <c r="M40" t="s">
        <v>20</v>
      </c>
      <c r="N40" t="s">
        <v>21</v>
      </c>
    </row>
    <row r="41" spans="1:14" x14ac:dyDescent="0.3">
      <c r="A41" t="s">
        <v>107</v>
      </c>
      <c r="B41" s="2">
        <v>46216</v>
      </c>
      <c r="C41" s="2">
        <v>46217</v>
      </c>
      <c r="D41" s="1" t="s">
        <v>102</v>
      </c>
      <c r="E41" t="s">
        <v>103</v>
      </c>
      <c r="F41" t="s">
        <v>61</v>
      </c>
      <c r="G41" s="5">
        <v>114</v>
      </c>
      <c r="H41" s="5">
        <v>120</v>
      </c>
      <c r="I41" s="5">
        <v>120</v>
      </c>
      <c r="J41" s="5">
        <v>0</v>
      </c>
      <c r="K41" s="8">
        <f t="shared" si="0"/>
        <v>105.26315789473684</v>
      </c>
      <c r="L41" s="8">
        <f t="shared" si="1"/>
        <v>0</v>
      </c>
      <c r="M41" t="s">
        <v>20</v>
      </c>
      <c r="N41" t="s">
        <v>21</v>
      </c>
    </row>
    <row r="42" spans="1:14" x14ac:dyDescent="0.3">
      <c r="A42" t="s">
        <v>108</v>
      </c>
      <c r="B42" s="2">
        <v>46216</v>
      </c>
      <c r="C42" s="2">
        <v>46217</v>
      </c>
      <c r="D42" s="1" t="s">
        <v>102</v>
      </c>
      <c r="E42" t="s">
        <v>103</v>
      </c>
      <c r="F42" t="s">
        <v>61</v>
      </c>
      <c r="G42" s="5">
        <v>228</v>
      </c>
      <c r="H42" s="5">
        <v>228</v>
      </c>
      <c r="I42" s="5">
        <v>228</v>
      </c>
      <c r="J42" s="5">
        <v>0</v>
      </c>
      <c r="K42" s="8">
        <f t="shared" si="0"/>
        <v>100</v>
      </c>
      <c r="L42" s="8">
        <f t="shared" si="1"/>
        <v>0</v>
      </c>
      <c r="M42" t="s">
        <v>20</v>
      </c>
      <c r="N42" t="s">
        <v>21</v>
      </c>
    </row>
    <row r="43" spans="1:14" x14ac:dyDescent="0.3">
      <c r="A43" t="s">
        <v>62</v>
      </c>
      <c r="B43" s="2">
        <v>46216</v>
      </c>
      <c r="C43" s="2">
        <v>46217</v>
      </c>
      <c r="D43" s="1" t="s">
        <v>59</v>
      </c>
      <c r="E43" t="s">
        <v>60</v>
      </c>
      <c r="F43" t="s">
        <v>61</v>
      </c>
      <c r="G43" s="5">
        <v>900</v>
      </c>
      <c r="H43" s="5">
        <v>936</v>
      </c>
      <c r="I43" s="5">
        <v>932</v>
      </c>
      <c r="J43" s="5">
        <v>4</v>
      </c>
      <c r="K43" s="8">
        <f t="shared" si="0"/>
        <v>104</v>
      </c>
      <c r="L43" s="8">
        <f t="shared" si="1"/>
        <v>0.42918454935622319</v>
      </c>
      <c r="M43" t="s">
        <v>20</v>
      </c>
      <c r="N43" t="s">
        <v>21</v>
      </c>
    </row>
    <row r="44" spans="1:14" x14ac:dyDescent="0.3">
      <c r="A44" t="s">
        <v>197</v>
      </c>
      <c r="B44" s="2">
        <v>46214</v>
      </c>
      <c r="C44" s="2">
        <v>46217</v>
      </c>
      <c r="D44" s="1" t="s">
        <v>198</v>
      </c>
      <c r="E44" t="s">
        <v>199</v>
      </c>
      <c r="F44" t="s">
        <v>19</v>
      </c>
      <c r="G44" s="5">
        <v>35</v>
      </c>
      <c r="H44" s="5">
        <v>35</v>
      </c>
      <c r="I44" s="5">
        <v>35</v>
      </c>
      <c r="J44" s="5">
        <v>0</v>
      </c>
      <c r="K44" s="8">
        <f t="shared" si="0"/>
        <v>100</v>
      </c>
      <c r="L44" s="8">
        <f t="shared" si="1"/>
        <v>0</v>
      </c>
      <c r="M44" t="s">
        <v>20</v>
      </c>
      <c r="N44" t="s">
        <v>21</v>
      </c>
    </row>
    <row r="45" spans="1:14" x14ac:dyDescent="0.3">
      <c r="A45" t="s">
        <v>200</v>
      </c>
      <c r="B45" s="2">
        <v>46214</v>
      </c>
      <c r="C45" s="2">
        <v>46217</v>
      </c>
      <c r="D45" s="1" t="s">
        <v>198</v>
      </c>
      <c r="E45" t="s">
        <v>199</v>
      </c>
      <c r="F45" t="s">
        <v>19</v>
      </c>
      <c r="G45" s="5">
        <v>25</v>
      </c>
      <c r="H45" s="5">
        <v>25</v>
      </c>
      <c r="I45" s="5">
        <v>25</v>
      </c>
      <c r="J45" s="5">
        <v>0</v>
      </c>
      <c r="K45" s="8">
        <f t="shared" si="0"/>
        <v>100</v>
      </c>
      <c r="L45" s="8">
        <f t="shared" si="1"/>
        <v>0</v>
      </c>
      <c r="M45" t="s">
        <v>20</v>
      </c>
      <c r="N45" t="s">
        <v>21</v>
      </c>
    </row>
    <row r="46" spans="1:14" x14ac:dyDescent="0.3">
      <c r="A46" t="s">
        <v>84</v>
      </c>
      <c r="B46" s="2">
        <v>46216</v>
      </c>
      <c r="C46" s="2">
        <v>46217</v>
      </c>
      <c r="D46" s="1" t="s">
        <v>85</v>
      </c>
      <c r="E46" t="s">
        <v>86</v>
      </c>
      <c r="F46" t="s">
        <v>19</v>
      </c>
      <c r="G46" s="5">
        <v>88</v>
      </c>
      <c r="H46" s="5">
        <v>88</v>
      </c>
      <c r="I46" s="5">
        <v>88</v>
      </c>
      <c r="J46" s="5">
        <v>0</v>
      </c>
      <c r="K46" s="8">
        <f t="shared" si="0"/>
        <v>100</v>
      </c>
      <c r="L46" s="8">
        <f t="shared" si="1"/>
        <v>0</v>
      </c>
      <c r="M46" t="s">
        <v>20</v>
      </c>
      <c r="N46" t="s">
        <v>21</v>
      </c>
    </row>
    <row r="47" spans="1:14" x14ac:dyDescent="0.3">
      <c r="A47" t="s">
        <v>201</v>
      </c>
      <c r="B47" s="2">
        <v>46216</v>
      </c>
      <c r="C47" s="2">
        <v>46217</v>
      </c>
      <c r="D47" s="1" t="s">
        <v>198</v>
      </c>
      <c r="E47" t="s">
        <v>199</v>
      </c>
      <c r="F47" t="s">
        <v>19</v>
      </c>
      <c r="G47" s="5">
        <v>32</v>
      </c>
      <c r="H47" s="5">
        <v>32</v>
      </c>
      <c r="I47" s="5">
        <v>32</v>
      </c>
      <c r="J47" s="5">
        <v>0</v>
      </c>
      <c r="K47" s="8">
        <f t="shared" si="0"/>
        <v>100</v>
      </c>
      <c r="L47" s="8">
        <f t="shared" si="1"/>
        <v>0</v>
      </c>
      <c r="M47" t="s">
        <v>20</v>
      </c>
      <c r="N47" t="s">
        <v>21</v>
      </c>
    </row>
    <row r="48" spans="1:14" x14ac:dyDescent="0.3">
      <c r="A48" t="s">
        <v>202</v>
      </c>
      <c r="B48" s="2">
        <v>46216</v>
      </c>
      <c r="C48" s="2">
        <v>46217</v>
      </c>
      <c r="D48" s="1" t="s">
        <v>198</v>
      </c>
      <c r="E48" t="s">
        <v>199</v>
      </c>
      <c r="F48" t="s">
        <v>19</v>
      </c>
      <c r="G48" s="5">
        <v>25</v>
      </c>
      <c r="H48" s="5">
        <v>25</v>
      </c>
      <c r="I48" s="5">
        <v>25</v>
      </c>
      <c r="J48" s="5">
        <v>0</v>
      </c>
      <c r="K48" s="8">
        <f t="shared" si="0"/>
        <v>100</v>
      </c>
      <c r="L48" s="8">
        <f t="shared" si="1"/>
        <v>0</v>
      </c>
      <c r="M48" t="s">
        <v>20</v>
      </c>
      <c r="N48" t="s">
        <v>21</v>
      </c>
    </row>
    <row r="49" spans="1:14" x14ac:dyDescent="0.3">
      <c r="A49" t="s">
        <v>249</v>
      </c>
      <c r="B49" s="2">
        <v>46213</v>
      </c>
      <c r="C49" s="2">
        <v>46217</v>
      </c>
      <c r="D49" s="1" t="s">
        <v>250</v>
      </c>
      <c r="E49" t="s">
        <v>251</v>
      </c>
      <c r="F49" t="s">
        <v>61</v>
      </c>
      <c r="G49" s="5">
        <v>165</v>
      </c>
      <c r="H49" s="5">
        <v>165</v>
      </c>
      <c r="I49" s="5">
        <v>165</v>
      </c>
      <c r="J49" s="5">
        <v>0</v>
      </c>
      <c r="K49" s="8">
        <f t="shared" si="0"/>
        <v>100</v>
      </c>
      <c r="L49" s="8">
        <f t="shared" si="1"/>
        <v>0</v>
      </c>
      <c r="M49" t="s">
        <v>20</v>
      </c>
      <c r="N49" t="s">
        <v>21</v>
      </c>
    </row>
    <row r="50" spans="1:14" x14ac:dyDescent="0.3">
      <c r="A50" t="s">
        <v>26</v>
      </c>
      <c r="B50" s="2">
        <v>46214</v>
      </c>
      <c r="C50" s="2">
        <v>46217</v>
      </c>
      <c r="D50" s="1" t="s">
        <v>27</v>
      </c>
      <c r="E50" t="s">
        <v>28</v>
      </c>
      <c r="F50" t="s">
        <v>19</v>
      </c>
      <c r="G50" s="5">
        <v>600</v>
      </c>
      <c r="H50" s="5">
        <v>600</v>
      </c>
      <c r="I50" s="5">
        <v>600</v>
      </c>
      <c r="J50" s="5">
        <v>0</v>
      </c>
      <c r="K50" s="8">
        <f t="shared" si="0"/>
        <v>100</v>
      </c>
      <c r="L50" s="8">
        <f t="shared" si="1"/>
        <v>0</v>
      </c>
      <c r="M50" t="s">
        <v>20</v>
      </c>
      <c r="N50" t="s">
        <v>21</v>
      </c>
    </row>
    <row r="51" spans="1:14" x14ac:dyDescent="0.3">
      <c r="A51" t="s">
        <v>244</v>
      </c>
      <c r="B51" s="2">
        <v>46214</v>
      </c>
      <c r="C51" s="2">
        <v>46217</v>
      </c>
      <c r="D51" s="1" t="s">
        <v>245</v>
      </c>
      <c r="E51" t="s">
        <v>246</v>
      </c>
      <c r="F51" t="s">
        <v>19</v>
      </c>
      <c r="G51" s="5">
        <v>41</v>
      </c>
      <c r="H51" s="5">
        <v>41</v>
      </c>
      <c r="I51" s="5">
        <v>41</v>
      </c>
      <c r="J51" s="5">
        <v>0</v>
      </c>
      <c r="K51" s="8">
        <f t="shared" si="0"/>
        <v>100</v>
      </c>
      <c r="L51" s="8">
        <f t="shared" si="1"/>
        <v>0</v>
      </c>
      <c r="M51" t="s">
        <v>20</v>
      </c>
      <c r="N51" t="s">
        <v>21</v>
      </c>
    </row>
    <row r="52" spans="1:14" x14ac:dyDescent="0.3">
      <c r="A52" t="s">
        <v>265</v>
      </c>
      <c r="B52" s="2">
        <v>46213</v>
      </c>
      <c r="C52" s="2">
        <v>46217</v>
      </c>
      <c r="D52" s="1" t="s">
        <v>266</v>
      </c>
      <c r="E52" t="s">
        <v>267</v>
      </c>
      <c r="F52" t="s">
        <v>19</v>
      </c>
      <c r="G52" s="5">
        <v>150</v>
      </c>
      <c r="H52" s="5">
        <v>150</v>
      </c>
      <c r="I52" s="5">
        <v>150</v>
      </c>
      <c r="J52" s="5">
        <v>0</v>
      </c>
      <c r="K52" s="8">
        <f t="shared" si="0"/>
        <v>100</v>
      </c>
      <c r="L52" s="8">
        <f t="shared" si="1"/>
        <v>0</v>
      </c>
      <c r="M52" t="s">
        <v>20</v>
      </c>
      <c r="N52" t="s">
        <v>21</v>
      </c>
    </row>
    <row r="53" spans="1:14" x14ac:dyDescent="0.3">
      <c r="A53" t="s">
        <v>255</v>
      </c>
      <c r="B53" s="2">
        <v>46216</v>
      </c>
      <c r="C53" s="2">
        <v>46217</v>
      </c>
      <c r="D53" s="1" t="s">
        <v>256</v>
      </c>
      <c r="E53" t="s">
        <v>257</v>
      </c>
      <c r="F53" t="s">
        <v>19</v>
      </c>
      <c r="G53" s="5">
        <v>294</v>
      </c>
      <c r="H53" s="5">
        <v>294</v>
      </c>
      <c r="I53" s="5">
        <v>294</v>
      </c>
      <c r="J53" s="5">
        <v>0</v>
      </c>
      <c r="K53" s="8">
        <f t="shared" si="0"/>
        <v>100</v>
      </c>
      <c r="L53" s="8">
        <f t="shared" si="1"/>
        <v>0</v>
      </c>
      <c r="M53" t="s">
        <v>20</v>
      </c>
      <c r="N53" t="s">
        <v>21</v>
      </c>
    </row>
    <row r="54" spans="1:14" x14ac:dyDescent="0.3">
      <c r="A54" t="s">
        <v>252</v>
      </c>
      <c r="B54" s="2">
        <v>46216</v>
      </c>
      <c r="C54" s="2">
        <v>46217</v>
      </c>
      <c r="D54" s="1" t="s">
        <v>250</v>
      </c>
      <c r="E54" t="s">
        <v>251</v>
      </c>
      <c r="F54" t="s">
        <v>19</v>
      </c>
      <c r="G54" s="5">
        <v>165</v>
      </c>
      <c r="H54" s="5">
        <v>165</v>
      </c>
      <c r="I54" s="5">
        <v>165</v>
      </c>
      <c r="J54" s="5">
        <v>0</v>
      </c>
      <c r="K54" s="8">
        <f t="shared" si="0"/>
        <v>100</v>
      </c>
      <c r="L54" s="8">
        <f t="shared" si="1"/>
        <v>0</v>
      </c>
      <c r="M54" t="s">
        <v>20</v>
      </c>
      <c r="N54" t="s">
        <v>21</v>
      </c>
    </row>
    <row r="55" spans="1:14" x14ac:dyDescent="0.3">
      <c r="A55" t="s">
        <v>231</v>
      </c>
      <c r="B55" s="2">
        <v>46216</v>
      </c>
      <c r="C55" s="2">
        <v>46217</v>
      </c>
      <c r="D55" s="1" t="s">
        <v>232</v>
      </c>
      <c r="E55" t="s">
        <v>233</v>
      </c>
      <c r="F55" t="s">
        <v>19</v>
      </c>
      <c r="G55" s="5">
        <v>35</v>
      </c>
      <c r="H55" s="5">
        <v>35</v>
      </c>
      <c r="I55" s="5">
        <v>35</v>
      </c>
      <c r="J55" s="5">
        <v>0</v>
      </c>
      <c r="K55" s="8">
        <f t="shared" si="0"/>
        <v>100</v>
      </c>
      <c r="L55" s="8">
        <f t="shared" si="1"/>
        <v>0</v>
      </c>
      <c r="M55" t="s">
        <v>20</v>
      </c>
      <c r="N55" t="s">
        <v>21</v>
      </c>
    </row>
    <row r="56" spans="1:14" x14ac:dyDescent="0.3">
      <c r="A56" t="s">
        <v>146</v>
      </c>
      <c r="B56" s="2">
        <v>46217</v>
      </c>
      <c r="C56" s="2">
        <v>46218</v>
      </c>
      <c r="D56" s="1" t="s">
        <v>147</v>
      </c>
      <c r="E56" t="s">
        <v>148</v>
      </c>
      <c r="F56" t="s">
        <v>39</v>
      </c>
      <c r="G56" s="5">
        <v>142</v>
      </c>
      <c r="H56" s="5">
        <v>186</v>
      </c>
      <c r="I56" s="5">
        <v>185</v>
      </c>
      <c r="J56" s="5">
        <v>1</v>
      </c>
      <c r="K56" s="8">
        <f t="shared" si="0"/>
        <v>130.98591549295776</v>
      </c>
      <c r="L56" s="8">
        <f t="shared" si="1"/>
        <v>0.54054054054054057</v>
      </c>
      <c r="M56" t="s">
        <v>20</v>
      </c>
      <c r="N56" t="s">
        <v>21</v>
      </c>
    </row>
    <row r="57" spans="1:14" x14ac:dyDescent="0.3">
      <c r="A57" t="s">
        <v>157</v>
      </c>
      <c r="B57" s="2">
        <v>46217</v>
      </c>
      <c r="C57" s="2">
        <v>46218</v>
      </c>
      <c r="D57" s="1" t="s">
        <v>158</v>
      </c>
      <c r="E57" t="s">
        <v>159</v>
      </c>
      <c r="F57" t="s">
        <v>39</v>
      </c>
      <c r="G57" s="5">
        <v>142</v>
      </c>
      <c r="H57" s="5">
        <v>148</v>
      </c>
      <c r="I57" s="5">
        <v>148</v>
      </c>
      <c r="J57" s="5">
        <v>0</v>
      </c>
      <c r="K57" s="8">
        <f t="shared" si="0"/>
        <v>104.22535211267605</v>
      </c>
      <c r="L57" s="8">
        <f t="shared" si="1"/>
        <v>0</v>
      </c>
      <c r="M57" t="s">
        <v>20</v>
      </c>
      <c r="N57" t="s">
        <v>21</v>
      </c>
    </row>
    <row r="58" spans="1:14" x14ac:dyDescent="0.3">
      <c r="A58" t="s">
        <v>391</v>
      </c>
      <c r="B58" s="2">
        <v>46217</v>
      </c>
      <c r="C58" s="2">
        <v>46218</v>
      </c>
      <c r="D58" s="1" t="s">
        <v>392</v>
      </c>
      <c r="E58" t="s">
        <v>393</v>
      </c>
      <c r="F58" t="s">
        <v>39</v>
      </c>
      <c r="G58" s="5">
        <v>500</v>
      </c>
      <c r="H58" s="5">
        <v>567</v>
      </c>
      <c r="I58" s="5">
        <v>547</v>
      </c>
      <c r="J58" s="5">
        <v>20</v>
      </c>
      <c r="K58" s="8">
        <f t="shared" si="0"/>
        <v>113.39999999999999</v>
      </c>
      <c r="L58" s="8">
        <f t="shared" si="1"/>
        <v>3.6563071297989032</v>
      </c>
      <c r="M58" t="s">
        <v>20</v>
      </c>
      <c r="N58" t="s">
        <v>21</v>
      </c>
    </row>
    <row r="59" spans="1:14" x14ac:dyDescent="0.3">
      <c r="A59" t="s">
        <v>36</v>
      </c>
      <c r="B59" s="2">
        <v>46217</v>
      </c>
      <c r="C59" s="2">
        <v>46218</v>
      </c>
      <c r="D59" s="1" t="s">
        <v>37</v>
      </c>
      <c r="E59" t="s">
        <v>38</v>
      </c>
      <c r="F59" t="s">
        <v>39</v>
      </c>
      <c r="G59" s="5">
        <v>100</v>
      </c>
      <c r="H59" s="5">
        <v>111</v>
      </c>
      <c r="I59" s="5">
        <v>107</v>
      </c>
      <c r="J59" s="5">
        <v>4</v>
      </c>
      <c r="K59" s="8">
        <f t="shared" si="0"/>
        <v>111.00000000000001</v>
      </c>
      <c r="L59" s="8">
        <f t="shared" si="1"/>
        <v>3.7383177570093453</v>
      </c>
      <c r="M59" t="s">
        <v>20</v>
      </c>
      <c r="N59" t="s">
        <v>21</v>
      </c>
    </row>
    <row r="60" spans="1:14" x14ac:dyDescent="0.3">
      <c r="A60" t="s">
        <v>109</v>
      </c>
      <c r="B60" s="2">
        <v>46217</v>
      </c>
      <c r="C60" s="2">
        <v>46218</v>
      </c>
      <c r="D60" s="1" t="s">
        <v>102</v>
      </c>
      <c r="E60" t="s">
        <v>103</v>
      </c>
      <c r="F60" t="s">
        <v>61</v>
      </c>
      <c r="G60" s="5">
        <v>354</v>
      </c>
      <c r="H60" s="5">
        <v>360</v>
      </c>
      <c r="I60" s="5">
        <v>360</v>
      </c>
      <c r="J60" s="5">
        <v>0</v>
      </c>
      <c r="K60" s="8">
        <f t="shared" si="0"/>
        <v>101.69491525423729</v>
      </c>
      <c r="L60" s="8">
        <f t="shared" si="1"/>
        <v>0</v>
      </c>
      <c r="M60" t="s">
        <v>20</v>
      </c>
      <c r="N60" t="s">
        <v>21</v>
      </c>
    </row>
    <row r="61" spans="1:14" x14ac:dyDescent="0.3">
      <c r="A61" t="s">
        <v>337</v>
      </c>
      <c r="B61" s="2">
        <v>46217</v>
      </c>
      <c r="C61" s="2">
        <v>46218</v>
      </c>
      <c r="D61" s="1" t="s">
        <v>333</v>
      </c>
      <c r="E61" t="s">
        <v>334</v>
      </c>
      <c r="F61" t="s">
        <v>61</v>
      </c>
      <c r="G61" s="5">
        <v>210</v>
      </c>
      <c r="H61" s="5">
        <v>210</v>
      </c>
      <c r="I61" s="5">
        <v>210</v>
      </c>
      <c r="J61" s="5">
        <v>0</v>
      </c>
      <c r="K61" s="8">
        <f t="shared" si="0"/>
        <v>100</v>
      </c>
      <c r="L61" s="8">
        <f t="shared" si="1"/>
        <v>0</v>
      </c>
      <c r="M61" t="s">
        <v>20</v>
      </c>
      <c r="N61" t="s">
        <v>21</v>
      </c>
    </row>
    <row r="62" spans="1:14" x14ac:dyDescent="0.3">
      <c r="A62" t="s">
        <v>274</v>
      </c>
      <c r="B62" s="2">
        <v>46217</v>
      </c>
      <c r="C62" s="2">
        <v>46218</v>
      </c>
      <c r="D62" s="1" t="s">
        <v>272</v>
      </c>
      <c r="E62" t="s">
        <v>273</v>
      </c>
      <c r="F62" t="s">
        <v>61</v>
      </c>
      <c r="G62" s="5">
        <v>1617</v>
      </c>
      <c r="H62" s="5">
        <v>1620</v>
      </c>
      <c r="I62" s="5">
        <v>1617</v>
      </c>
      <c r="J62" s="5">
        <v>3</v>
      </c>
      <c r="K62" s="8">
        <f t="shared" si="0"/>
        <v>100.18552875695732</v>
      </c>
      <c r="L62" s="8">
        <f t="shared" si="1"/>
        <v>0.1855287569573284</v>
      </c>
      <c r="M62" t="s">
        <v>20</v>
      </c>
      <c r="N62" t="s">
        <v>21</v>
      </c>
    </row>
    <row r="63" spans="1:14" x14ac:dyDescent="0.3">
      <c r="A63" t="s">
        <v>69</v>
      </c>
      <c r="B63" s="2">
        <v>46217</v>
      </c>
      <c r="C63" s="2">
        <v>46218</v>
      </c>
      <c r="D63" s="1" t="s">
        <v>66</v>
      </c>
      <c r="E63" t="s">
        <v>67</v>
      </c>
      <c r="F63" t="s">
        <v>61</v>
      </c>
      <c r="G63" s="5">
        <v>400</v>
      </c>
      <c r="H63" s="5">
        <v>416</v>
      </c>
      <c r="I63" s="5">
        <v>412</v>
      </c>
      <c r="J63" s="5">
        <v>4</v>
      </c>
      <c r="K63" s="8">
        <f t="shared" si="0"/>
        <v>104</v>
      </c>
      <c r="L63" s="8">
        <f t="shared" si="1"/>
        <v>0.97087378640776689</v>
      </c>
      <c r="M63" t="s">
        <v>20</v>
      </c>
      <c r="N63" t="s">
        <v>21</v>
      </c>
    </row>
    <row r="64" spans="1:14" x14ac:dyDescent="0.3">
      <c r="A64" t="s">
        <v>372</v>
      </c>
      <c r="B64" s="2">
        <v>46217</v>
      </c>
      <c r="C64" s="2">
        <v>46218</v>
      </c>
      <c r="D64" s="1" t="s">
        <v>370</v>
      </c>
      <c r="E64" t="s">
        <v>371</v>
      </c>
      <c r="F64" t="s">
        <v>97</v>
      </c>
      <c r="G64" s="5">
        <v>22</v>
      </c>
      <c r="H64" s="5">
        <v>22</v>
      </c>
      <c r="I64" s="5">
        <v>20</v>
      </c>
      <c r="J64" s="5">
        <v>2</v>
      </c>
      <c r="K64" s="8">
        <f t="shared" si="0"/>
        <v>100</v>
      </c>
      <c r="L64" s="8">
        <f t="shared" si="1"/>
        <v>10</v>
      </c>
      <c r="M64" t="s">
        <v>20</v>
      </c>
      <c r="N64" t="s">
        <v>21</v>
      </c>
    </row>
    <row r="65" spans="1:14" x14ac:dyDescent="0.3">
      <c r="A65" t="s">
        <v>411</v>
      </c>
      <c r="B65" s="2">
        <v>46217</v>
      </c>
      <c r="C65" s="2">
        <v>46218</v>
      </c>
      <c r="D65" s="1" t="s">
        <v>412</v>
      </c>
      <c r="E65" t="s">
        <v>413</v>
      </c>
      <c r="F65" t="s">
        <v>97</v>
      </c>
      <c r="G65" s="5">
        <v>600</v>
      </c>
      <c r="H65" s="5">
        <v>627</v>
      </c>
      <c r="I65" s="5">
        <v>624</v>
      </c>
      <c r="J65" s="5">
        <v>3</v>
      </c>
      <c r="K65" s="8">
        <f t="shared" si="0"/>
        <v>104.5</v>
      </c>
      <c r="L65" s="8">
        <f t="shared" si="1"/>
        <v>0.48076923076923078</v>
      </c>
      <c r="M65" t="s">
        <v>20</v>
      </c>
      <c r="N65" t="s">
        <v>21</v>
      </c>
    </row>
    <row r="66" spans="1:14" x14ac:dyDescent="0.3">
      <c r="A66" t="s">
        <v>288</v>
      </c>
      <c r="B66" s="2">
        <v>46217</v>
      </c>
      <c r="C66" s="2">
        <v>46218</v>
      </c>
      <c r="D66" s="1" t="s">
        <v>289</v>
      </c>
      <c r="E66" t="s">
        <v>290</v>
      </c>
      <c r="F66" t="s">
        <v>97</v>
      </c>
      <c r="G66" s="5">
        <v>624</v>
      </c>
      <c r="H66" s="5">
        <v>648</v>
      </c>
      <c r="I66" s="5">
        <v>648</v>
      </c>
      <c r="J66" s="5">
        <v>0</v>
      </c>
      <c r="K66" s="8">
        <f t="shared" si="0"/>
        <v>103.84615384615385</v>
      </c>
      <c r="L66" s="8">
        <f t="shared" si="1"/>
        <v>0</v>
      </c>
      <c r="M66" t="s">
        <v>20</v>
      </c>
      <c r="N66" t="s">
        <v>21</v>
      </c>
    </row>
    <row r="67" spans="1:14" x14ac:dyDescent="0.3">
      <c r="A67" t="s">
        <v>94</v>
      </c>
      <c r="B67" s="2">
        <v>46217</v>
      </c>
      <c r="C67" s="2">
        <v>46218</v>
      </c>
      <c r="D67" s="1" t="s">
        <v>95</v>
      </c>
      <c r="E67" t="s">
        <v>96</v>
      </c>
      <c r="F67" t="s">
        <v>97</v>
      </c>
      <c r="G67" s="5">
        <v>720</v>
      </c>
      <c r="H67" s="5">
        <v>770</v>
      </c>
      <c r="I67" s="5">
        <v>764</v>
      </c>
      <c r="J67" s="5">
        <v>6</v>
      </c>
      <c r="K67" s="8">
        <f t="shared" si="0"/>
        <v>106.94444444444444</v>
      </c>
      <c r="L67" s="8">
        <f t="shared" si="1"/>
        <v>0.78534031413612559</v>
      </c>
      <c r="M67" t="s">
        <v>20</v>
      </c>
      <c r="N67" t="s">
        <v>21</v>
      </c>
    </row>
    <row r="68" spans="1:14" x14ac:dyDescent="0.3">
      <c r="A68" t="s">
        <v>154</v>
      </c>
      <c r="B68" s="2">
        <v>46217</v>
      </c>
      <c r="C68" s="2">
        <v>46218</v>
      </c>
      <c r="D68" s="1" t="s">
        <v>152</v>
      </c>
      <c r="E68" t="s">
        <v>153</v>
      </c>
      <c r="F68" t="s">
        <v>39</v>
      </c>
      <c r="G68" s="5">
        <v>142</v>
      </c>
      <c r="H68" s="5">
        <v>180</v>
      </c>
      <c r="I68" s="5">
        <v>174</v>
      </c>
      <c r="J68" s="5">
        <v>6</v>
      </c>
      <c r="K68" s="8">
        <f t="shared" ref="K68:K131" si="2">(H68/G68)*100</f>
        <v>126.7605633802817</v>
      </c>
      <c r="L68" s="8">
        <f t="shared" ref="L68:L131" si="3">((H68-I68)/I68)*100</f>
        <v>3.4482758620689653</v>
      </c>
      <c r="M68" t="s">
        <v>20</v>
      </c>
      <c r="N68" t="s">
        <v>21</v>
      </c>
    </row>
    <row r="69" spans="1:14" x14ac:dyDescent="0.3">
      <c r="A69" t="s">
        <v>203</v>
      </c>
      <c r="B69" s="2">
        <v>46217</v>
      </c>
      <c r="C69" s="2">
        <v>46218</v>
      </c>
      <c r="D69" s="1" t="s">
        <v>198</v>
      </c>
      <c r="E69" t="s">
        <v>199</v>
      </c>
      <c r="F69" t="s">
        <v>19</v>
      </c>
      <c r="G69" s="5">
        <v>25</v>
      </c>
      <c r="H69" s="5">
        <v>25</v>
      </c>
      <c r="I69" s="5">
        <v>25</v>
      </c>
      <c r="J69" s="5">
        <v>0</v>
      </c>
      <c r="K69" s="8">
        <f t="shared" si="2"/>
        <v>100</v>
      </c>
      <c r="L69" s="8">
        <f t="shared" si="3"/>
        <v>0</v>
      </c>
      <c r="M69" t="s">
        <v>20</v>
      </c>
      <c r="N69" t="s">
        <v>21</v>
      </c>
    </row>
    <row r="70" spans="1:14" x14ac:dyDescent="0.3">
      <c r="A70" t="s">
        <v>204</v>
      </c>
      <c r="B70" s="2">
        <v>46217</v>
      </c>
      <c r="C70" s="2">
        <v>46218</v>
      </c>
      <c r="D70" s="1" t="s">
        <v>198</v>
      </c>
      <c r="E70" t="s">
        <v>199</v>
      </c>
      <c r="F70" t="s">
        <v>19</v>
      </c>
      <c r="G70" s="5">
        <v>32</v>
      </c>
      <c r="H70" s="5">
        <v>32</v>
      </c>
      <c r="I70" s="5">
        <v>32</v>
      </c>
      <c r="J70" s="5">
        <v>0</v>
      </c>
      <c r="K70" s="8">
        <f t="shared" si="2"/>
        <v>100</v>
      </c>
      <c r="L70" s="8">
        <f t="shared" si="3"/>
        <v>0</v>
      </c>
      <c r="M70" t="s">
        <v>20</v>
      </c>
      <c r="N70" t="s">
        <v>21</v>
      </c>
    </row>
    <row r="71" spans="1:14" x14ac:dyDescent="0.3">
      <c r="A71" t="s">
        <v>29</v>
      </c>
      <c r="B71" s="2">
        <v>46217</v>
      </c>
      <c r="C71" s="2">
        <v>46218</v>
      </c>
      <c r="D71" s="1" t="s">
        <v>27</v>
      </c>
      <c r="E71" t="s">
        <v>28</v>
      </c>
      <c r="F71" t="s">
        <v>19</v>
      </c>
      <c r="G71" s="5">
        <v>400</v>
      </c>
      <c r="H71" s="5">
        <v>400</v>
      </c>
      <c r="I71" s="5">
        <v>400</v>
      </c>
      <c r="J71" s="5">
        <v>0</v>
      </c>
      <c r="K71" s="8">
        <f t="shared" si="2"/>
        <v>100</v>
      </c>
      <c r="L71" s="8">
        <f t="shared" si="3"/>
        <v>0</v>
      </c>
      <c r="M71" t="s">
        <v>20</v>
      </c>
      <c r="N71" t="s">
        <v>21</v>
      </c>
    </row>
    <row r="72" spans="1:14" x14ac:dyDescent="0.3">
      <c r="A72" t="s">
        <v>234</v>
      </c>
      <c r="B72" s="2">
        <v>46217</v>
      </c>
      <c r="C72" s="2">
        <v>46218</v>
      </c>
      <c r="D72" s="1" t="s">
        <v>232</v>
      </c>
      <c r="E72" t="s">
        <v>233</v>
      </c>
      <c r="F72" t="s">
        <v>19</v>
      </c>
      <c r="G72" s="5">
        <v>35</v>
      </c>
      <c r="H72" s="5">
        <v>35</v>
      </c>
      <c r="I72" s="5">
        <v>35</v>
      </c>
      <c r="J72" s="5">
        <v>0</v>
      </c>
      <c r="K72" s="8">
        <f t="shared" si="2"/>
        <v>100</v>
      </c>
      <c r="L72" s="8">
        <f t="shared" si="3"/>
        <v>0</v>
      </c>
      <c r="M72" t="s">
        <v>20</v>
      </c>
      <c r="N72" t="s">
        <v>21</v>
      </c>
    </row>
    <row r="73" spans="1:14" x14ac:dyDescent="0.3">
      <c r="A73" t="s">
        <v>50</v>
      </c>
      <c r="B73" s="2">
        <v>46217</v>
      </c>
      <c r="C73" s="2">
        <v>46219</v>
      </c>
      <c r="D73" s="1" t="s">
        <v>48</v>
      </c>
      <c r="E73" t="s">
        <v>49</v>
      </c>
      <c r="F73" t="s">
        <v>39</v>
      </c>
      <c r="G73" s="5">
        <v>210</v>
      </c>
      <c r="H73" s="5">
        <v>181</v>
      </c>
      <c r="I73" s="5">
        <v>177</v>
      </c>
      <c r="J73" s="5">
        <v>4</v>
      </c>
      <c r="K73" s="8">
        <f t="shared" si="2"/>
        <v>86.19047619047619</v>
      </c>
      <c r="L73" s="8">
        <f t="shared" si="3"/>
        <v>2.2598870056497176</v>
      </c>
      <c r="M73" t="s">
        <v>20</v>
      </c>
      <c r="N73" t="s">
        <v>21</v>
      </c>
    </row>
    <row r="74" spans="1:14" x14ac:dyDescent="0.3">
      <c r="A74" t="s">
        <v>400</v>
      </c>
      <c r="B74" s="2">
        <v>46217</v>
      </c>
      <c r="C74" s="2">
        <v>46219</v>
      </c>
      <c r="D74" s="1" t="s">
        <v>398</v>
      </c>
      <c r="E74" t="s">
        <v>399</v>
      </c>
      <c r="F74" t="s">
        <v>39</v>
      </c>
      <c r="G74" s="5">
        <v>388</v>
      </c>
      <c r="H74" s="5">
        <v>454</v>
      </c>
      <c r="I74" s="5">
        <v>452</v>
      </c>
      <c r="J74" s="5">
        <v>2</v>
      </c>
      <c r="K74" s="8">
        <f t="shared" si="2"/>
        <v>117.01030927835052</v>
      </c>
      <c r="L74" s="8">
        <f t="shared" si="3"/>
        <v>0.44247787610619471</v>
      </c>
      <c r="M74" t="s">
        <v>20</v>
      </c>
      <c r="N74" t="s">
        <v>21</v>
      </c>
    </row>
    <row r="75" spans="1:14" x14ac:dyDescent="0.3">
      <c r="A75" t="s">
        <v>133</v>
      </c>
      <c r="B75" s="2">
        <v>46217</v>
      </c>
      <c r="C75" s="2">
        <v>46219</v>
      </c>
      <c r="D75" s="1" t="s">
        <v>129</v>
      </c>
      <c r="E75" t="s">
        <v>130</v>
      </c>
      <c r="F75" t="s">
        <v>61</v>
      </c>
      <c r="G75" s="5">
        <v>282</v>
      </c>
      <c r="H75" s="5">
        <v>288</v>
      </c>
      <c r="I75" s="5">
        <v>288</v>
      </c>
      <c r="J75" s="5">
        <v>0</v>
      </c>
      <c r="K75" s="8">
        <f t="shared" si="2"/>
        <v>102.12765957446808</v>
      </c>
      <c r="L75" s="8">
        <f t="shared" si="3"/>
        <v>0</v>
      </c>
      <c r="M75" t="s">
        <v>20</v>
      </c>
      <c r="N75" t="s">
        <v>21</v>
      </c>
    </row>
    <row r="76" spans="1:14" x14ac:dyDescent="0.3">
      <c r="A76" t="s">
        <v>319</v>
      </c>
      <c r="B76" s="2">
        <v>46217</v>
      </c>
      <c r="C76" s="2">
        <v>46219</v>
      </c>
      <c r="D76" s="1" t="s">
        <v>316</v>
      </c>
      <c r="E76" t="s">
        <v>317</v>
      </c>
      <c r="F76" t="s">
        <v>97</v>
      </c>
      <c r="G76" s="5">
        <v>100</v>
      </c>
      <c r="H76" s="5">
        <v>106</v>
      </c>
      <c r="I76" s="5">
        <v>106</v>
      </c>
      <c r="J76" s="5">
        <v>0</v>
      </c>
      <c r="K76" s="8">
        <f t="shared" si="2"/>
        <v>106</v>
      </c>
      <c r="L76" s="8">
        <f t="shared" si="3"/>
        <v>0</v>
      </c>
      <c r="M76" t="s">
        <v>20</v>
      </c>
      <c r="N76" t="s">
        <v>21</v>
      </c>
    </row>
    <row r="77" spans="1:14" x14ac:dyDescent="0.3">
      <c r="A77" t="s">
        <v>359</v>
      </c>
      <c r="B77" s="2">
        <v>46217</v>
      </c>
      <c r="C77" s="2">
        <v>46219</v>
      </c>
      <c r="D77" s="1" t="s">
        <v>355</v>
      </c>
      <c r="E77" t="s">
        <v>356</v>
      </c>
      <c r="F77" t="s">
        <v>97</v>
      </c>
      <c r="G77" s="5">
        <v>33</v>
      </c>
      <c r="H77" s="5">
        <v>33</v>
      </c>
      <c r="I77" s="5">
        <v>26</v>
      </c>
      <c r="J77" s="5">
        <v>7</v>
      </c>
      <c r="K77" s="8">
        <f t="shared" si="2"/>
        <v>100</v>
      </c>
      <c r="L77" s="8">
        <f t="shared" si="3"/>
        <v>26.923076923076923</v>
      </c>
      <c r="M77" t="s">
        <v>20</v>
      </c>
      <c r="N77" t="s">
        <v>21</v>
      </c>
    </row>
    <row r="78" spans="1:14" x14ac:dyDescent="0.3">
      <c r="A78" t="s">
        <v>401</v>
      </c>
      <c r="B78" s="2">
        <v>46218</v>
      </c>
      <c r="C78" s="2">
        <v>46219</v>
      </c>
      <c r="D78" s="1" t="s">
        <v>398</v>
      </c>
      <c r="E78" t="s">
        <v>399</v>
      </c>
      <c r="F78" t="s">
        <v>39</v>
      </c>
      <c r="G78" s="5">
        <v>388</v>
      </c>
      <c r="H78" s="5">
        <v>449</v>
      </c>
      <c r="I78" s="5">
        <v>446</v>
      </c>
      <c r="J78" s="5">
        <v>3</v>
      </c>
      <c r="K78" s="8">
        <f t="shared" si="2"/>
        <v>115.72164948453609</v>
      </c>
      <c r="L78" s="8">
        <f t="shared" si="3"/>
        <v>0.67264573991031396</v>
      </c>
      <c r="M78" t="s">
        <v>20</v>
      </c>
      <c r="N78" t="s">
        <v>21</v>
      </c>
    </row>
    <row r="79" spans="1:14" x14ac:dyDescent="0.3">
      <c r="A79" t="s">
        <v>394</v>
      </c>
      <c r="B79" s="2">
        <v>46218</v>
      </c>
      <c r="C79" s="2">
        <v>46219</v>
      </c>
      <c r="D79" s="1" t="s">
        <v>392</v>
      </c>
      <c r="E79" t="s">
        <v>393</v>
      </c>
      <c r="F79" t="s">
        <v>39</v>
      </c>
      <c r="G79" s="5">
        <v>500</v>
      </c>
      <c r="H79" s="5">
        <v>601</v>
      </c>
      <c r="I79" s="5">
        <v>589</v>
      </c>
      <c r="J79" s="5">
        <v>12</v>
      </c>
      <c r="K79" s="8">
        <f t="shared" si="2"/>
        <v>120.19999999999999</v>
      </c>
      <c r="L79" s="8">
        <f t="shared" si="3"/>
        <v>2.037351443123939</v>
      </c>
      <c r="M79" t="s">
        <v>20</v>
      </c>
      <c r="N79" t="s">
        <v>21</v>
      </c>
    </row>
    <row r="80" spans="1:14" x14ac:dyDescent="0.3">
      <c r="A80" t="s">
        <v>160</v>
      </c>
      <c r="B80" s="2">
        <v>46218</v>
      </c>
      <c r="C80" s="2">
        <v>46219</v>
      </c>
      <c r="D80" s="1" t="s">
        <v>158</v>
      </c>
      <c r="E80" t="s">
        <v>159</v>
      </c>
      <c r="F80" t="s">
        <v>39</v>
      </c>
      <c r="G80" s="5">
        <v>142</v>
      </c>
      <c r="H80" s="5">
        <v>192</v>
      </c>
      <c r="I80" s="5">
        <v>191</v>
      </c>
      <c r="J80" s="5">
        <v>1</v>
      </c>
      <c r="K80" s="8">
        <f t="shared" si="2"/>
        <v>135.21126760563379</v>
      </c>
      <c r="L80" s="8">
        <f t="shared" si="3"/>
        <v>0.52356020942408377</v>
      </c>
      <c r="M80" t="s">
        <v>20</v>
      </c>
      <c r="N80" t="s">
        <v>21</v>
      </c>
    </row>
    <row r="81" spans="1:14" x14ac:dyDescent="0.3">
      <c r="A81" t="s">
        <v>149</v>
      </c>
      <c r="B81" s="2">
        <v>46218</v>
      </c>
      <c r="C81" s="2">
        <v>46219</v>
      </c>
      <c r="D81" s="1" t="s">
        <v>147</v>
      </c>
      <c r="E81" t="s">
        <v>148</v>
      </c>
      <c r="F81" t="s">
        <v>39</v>
      </c>
      <c r="G81" s="5">
        <v>142</v>
      </c>
      <c r="H81" s="5">
        <v>170</v>
      </c>
      <c r="I81" s="5">
        <v>170</v>
      </c>
      <c r="J81" s="5">
        <v>0</v>
      </c>
      <c r="K81" s="8">
        <f t="shared" si="2"/>
        <v>119.71830985915493</v>
      </c>
      <c r="L81" s="8">
        <f t="shared" si="3"/>
        <v>0</v>
      </c>
      <c r="M81" t="s">
        <v>20</v>
      </c>
      <c r="N81" t="s">
        <v>21</v>
      </c>
    </row>
    <row r="82" spans="1:14" x14ac:dyDescent="0.3">
      <c r="A82" t="s">
        <v>193</v>
      </c>
      <c r="B82" s="2">
        <v>46218</v>
      </c>
      <c r="C82" s="2">
        <v>46219</v>
      </c>
      <c r="D82" s="1" t="s">
        <v>189</v>
      </c>
      <c r="E82" t="s">
        <v>190</v>
      </c>
      <c r="F82" t="s">
        <v>97</v>
      </c>
      <c r="G82" s="5">
        <v>150</v>
      </c>
      <c r="H82" s="5">
        <v>160</v>
      </c>
      <c r="I82" s="5">
        <v>160</v>
      </c>
      <c r="J82" s="5">
        <v>0</v>
      </c>
      <c r="K82" s="8">
        <f t="shared" si="2"/>
        <v>106.66666666666667</v>
      </c>
      <c r="L82" s="8">
        <f t="shared" si="3"/>
        <v>0</v>
      </c>
      <c r="M82" t="s">
        <v>20</v>
      </c>
      <c r="N82" t="s">
        <v>21</v>
      </c>
    </row>
    <row r="83" spans="1:14" x14ac:dyDescent="0.3">
      <c r="A83" t="s">
        <v>70</v>
      </c>
      <c r="B83" s="2">
        <v>46218</v>
      </c>
      <c r="C83" s="2">
        <v>46219</v>
      </c>
      <c r="D83" s="1" t="s">
        <v>66</v>
      </c>
      <c r="E83" t="s">
        <v>67</v>
      </c>
      <c r="F83" t="s">
        <v>61</v>
      </c>
      <c r="G83" s="5">
        <v>400</v>
      </c>
      <c r="H83" s="5">
        <v>416</v>
      </c>
      <c r="I83" s="5">
        <v>412</v>
      </c>
      <c r="J83" s="5">
        <v>4</v>
      </c>
      <c r="K83" s="8">
        <f t="shared" si="2"/>
        <v>104</v>
      </c>
      <c r="L83" s="8">
        <f t="shared" si="3"/>
        <v>0.97087378640776689</v>
      </c>
      <c r="M83" t="s">
        <v>20</v>
      </c>
      <c r="N83" t="s">
        <v>21</v>
      </c>
    </row>
    <row r="84" spans="1:14" x14ac:dyDescent="0.3">
      <c r="A84" t="s">
        <v>134</v>
      </c>
      <c r="B84" s="2">
        <v>46218</v>
      </c>
      <c r="C84" s="2">
        <v>46219</v>
      </c>
      <c r="D84" s="1" t="s">
        <v>129</v>
      </c>
      <c r="E84" t="s">
        <v>130</v>
      </c>
      <c r="F84" t="s">
        <v>61</v>
      </c>
      <c r="G84" s="5">
        <v>270</v>
      </c>
      <c r="H84" s="5">
        <v>265</v>
      </c>
      <c r="I84" s="5">
        <v>258</v>
      </c>
      <c r="J84" s="5">
        <v>7</v>
      </c>
      <c r="K84" s="8">
        <f t="shared" si="2"/>
        <v>98.148148148148152</v>
      </c>
      <c r="L84" s="8">
        <f t="shared" si="3"/>
        <v>2.7131782945736433</v>
      </c>
      <c r="M84" t="s">
        <v>20</v>
      </c>
      <c r="N84" t="s">
        <v>21</v>
      </c>
    </row>
    <row r="85" spans="1:14" x14ac:dyDescent="0.3">
      <c r="A85" t="s">
        <v>338</v>
      </c>
      <c r="B85" s="2">
        <v>46218</v>
      </c>
      <c r="C85" s="2">
        <v>46219</v>
      </c>
      <c r="D85" s="1" t="s">
        <v>333</v>
      </c>
      <c r="E85" t="s">
        <v>334</v>
      </c>
      <c r="F85" t="s">
        <v>61</v>
      </c>
      <c r="G85" s="5">
        <v>240</v>
      </c>
      <c r="H85" s="5">
        <v>240</v>
      </c>
      <c r="I85" s="5">
        <v>240</v>
      </c>
      <c r="J85" s="5">
        <v>0</v>
      </c>
      <c r="K85" s="8">
        <f t="shared" si="2"/>
        <v>100</v>
      </c>
      <c r="L85" s="8">
        <f t="shared" si="3"/>
        <v>0</v>
      </c>
      <c r="M85" t="s">
        <v>20</v>
      </c>
      <c r="N85" t="s">
        <v>21</v>
      </c>
    </row>
    <row r="86" spans="1:14" x14ac:dyDescent="0.3">
      <c r="A86" t="s">
        <v>389</v>
      </c>
      <c r="B86" s="2">
        <v>46218</v>
      </c>
      <c r="C86" s="2">
        <v>46219</v>
      </c>
      <c r="D86" s="1" t="s">
        <v>386</v>
      </c>
      <c r="E86" t="s">
        <v>387</v>
      </c>
      <c r="F86" t="s">
        <v>61</v>
      </c>
      <c r="G86" s="5">
        <v>300</v>
      </c>
      <c r="H86" s="5">
        <v>300</v>
      </c>
      <c r="I86" s="5">
        <v>300</v>
      </c>
      <c r="J86" s="5">
        <v>0</v>
      </c>
      <c r="K86" s="8">
        <f t="shared" si="2"/>
        <v>100</v>
      </c>
      <c r="L86" s="8">
        <f t="shared" si="3"/>
        <v>0</v>
      </c>
      <c r="M86" t="s">
        <v>20</v>
      </c>
      <c r="N86" t="s">
        <v>21</v>
      </c>
    </row>
    <row r="87" spans="1:14" x14ac:dyDescent="0.3">
      <c r="A87" t="s">
        <v>110</v>
      </c>
      <c r="B87" s="2">
        <v>46218</v>
      </c>
      <c r="C87" s="2">
        <v>46219</v>
      </c>
      <c r="D87" s="1" t="s">
        <v>102</v>
      </c>
      <c r="E87" t="s">
        <v>103</v>
      </c>
      <c r="F87" t="s">
        <v>61</v>
      </c>
      <c r="G87" s="5">
        <v>116</v>
      </c>
      <c r="H87" s="5">
        <v>120</v>
      </c>
      <c r="I87" s="5">
        <v>117</v>
      </c>
      <c r="J87" s="5">
        <v>3</v>
      </c>
      <c r="K87" s="8">
        <f t="shared" si="2"/>
        <v>103.44827586206897</v>
      </c>
      <c r="L87" s="8">
        <f t="shared" si="3"/>
        <v>2.5641025641025639</v>
      </c>
      <c r="M87" t="s">
        <v>20</v>
      </c>
      <c r="N87" t="s">
        <v>21</v>
      </c>
    </row>
    <row r="88" spans="1:14" x14ac:dyDescent="0.3">
      <c r="A88" t="s">
        <v>111</v>
      </c>
      <c r="B88" s="2">
        <v>46218</v>
      </c>
      <c r="C88" s="2">
        <v>46219</v>
      </c>
      <c r="D88" s="1" t="s">
        <v>102</v>
      </c>
      <c r="E88" t="s">
        <v>103</v>
      </c>
      <c r="F88" t="s">
        <v>61</v>
      </c>
      <c r="G88" s="5">
        <v>232</v>
      </c>
      <c r="H88" s="5">
        <v>237</v>
      </c>
      <c r="I88" s="5">
        <v>237</v>
      </c>
      <c r="J88" s="5">
        <v>0</v>
      </c>
      <c r="K88" s="8">
        <f t="shared" si="2"/>
        <v>102.15517241379311</v>
      </c>
      <c r="L88" s="8">
        <f t="shared" si="3"/>
        <v>0</v>
      </c>
      <c r="M88" t="s">
        <v>20</v>
      </c>
      <c r="N88" t="s">
        <v>21</v>
      </c>
    </row>
    <row r="89" spans="1:14" x14ac:dyDescent="0.3">
      <c r="A89" t="s">
        <v>155</v>
      </c>
      <c r="B89" s="2">
        <v>46218</v>
      </c>
      <c r="C89" s="2">
        <v>46219</v>
      </c>
      <c r="D89" s="1" t="s">
        <v>152</v>
      </c>
      <c r="E89" t="s">
        <v>153</v>
      </c>
      <c r="F89" t="s">
        <v>39</v>
      </c>
      <c r="G89" s="5">
        <v>142</v>
      </c>
      <c r="H89" s="5">
        <v>172</v>
      </c>
      <c r="I89" s="5">
        <v>172</v>
      </c>
      <c r="J89" s="5">
        <v>0</v>
      </c>
      <c r="K89" s="8">
        <f t="shared" si="2"/>
        <v>121.12676056338027</v>
      </c>
      <c r="L89" s="8">
        <f t="shared" si="3"/>
        <v>0</v>
      </c>
      <c r="M89" t="s">
        <v>20</v>
      </c>
      <c r="N89" t="s">
        <v>21</v>
      </c>
    </row>
    <row r="90" spans="1:14" x14ac:dyDescent="0.3">
      <c r="A90" t="s">
        <v>87</v>
      </c>
      <c r="B90" s="2">
        <v>46218</v>
      </c>
      <c r="C90" s="2">
        <v>46219</v>
      </c>
      <c r="D90" s="1" t="s">
        <v>85</v>
      </c>
      <c r="E90" t="s">
        <v>86</v>
      </c>
      <c r="F90" t="s">
        <v>19</v>
      </c>
      <c r="G90" s="5">
        <v>111</v>
      </c>
      <c r="H90" s="5">
        <v>111</v>
      </c>
      <c r="I90" s="5">
        <v>111</v>
      </c>
      <c r="J90" s="5">
        <v>0</v>
      </c>
      <c r="K90" s="8">
        <f t="shared" si="2"/>
        <v>100</v>
      </c>
      <c r="L90" s="8">
        <f t="shared" si="3"/>
        <v>0</v>
      </c>
      <c r="M90" t="s">
        <v>20</v>
      </c>
      <c r="N90" t="s">
        <v>21</v>
      </c>
    </row>
    <row r="91" spans="1:14" x14ac:dyDescent="0.3">
      <c r="A91" t="s">
        <v>205</v>
      </c>
      <c r="B91" s="2">
        <v>46218</v>
      </c>
      <c r="C91" s="2">
        <v>46219</v>
      </c>
      <c r="D91" s="1" t="s">
        <v>198</v>
      </c>
      <c r="E91" t="s">
        <v>199</v>
      </c>
      <c r="F91" t="s">
        <v>19</v>
      </c>
      <c r="G91" s="5">
        <v>34</v>
      </c>
      <c r="H91" s="5">
        <v>34</v>
      </c>
      <c r="I91" s="5">
        <v>34</v>
      </c>
      <c r="J91" s="5">
        <v>0</v>
      </c>
      <c r="K91" s="8">
        <f t="shared" si="2"/>
        <v>100</v>
      </c>
      <c r="L91" s="8">
        <f t="shared" si="3"/>
        <v>0</v>
      </c>
      <c r="M91" t="s">
        <v>20</v>
      </c>
      <c r="N91" t="s">
        <v>21</v>
      </c>
    </row>
    <row r="92" spans="1:14" x14ac:dyDescent="0.3">
      <c r="A92" t="s">
        <v>206</v>
      </c>
      <c r="B92" s="2">
        <v>46218</v>
      </c>
      <c r="C92" s="2">
        <v>46219</v>
      </c>
      <c r="D92" s="1" t="s">
        <v>198</v>
      </c>
      <c r="E92" t="s">
        <v>199</v>
      </c>
      <c r="F92" t="s">
        <v>19</v>
      </c>
      <c r="G92" s="5">
        <v>24</v>
      </c>
      <c r="H92" s="5">
        <v>24</v>
      </c>
      <c r="I92" s="5">
        <v>24</v>
      </c>
      <c r="J92" s="5">
        <v>0</v>
      </c>
      <c r="K92" s="8">
        <f t="shared" si="2"/>
        <v>100</v>
      </c>
      <c r="L92" s="8">
        <f t="shared" si="3"/>
        <v>0</v>
      </c>
      <c r="M92" t="s">
        <v>20</v>
      </c>
      <c r="N92" t="s">
        <v>21</v>
      </c>
    </row>
    <row r="93" spans="1:14" x14ac:dyDescent="0.3">
      <c r="A93" t="s">
        <v>258</v>
      </c>
      <c r="B93" s="2">
        <v>46218</v>
      </c>
      <c r="C93" s="2">
        <v>46219</v>
      </c>
      <c r="D93" s="1" t="s">
        <v>256</v>
      </c>
      <c r="E93" t="s">
        <v>257</v>
      </c>
      <c r="F93" t="s">
        <v>19</v>
      </c>
      <c r="G93" s="5">
        <v>370</v>
      </c>
      <c r="H93" s="5">
        <v>370</v>
      </c>
      <c r="I93" s="5">
        <v>370</v>
      </c>
      <c r="J93" s="5">
        <v>0</v>
      </c>
      <c r="K93" s="8">
        <f t="shared" si="2"/>
        <v>100</v>
      </c>
      <c r="L93" s="8">
        <f t="shared" si="3"/>
        <v>0</v>
      </c>
      <c r="M93" t="s">
        <v>20</v>
      </c>
      <c r="N93" t="s">
        <v>21</v>
      </c>
    </row>
    <row r="94" spans="1:14" x14ac:dyDescent="0.3">
      <c r="A94" t="s">
        <v>235</v>
      </c>
      <c r="B94" s="2">
        <v>46218</v>
      </c>
      <c r="C94" s="2">
        <v>46219</v>
      </c>
      <c r="D94" s="1" t="s">
        <v>232</v>
      </c>
      <c r="E94" t="s">
        <v>233</v>
      </c>
      <c r="F94" t="s">
        <v>19</v>
      </c>
      <c r="G94" s="5">
        <v>35</v>
      </c>
      <c r="H94" s="5">
        <v>35</v>
      </c>
      <c r="I94" s="5">
        <v>35</v>
      </c>
      <c r="J94" s="5">
        <v>0</v>
      </c>
      <c r="K94" s="8">
        <f t="shared" si="2"/>
        <v>100</v>
      </c>
      <c r="L94" s="8">
        <f t="shared" si="3"/>
        <v>0</v>
      </c>
      <c r="M94" t="s">
        <v>20</v>
      </c>
      <c r="N94" t="s">
        <v>21</v>
      </c>
    </row>
    <row r="95" spans="1:14" x14ac:dyDescent="0.3">
      <c r="A95" t="s">
        <v>30</v>
      </c>
      <c r="B95" s="2">
        <v>46218</v>
      </c>
      <c r="C95" s="2">
        <v>46219</v>
      </c>
      <c r="D95" s="1" t="s">
        <v>27</v>
      </c>
      <c r="E95" t="s">
        <v>28</v>
      </c>
      <c r="F95" t="s">
        <v>19</v>
      </c>
      <c r="G95" s="5">
        <v>400</v>
      </c>
      <c r="H95" s="5">
        <v>400</v>
      </c>
      <c r="I95" s="5">
        <v>400</v>
      </c>
      <c r="J95" s="5">
        <v>0</v>
      </c>
      <c r="K95" s="8">
        <f t="shared" si="2"/>
        <v>100</v>
      </c>
      <c r="L95" s="8">
        <f t="shared" si="3"/>
        <v>0</v>
      </c>
      <c r="M95" t="s">
        <v>20</v>
      </c>
      <c r="N95" t="s">
        <v>21</v>
      </c>
    </row>
    <row r="96" spans="1:14" x14ac:dyDescent="0.3">
      <c r="A96" t="s">
        <v>51</v>
      </c>
      <c r="B96" s="2">
        <v>46219</v>
      </c>
      <c r="C96" s="2">
        <v>46220</v>
      </c>
      <c r="D96" s="1" t="s">
        <v>48</v>
      </c>
      <c r="E96" t="s">
        <v>49</v>
      </c>
      <c r="F96" t="s">
        <v>39</v>
      </c>
      <c r="G96" s="5">
        <v>280</v>
      </c>
      <c r="H96" s="5">
        <v>255</v>
      </c>
      <c r="I96" s="5">
        <v>249</v>
      </c>
      <c r="J96" s="5">
        <v>6</v>
      </c>
      <c r="K96" s="8">
        <f t="shared" si="2"/>
        <v>91.071428571428569</v>
      </c>
      <c r="L96" s="8">
        <f t="shared" si="3"/>
        <v>2.4096385542168677</v>
      </c>
      <c r="M96" t="s">
        <v>20</v>
      </c>
      <c r="N96" t="s">
        <v>21</v>
      </c>
    </row>
    <row r="97" spans="1:14" x14ac:dyDescent="0.3">
      <c r="A97" t="s">
        <v>40</v>
      </c>
      <c r="B97" s="2">
        <v>46219</v>
      </c>
      <c r="C97" s="2">
        <v>46220</v>
      </c>
      <c r="D97" s="1" t="s">
        <v>37</v>
      </c>
      <c r="E97" t="s">
        <v>38</v>
      </c>
      <c r="F97" t="s">
        <v>39</v>
      </c>
      <c r="G97" s="5">
        <v>100</v>
      </c>
      <c r="H97" s="5">
        <v>103</v>
      </c>
      <c r="I97" s="5">
        <v>98</v>
      </c>
      <c r="J97" s="5">
        <v>5</v>
      </c>
      <c r="K97" s="8">
        <f t="shared" si="2"/>
        <v>103</v>
      </c>
      <c r="L97" s="8">
        <f t="shared" si="3"/>
        <v>5.1020408163265305</v>
      </c>
      <c r="M97" t="s">
        <v>20</v>
      </c>
      <c r="N97" t="s">
        <v>21</v>
      </c>
    </row>
    <row r="98" spans="1:14" x14ac:dyDescent="0.3">
      <c r="A98" t="s">
        <v>402</v>
      </c>
      <c r="B98" s="2">
        <v>46219</v>
      </c>
      <c r="C98" s="2">
        <v>46220</v>
      </c>
      <c r="D98" s="1" t="s">
        <v>398</v>
      </c>
      <c r="E98" t="s">
        <v>399</v>
      </c>
      <c r="F98" t="s">
        <v>39</v>
      </c>
      <c r="G98" s="5">
        <v>388</v>
      </c>
      <c r="H98" s="5">
        <v>488</v>
      </c>
      <c r="I98" s="5">
        <v>488</v>
      </c>
      <c r="J98" s="5">
        <v>0</v>
      </c>
      <c r="K98" s="8">
        <f t="shared" si="2"/>
        <v>125.77319587628865</v>
      </c>
      <c r="L98" s="8">
        <f t="shared" si="3"/>
        <v>0</v>
      </c>
      <c r="M98" t="s">
        <v>20</v>
      </c>
      <c r="N98" t="s">
        <v>21</v>
      </c>
    </row>
    <row r="99" spans="1:14" x14ac:dyDescent="0.3">
      <c r="A99" t="s">
        <v>395</v>
      </c>
      <c r="B99" s="2">
        <v>46219</v>
      </c>
      <c r="C99" s="2">
        <v>46220</v>
      </c>
      <c r="D99" s="1" t="s">
        <v>392</v>
      </c>
      <c r="E99" t="s">
        <v>393</v>
      </c>
      <c r="F99" t="s">
        <v>39</v>
      </c>
      <c r="G99" s="5">
        <v>500</v>
      </c>
      <c r="H99" s="5">
        <v>635</v>
      </c>
      <c r="I99" s="5">
        <v>613</v>
      </c>
      <c r="J99" s="5">
        <v>22</v>
      </c>
      <c r="K99" s="8">
        <f t="shared" si="2"/>
        <v>127</v>
      </c>
      <c r="L99" s="8">
        <f t="shared" si="3"/>
        <v>3.588907014681892</v>
      </c>
      <c r="M99" t="s">
        <v>20</v>
      </c>
      <c r="N99" t="s">
        <v>21</v>
      </c>
    </row>
    <row r="100" spans="1:14" x14ac:dyDescent="0.3">
      <c r="A100" t="s">
        <v>98</v>
      </c>
      <c r="B100" s="2">
        <v>46219</v>
      </c>
      <c r="C100" s="2">
        <v>46220</v>
      </c>
      <c r="D100" s="1" t="s">
        <v>95</v>
      </c>
      <c r="E100" t="s">
        <v>96</v>
      </c>
      <c r="F100" t="s">
        <v>97</v>
      </c>
      <c r="G100" s="5">
        <v>720</v>
      </c>
      <c r="H100" s="5">
        <v>770</v>
      </c>
      <c r="I100" s="5">
        <v>768</v>
      </c>
      <c r="J100" s="5">
        <v>2</v>
      </c>
      <c r="K100" s="8">
        <f t="shared" si="2"/>
        <v>106.94444444444444</v>
      </c>
      <c r="L100" s="8">
        <f t="shared" si="3"/>
        <v>0.26041666666666663</v>
      </c>
      <c r="M100" t="s">
        <v>20</v>
      </c>
      <c r="N100" t="s">
        <v>21</v>
      </c>
    </row>
    <row r="101" spans="1:14" x14ac:dyDescent="0.3">
      <c r="A101" t="s">
        <v>291</v>
      </c>
      <c r="B101" s="2">
        <v>46219</v>
      </c>
      <c r="C101" s="2">
        <v>46220</v>
      </c>
      <c r="D101" s="1" t="s">
        <v>289</v>
      </c>
      <c r="E101" t="s">
        <v>290</v>
      </c>
      <c r="F101" t="s">
        <v>97</v>
      </c>
      <c r="G101" s="5">
        <v>624</v>
      </c>
      <c r="H101" s="5">
        <v>648</v>
      </c>
      <c r="I101" s="5">
        <v>646</v>
      </c>
      <c r="J101" s="5">
        <v>2</v>
      </c>
      <c r="K101" s="8">
        <f t="shared" si="2"/>
        <v>103.84615384615385</v>
      </c>
      <c r="L101" s="8">
        <f t="shared" si="3"/>
        <v>0.30959752321981426</v>
      </c>
      <c r="M101" t="s">
        <v>20</v>
      </c>
      <c r="N101" t="s">
        <v>21</v>
      </c>
    </row>
    <row r="102" spans="1:14" x14ac:dyDescent="0.3">
      <c r="A102" t="s">
        <v>283</v>
      </c>
      <c r="B102" s="2">
        <v>46219</v>
      </c>
      <c r="C102" s="2">
        <v>46220</v>
      </c>
      <c r="D102" s="1" t="s">
        <v>284</v>
      </c>
      <c r="E102" t="s">
        <v>285</v>
      </c>
      <c r="F102" t="s">
        <v>97</v>
      </c>
      <c r="G102" s="5">
        <v>385</v>
      </c>
      <c r="H102" s="5">
        <v>420</v>
      </c>
      <c r="I102" s="5">
        <v>420</v>
      </c>
      <c r="J102" s="5">
        <v>0</v>
      </c>
      <c r="K102" s="8">
        <f t="shared" si="2"/>
        <v>109.09090909090908</v>
      </c>
      <c r="L102" s="8">
        <f t="shared" si="3"/>
        <v>0</v>
      </c>
      <c r="M102" t="s">
        <v>20</v>
      </c>
      <c r="N102" t="s">
        <v>21</v>
      </c>
    </row>
    <row r="103" spans="1:14" x14ac:dyDescent="0.3">
      <c r="A103" t="s">
        <v>414</v>
      </c>
      <c r="B103" s="2">
        <v>46219</v>
      </c>
      <c r="C103" s="2">
        <v>46220</v>
      </c>
      <c r="D103" s="1" t="s">
        <v>412</v>
      </c>
      <c r="E103" t="s">
        <v>413</v>
      </c>
      <c r="F103" t="s">
        <v>97</v>
      </c>
      <c r="G103" s="5">
        <v>600</v>
      </c>
      <c r="H103" s="5">
        <v>616</v>
      </c>
      <c r="I103" s="5">
        <v>612</v>
      </c>
      <c r="J103" s="5">
        <v>4</v>
      </c>
      <c r="K103" s="8">
        <f t="shared" si="2"/>
        <v>102.66666666666666</v>
      </c>
      <c r="L103" s="8">
        <f t="shared" si="3"/>
        <v>0.65359477124183007</v>
      </c>
      <c r="M103" t="s">
        <v>20</v>
      </c>
      <c r="N103" t="s">
        <v>21</v>
      </c>
    </row>
    <row r="104" spans="1:14" x14ac:dyDescent="0.3">
      <c r="A104" t="s">
        <v>360</v>
      </c>
      <c r="B104" s="2">
        <v>46219</v>
      </c>
      <c r="C104" s="2">
        <v>46220</v>
      </c>
      <c r="D104" s="1" t="s">
        <v>355</v>
      </c>
      <c r="E104" t="s">
        <v>356</v>
      </c>
      <c r="F104" t="s">
        <v>97</v>
      </c>
      <c r="G104" s="5">
        <v>33</v>
      </c>
      <c r="H104" s="5">
        <v>32</v>
      </c>
      <c r="I104" s="5">
        <v>27</v>
      </c>
      <c r="J104" s="5">
        <v>5</v>
      </c>
      <c r="K104" s="8">
        <f t="shared" si="2"/>
        <v>96.969696969696969</v>
      </c>
      <c r="L104" s="8">
        <f t="shared" si="3"/>
        <v>18.518518518518519</v>
      </c>
      <c r="M104" t="s">
        <v>20</v>
      </c>
      <c r="N104" t="s">
        <v>21</v>
      </c>
    </row>
    <row r="105" spans="1:14" x14ac:dyDescent="0.3">
      <c r="A105" t="s">
        <v>373</v>
      </c>
      <c r="B105" s="2">
        <v>46219</v>
      </c>
      <c r="C105" s="2">
        <v>46220</v>
      </c>
      <c r="D105" s="1" t="s">
        <v>370</v>
      </c>
      <c r="E105" t="s">
        <v>371</v>
      </c>
      <c r="F105" t="s">
        <v>97</v>
      </c>
      <c r="G105" s="5">
        <v>22</v>
      </c>
      <c r="H105" s="5">
        <v>22</v>
      </c>
      <c r="I105" s="5">
        <v>21</v>
      </c>
      <c r="J105" s="5">
        <v>1</v>
      </c>
      <c r="K105" s="8">
        <f t="shared" si="2"/>
        <v>100</v>
      </c>
      <c r="L105" s="8">
        <f t="shared" si="3"/>
        <v>4.7619047619047619</v>
      </c>
      <c r="M105" t="s">
        <v>20</v>
      </c>
      <c r="N105" t="s">
        <v>21</v>
      </c>
    </row>
    <row r="106" spans="1:14" x14ac:dyDescent="0.3">
      <c r="A106" t="s">
        <v>325</v>
      </c>
      <c r="B106" s="2">
        <v>46219</v>
      </c>
      <c r="C106" s="2">
        <v>46220</v>
      </c>
      <c r="D106" s="1" t="s">
        <v>326</v>
      </c>
      <c r="E106" t="s">
        <v>327</v>
      </c>
      <c r="F106" t="s">
        <v>97</v>
      </c>
      <c r="G106" s="5">
        <v>384</v>
      </c>
      <c r="H106" s="5">
        <v>376</v>
      </c>
      <c r="I106" s="5">
        <v>374</v>
      </c>
      <c r="J106" s="5">
        <v>2</v>
      </c>
      <c r="K106" s="8">
        <f t="shared" si="2"/>
        <v>97.916666666666657</v>
      </c>
      <c r="L106" s="8">
        <f t="shared" si="3"/>
        <v>0.53475935828876997</v>
      </c>
      <c r="M106" t="s">
        <v>20</v>
      </c>
      <c r="N106" t="s">
        <v>21</v>
      </c>
    </row>
    <row r="107" spans="1:14" x14ac:dyDescent="0.3">
      <c r="A107" t="s">
        <v>71</v>
      </c>
      <c r="B107" s="2">
        <v>46219</v>
      </c>
      <c r="C107" s="2">
        <v>46220</v>
      </c>
      <c r="D107" s="1" t="s">
        <v>66</v>
      </c>
      <c r="E107" t="s">
        <v>67</v>
      </c>
      <c r="F107" t="s">
        <v>61</v>
      </c>
      <c r="G107" s="5">
        <v>400</v>
      </c>
      <c r="H107" s="5">
        <v>416</v>
      </c>
      <c r="I107" s="5">
        <v>416</v>
      </c>
      <c r="J107" s="5">
        <v>0</v>
      </c>
      <c r="K107" s="8">
        <f t="shared" si="2"/>
        <v>104</v>
      </c>
      <c r="L107" s="8">
        <f t="shared" si="3"/>
        <v>0</v>
      </c>
      <c r="M107" t="s">
        <v>20</v>
      </c>
      <c r="N107" t="s">
        <v>21</v>
      </c>
    </row>
    <row r="108" spans="1:14" x14ac:dyDescent="0.3">
      <c r="A108" t="s">
        <v>275</v>
      </c>
      <c r="B108" s="2">
        <v>46219</v>
      </c>
      <c r="C108" s="2">
        <v>46220</v>
      </c>
      <c r="D108" s="1" t="s">
        <v>272</v>
      </c>
      <c r="E108" t="s">
        <v>273</v>
      </c>
      <c r="F108" t="s">
        <v>61</v>
      </c>
      <c r="G108" s="5">
        <v>2037</v>
      </c>
      <c r="H108" s="5">
        <v>2128</v>
      </c>
      <c r="I108" s="5">
        <v>2128</v>
      </c>
      <c r="J108" s="5">
        <v>0</v>
      </c>
      <c r="K108" s="8">
        <f t="shared" si="2"/>
        <v>104.46735395189005</v>
      </c>
      <c r="L108" s="8">
        <f t="shared" si="3"/>
        <v>0</v>
      </c>
      <c r="M108" t="s">
        <v>20</v>
      </c>
      <c r="N108" t="s">
        <v>21</v>
      </c>
    </row>
    <row r="109" spans="1:14" x14ac:dyDescent="0.3">
      <c r="A109" t="s">
        <v>135</v>
      </c>
      <c r="B109" s="2">
        <v>46219</v>
      </c>
      <c r="C109" s="2">
        <v>46220</v>
      </c>
      <c r="D109" s="1" t="s">
        <v>129</v>
      </c>
      <c r="E109" t="s">
        <v>130</v>
      </c>
      <c r="F109" t="s">
        <v>61</v>
      </c>
      <c r="G109" s="5">
        <v>276</v>
      </c>
      <c r="H109" s="5">
        <v>287</v>
      </c>
      <c r="I109" s="5">
        <v>282</v>
      </c>
      <c r="J109" s="5">
        <v>5</v>
      </c>
      <c r="K109" s="8">
        <f t="shared" si="2"/>
        <v>103.98550724637681</v>
      </c>
      <c r="L109" s="8">
        <f t="shared" si="3"/>
        <v>1.773049645390071</v>
      </c>
      <c r="M109" t="s">
        <v>20</v>
      </c>
      <c r="N109" t="s">
        <v>21</v>
      </c>
    </row>
    <row r="110" spans="1:14" x14ac:dyDescent="0.3">
      <c r="A110" t="s">
        <v>339</v>
      </c>
      <c r="B110" s="2">
        <v>46219</v>
      </c>
      <c r="C110" s="2">
        <v>46220</v>
      </c>
      <c r="D110" s="1" t="s">
        <v>333</v>
      </c>
      <c r="E110" t="s">
        <v>334</v>
      </c>
      <c r="F110" t="s">
        <v>61</v>
      </c>
      <c r="G110" s="5">
        <v>240</v>
      </c>
      <c r="H110" s="5">
        <v>240</v>
      </c>
      <c r="I110" s="5">
        <v>240</v>
      </c>
      <c r="J110" s="5">
        <v>0</v>
      </c>
      <c r="K110" s="8">
        <f t="shared" si="2"/>
        <v>100</v>
      </c>
      <c r="L110" s="8">
        <f t="shared" si="3"/>
        <v>0</v>
      </c>
      <c r="M110" t="s">
        <v>20</v>
      </c>
      <c r="N110" t="s">
        <v>21</v>
      </c>
    </row>
    <row r="111" spans="1:14" x14ac:dyDescent="0.3">
      <c r="A111" t="s">
        <v>307</v>
      </c>
      <c r="B111" s="2">
        <v>46219</v>
      </c>
      <c r="C111" s="2">
        <v>46220</v>
      </c>
      <c r="D111" s="1" t="s">
        <v>308</v>
      </c>
      <c r="E111" t="s">
        <v>309</v>
      </c>
      <c r="F111" t="s">
        <v>61</v>
      </c>
      <c r="G111" s="5">
        <v>150</v>
      </c>
      <c r="H111" s="5">
        <v>192</v>
      </c>
      <c r="I111" s="5">
        <v>185</v>
      </c>
      <c r="J111" s="5">
        <v>7</v>
      </c>
      <c r="K111" s="8">
        <f t="shared" si="2"/>
        <v>128</v>
      </c>
      <c r="L111" s="8">
        <f t="shared" si="3"/>
        <v>3.7837837837837842</v>
      </c>
      <c r="M111" t="s">
        <v>20</v>
      </c>
      <c r="N111" t="s">
        <v>21</v>
      </c>
    </row>
    <row r="112" spans="1:14" x14ac:dyDescent="0.3">
      <c r="A112" t="s">
        <v>112</v>
      </c>
      <c r="B112" s="2">
        <v>46219</v>
      </c>
      <c r="C112" s="2">
        <v>46220</v>
      </c>
      <c r="D112" s="1" t="s">
        <v>102</v>
      </c>
      <c r="E112" t="s">
        <v>103</v>
      </c>
      <c r="F112" t="s">
        <v>61</v>
      </c>
      <c r="G112" s="5">
        <v>132</v>
      </c>
      <c r="H112" s="5">
        <v>132</v>
      </c>
      <c r="I112" s="5">
        <v>132</v>
      </c>
      <c r="J112" s="5">
        <v>0</v>
      </c>
      <c r="K112" s="8">
        <f t="shared" si="2"/>
        <v>100</v>
      </c>
      <c r="L112" s="8">
        <f t="shared" si="3"/>
        <v>0</v>
      </c>
      <c r="M112" t="s">
        <v>20</v>
      </c>
      <c r="N112" t="s">
        <v>21</v>
      </c>
    </row>
    <row r="113" spans="1:14" x14ac:dyDescent="0.3">
      <c r="A113" t="s">
        <v>113</v>
      </c>
      <c r="B113" s="2">
        <v>46219</v>
      </c>
      <c r="C113" s="2">
        <v>46220</v>
      </c>
      <c r="D113" s="1" t="s">
        <v>102</v>
      </c>
      <c r="E113" t="s">
        <v>103</v>
      </c>
      <c r="F113" t="s">
        <v>61</v>
      </c>
      <c r="G113" s="5">
        <v>264</v>
      </c>
      <c r="H113" s="5">
        <v>264</v>
      </c>
      <c r="I113" s="5">
        <v>264</v>
      </c>
      <c r="J113" s="5">
        <v>0</v>
      </c>
      <c r="K113" s="8">
        <f t="shared" si="2"/>
        <v>100</v>
      </c>
      <c r="L113" s="8">
        <f t="shared" si="3"/>
        <v>0</v>
      </c>
      <c r="M113" t="s">
        <v>20</v>
      </c>
      <c r="N113" t="s">
        <v>21</v>
      </c>
    </row>
    <row r="114" spans="1:14" x14ac:dyDescent="0.3">
      <c r="A114" t="s">
        <v>63</v>
      </c>
      <c r="B114" s="2">
        <v>46219</v>
      </c>
      <c r="C114" s="2">
        <v>46220</v>
      </c>
      <c r="D114" s="1" t="s">
        <v>59</v>
      </c>
      <c r="E114" t="s">
        <v>60</v>
      </c>
      <c r="F114" t="s">
        <v>61</v>
      </c>
      <c r="G114" s="5">
        <v>900</v>
      </c>
      <c r="H114" s="5">
        <v>948</v>
      </c>
      <c r="I114" s="5">
        <v>855</v>
      </c>
      <c r="J114" s="5">
        <v>93</v>
      </c>
      <c r="K114" s="8">
        <f t="shared" si="2"/>
        <v>105.33333333333333</v>
      </c>
      <c r="L114" s="8">
        <f t="shared" si="3"/>
        <v>10.87719298245614</v>
      </c>
      <c r="M114" t="s">
        <v>20</v>
      </c>
      <c r="N114" t="s">
        <v>21</v>
      </c>
    </row>
    <row r="115" spans="1:14" x14ac:dyDescent="0.3">
      <c r="A115" t="s">
        <v>185</v>
      </c>
      <c r="B115" s="2">
        <v>46219</v>
      </c>
      <c r="C115" s="2">
        <v>46220</v>
      </c>
      <c r="D115" s="1" t="s">
        <v>183</v>
      </c>
      <c r="E115" t="s">
        <v>184</v>
      </c>
      <c r="F115" t="s">
        <v>97</v>
      </c>
      <c r="G115" s="5">
        <v>300</v>
      </c>
      <c r="H115" s="5">
        <v>320</v>
      </c>
      <c r="I115" s="5">
        <v>318</v>
      </c>
      <c r="J115" s="5">
        <v>2</v>
      </c>
      <c r="K115" s="8">
        <f t="shared" si="2"/>
        <v>106.66666666666667</v>
      </c>
      <c r="L115" s="8">
        <f t="shared" si="3"/>
        <v>0.62893081761006298</v>
      </c>
      <c r="M115" t="s">
        <v>20</v>
      </c>
      <c r="N115" t="s">
        <v>21</v>
      </c>
    </row>
    <row r="116" spans="1:14" x14ac:dyDescent="0.3">
      <c r="A116" t="s">
        <v>150</v>
      </c>
      <c r="B116" s="2">
        <v>46220</v>
      </c>
      <c r="C116" s="2">
        <v>46220</v>
      </c>
      <c r="D116" s="1" t="s">
        <v>147</v>
      </c>
      <c r="E116" t="s">
        <v>148</v>
      </c>
      <c r="F116" t="s">
        <v>39</v>
      </c>
      <c r="G116" s="5">
        <v>142</v>
      </c>
      <c r="H116" s="5">
        <v>167</v>
      </c>
      <c r="I116" s="5">
        <v>167</v>
      </c>
      <c r="J116" s="5">
        <v>0</v>
      </c>
      <c r="K116" s="8">
        <f t="shared" si="2"/>
        <v>117.6056338028169</v>
      </c>
      <c r="L116" s="8">
        <f t="shared" si="3"/>
        <v>0</v>
      </c>
      <c r="M116" t="s">
        <v>20</v>
      </c>
      <c r="N116" t="s">
        <v>21</v>
      </c>
    </row>
    <row r="117" spans="1:14" x14ac:dyDescent="0.3">
      <c r="A117" t="s">
        <v>194</v>
      </c>
      <c r="B117" s="2">
        <v>46220</v>
      </c>
      <c r="C117" s="2">
        <v>46220</v>
      </c>
      <c r="D117" s="1" t="s">
        <v>189</v>
      </c>
      <c r="E117" t="s">
        <v>190</v>
      </c>
      <c r="F117" t="s">
        <v>97</v>
      </c>
      <c r="G117" s="5">
        <v>150</v>
      </c>
      <c r="H117" s="5">
        <v>170</v>
      </c>
      <c r="I117" s="5">
        <v>169</v>
      </c>
      <c r="J117" s="5">
        <v>1</v>
      </c>
      <c r="K117" s="8">
        <f t="shared" si="2"/>
        <v>113.33333333333333</v>
      </c>
      <c r="L117" s="8">
        <f t="shared" si="3"/>
        <v>0.59171597633136097</v>
      </c>
      <c r="M117" t="s">
        <v>20</v>
      </c>
      <c r="N117" t="s">
        <v>21</v>
      </c>
    </row>
    <row r="118" spans="1:14" x14ac:dyDescent="0.3">
      <c r="A118" t="s">
        <v>72</v>
      </c>
      <c r="B118" s="2">
        <v>46220</v>
      </c>
      <c r="C118" s="2">
        <v>46220</v>
      </c>
      <c r="D118" s="1" t="s">
        <v>66</v>
      </c>
      <c r="E118" t="s">
        <v>67</v>
      </c>
      <c r="F118" t="s">
        <v>61</v>
      </c>
      <c r="G118" s="5">
        <v>400</v>
      </c>
      <c r="H118" s="5">
        <v>416</v>
      </c>
      <c r="I118" s="5">
        <v>404</v>
      </c>
      <c r="J118" s="5">
        <v>12</v>
      </c>
      <c r="K118" s="8">
        <f t="shared" si="2"/>
        <v>104</v>
      </c>
      <c r="L118" s="8">
        <f t="shared" si="3"/>
        <v>2.9702970297029703</v>
      </c>
      <c r="M118" t="s">
        <v>20</v>
      </c>
      <c r="N118" t="s">
        <v>21</v>
      </c>
    </row>
    <row r="119" spans="1:14" x14ac:dyDescent="0.3">
      <c r="A119" t="s">
        <v>340</v>
      </c>
      <c r="B119" s="2">
        <v>46220</v>
      </c>
      <c r="C119" s="2">
        <v>46220</v>
      </c>
      <c r="D119" s="1" t="s">
        <v>333</v>
      </c>
      <c r="E119" t="s">
        <v>334</v>
      </c>
      <c r="F119" t="s">
        <v>61</v>
      </c>
      <c r="G119" s="5">
        <v>270</v>
      </c>
      <c r="H119" s="5">
        <v>272</v>
      </c>
      <c r="I119" s="5">
        <v>270</v>
      </c>
      <c r="J119" s="5">
        <v>2</v>
      </c>
      <c r="K119" s="8">
        <f t="shared" si="2"/>
        <v>100.74074074074073</v>
      </c>
      <c r="L119" s="8">
        <f t="shared" si="3"/>
        <v>0.74074074074074081</v>
      </c>
      <c r="M119" t="s">
        <v>20</v>
      </c>
      <c r="N119" t="s">
        <v>21</v>
      </c>
    </row>
    <row r="120" spans="1:14" x14ac:dyDescent="0.3">
      <c r="A120" t="s">
        <v>114</v>
      </c>
      <c r="B120" s="2">
        <v>46220</v>
      </c>
      <c r="C120" s="2">
        <v>46220</v>
      </c>
      <c r="D120" s="1" t="s">
        <v>102</v>
      </c>
      <c r="E120" t="s">
        <v>103</v>
      </c>
      <c r="F120" t="s">
        <v>61</v>
      </c>
      <c r="G120" s="5">
        <v>124</v>
      </c>
      <c r="H120" s="5">
        <v>124</v>
      </c>
      <c r="I120" s="5">
        <v>124</v>
      </c>
      <c r="J120" s="5">
        <v>0</v>
      </c>
      <c r="K120" s="8">
        <f t="shared" si="2"/>
        <v>100</v>
      </c>
      <c r="L120" s="8">
        <f t="shared" si="3"/>
        <v>0</v>
      </c>
      <c r="M120" t="s">
        <v>20</v>
      </c>
      <c r="N120" t="s">
        <v>21</v>
      </c>
    </row>
    <row r="121" spans="1:14" x14ac:dyDescent="0.3">
      <c r="A121" t="s">
        <v>115</v>
      </c>
      <c r="B121" s="2">
        <v>46220</v>
      </c>
      <c r="C121" s="2">
        <v>46220</v>
      </c>
      <c r="D121" s="1" t="s">
        <v>102</v>
      </c>
      <c r="E121" t="s">
        <v>103</v>
      </c>
      <c r="F121" t="s">
        <v>61</v>
      </c>
      <c r="G121" s="5">
        <v>248</v>
      </c>
      <c r="H121" s="5">
        <v>261</v>
      </c>
      <c r="I121" s="5">
        <v>260</v>
      </c>
      <c r="J121" s="5">
        <v>1</v>
      </c>
      <c r="K121" s="8">
        <f t="shared" si="2"/>
        <v>105.24193548387098</v>
      </c>
      <c r="L121" s="8">
        <f t="shared" si="3"/>
        <v>0.38461538461538464</v>
      </c>
      <c r="M121" t="s">
        <v>20</v>
      </c>
      <c r="N121" t="s">
        <v>21</v>
      </c>
    </row>
    <row r="122" spans="1:14" x14ac:dyDescent="0.3">
      <c r="A122" t="s">
        <v>207</v>
      </c>
      <c r="B122" s="2">
        <v>46219</v>
      </c>
      <c r="C122" s="2">
        <v>46220</v>
      </c>
      <c r="D122" s="1" t="s">
        <v>198</v>
      </c>
      <c r="E122" t="s">
        <v>199</v>
      </c>
      <c r="F122" t="s">
        <v>19</v>
      </c>
      <c r="G122" s="5">
        <v>33</v>
      </c>
      <c r="H122" s="5">
        <v>33</v>
      </c>
      <c r="I122" s="5">
        <v>33</v>
      </c>
      <c r="J122" s="5">
        <v>0</v>
      </c>
      <c r="K122" s="8">
        <f t="shared" si="2"/>
        <v>100</v>
      </c>
      <c r="L122" s="8">
        <f t="shared" si="3"/>
        <v>0</v>
      </c>
      <c r="M122" t="s">
        <v>20</v>
      </c>
      <c r="N122" t="s">
        <v>21</v>
      </c>
    </row>
    <row r="123" spans="1:14" x14ac:dyDescent="0.3">
      <c r="A123" t="s">
        <v>236</v>
      </c>
      <c r="B123" s="2">
        <v>46219</v>
      </c>
      <c r="C123" s="2">
        <v>46220</v>
      </c>
      <c r="D123" s="1" t="s">
        <v>232</v>
      </c>
      <c r="E123" t="s">
        <v>233</v>
      </c>
      <c r="F123" t="s">
        <v>19</v>
      </c>
      <c r="G123" s="5">
        <v>39</v>
      </c>
      <c r="H123" s="5">
        <v>39</v>
      </c>
      <c r="I123" s="5">
        <v>39</v>
      </c>
      <c r="J123" s="5">
        <v>0</v>
      </c>
      <c r="K123" s="8">
        <f t="shared" si="2"/>
        <v>100</v>
      </c>
      <c r="L123" s="8">
        <f t="shared" si="3"/>
        <v>0</v>
      </c>
      <c r="M123" t="s">
        <v>20</v>
      </c>
      <c r="N123" t="s">
        <v>21</v>
      </c>
    </row>
    <row r="124" spans="1:14" x14ac:dyDescent="0.3">
      <c r="A124" t="s">
        <v>80</v>
      </c>
      <c r="B124" s="2">
        <v>46219</v>
      </c>
      <c r="C124" s="2">
        <v>46220</v>
      </c>
      <c r="D124" s="1" t="s">
        <v>81</v>
      </c>
      <c r="E124" t="s">
        <v>82</v>
      </c>
      <c r="F124" t="s">
        <v>19</v>
      </c>
      <c r="G124" s="5">
        <v>2000</v>
      </c>
      <c r="H124" s="5">
        <v>2000</v>
      </c>
      <c r="I124" s="5">
        <v>2000</v>
      </c>
      <c r="J124" s="5">
        <v>0</v>
      </c>
      <c r="K124" s="8">
        <f t="shared" si="2"/>
        <v>100</v>
      </c>
      <c r="L124" s="8">
        <f t="shared" si="3"/>
        <v>0</v>
      </c>
      <c r="M124" t="s">
        <v>20</v>
      </c>
      <c r="N124" t="s">
        <v>21</v>
      </c>
    </row>
    <row r="125" spans="1:14" x14ac:dyDescent="0.3">
      <c r="A125" t="s">
        <v>268</v>
      </c>
      <c r="B125" s="2">
        <v>46219</v>
      </c>
      <c r="C125" s="2">
        <v>46220</v>
      </c>
      <c r="D125" s="1" t="s">
        <v>266</v>
      </c>
      <c r="E125" t="s">
        <v>267</v>
      </c>
      <c r="F125" t="s">
        <v>19</v>
      </c>
      <c r="G125" s="5">
        <v>75</v>
      </c>
      <c r="H125" s="5">
        <v>75</v>
      </c>
      <c r="I125" s="5">
        <v>75</v>
      </c>
      <c r="J125" s="5">
        <v>0</v>
      </c>
      <c r="K125" s="8">
        <f t="shared" si="2"/>
        <v>100</v>
      </c>
      <c r="L125" s="8">
        <f t="shared" si="3"/>
        <v>0</v>
      </c>
      <c r="M125" t="s">
        <v>20</v>
      </c>
      <c r="N125" t="s">
        <v>21</v>
      </c>
    </row>
    <row r="126" spans="1:14" x14ac:dyDescent="0.3">
      <c r="A126" t="s">
        <v>253</v>
      </c>
      <c r="B126" s="2">
        <v>46219</v>
      </c>
      <c r="C126" s="2">
        <v>46220</v>
      </c>
      <c r="D126" s="1" t="s">
        <v>250</v>
      </c>
      <c r="E126" t="s">
        <v>251</v>
      </c>
      <c r="F126" t="s">
        <v>19</v>
      </c>
      <c r="G126" s="5">
        <v>165</v>
      </c>
      <c r="H126" s="5">
        <v>165</v>
      </c>
      <c r="I126" s="5">
        <v>165</v>
      </c>
      <c r="J126" s="5">
        <v>0</v>
      </c>
      <c r="K126" s="8">
        <f t="shared" si="2"/>
        <v>100</v>
      </c>
      <c r="L126" s="8">
        <f t="shared" si="3"/>
        <v>0</v>
      </c>
      <c r="M126" t="s">
        <v>20</v>
      </c>
      <c r="N126" t="s">
        <v>21</v>
      </c>
    </row>
    <row r="127" spans="1:14" x14ac:dyDescent="0.3">
      <c r="A127" t="s">
        <v>403</v>
      </c>
      <c r="B127" s="2">
        <v>46220</v>
      </c>
      <c r="C127" s="2">
        <v>46223</v>
      </c>
      <c r="D127" s="1" t="s">
        <v>398</v>
      </c>
      <c r="E127" t="s">
        <v>399</v>
      </c>
      <c r="F127" t="s">
        <v>39</v>
      </c>
      <c r="G127" s="5">
        <v>388</v>
      </c>
      <c r="H127" s="5">
        <v>475</v>
      </c>
      <c r="I127" s="5">
        <v>472</v>
      </c>
      <c r="J127" s="5">
        <v>3</v>
      </c>
      <c r="K127" s="8">
        <f t="shared" si="2"/>
        <v>122.42268041237114</v>
      </c>
      <c r="L127" s="8">
        <f t="shared" si="3"/>
        <v>0.63559322033898313</v>
      </c>
      <c r="M127" t="s">
        <v>20</v>
      </c>
      <c r="N127" t="s">
        <v>21</v>
      </c>
    </row>
    <row r="128" spans="1:14" x14ac:dyDescent="0.3">
      <c r="A128" t="s">
        <v>320</v>
      </c>
      <c r="B128" s="2">
        <v>46220</v>
      </c>
      <c r="C128" s="2">
        <v>46223</v>
      </c>
      <c r="D128" s="1" t="s">
        <v>316</v>
      </c>
      <c r="E128" t="s">
        <v>317</v>
      </c>
      <c r="F128" t="s">
        <v>97</v>
      </c>
      <c r="G128" s="5">
        <v>100</v>
      </c>
      <c r="H128" s="5">
        <v>107</v>
      </c>
      <c r="I128" s="5">
        <v>106</v>
      </c>
      <c r="J128" s="5">
        <v>1</v>
      </c>
      <c r="K128" s="8">
        <f t="shared" si="2"/>
        <v>107</v>
      </c>
      <c r="L128" s="8">
        <f t="shared" si="3"/>
        <v>0.94339622641509435</v>
      </c>
      <c r="M128" t="s">
        <v>20</v>
      </c>
      <c r="N128" t="s">
        <v>21</v>
      </c>
    </row>
    <row r="129" spans="1:14" x14ac:dyDescent="0.3">
      <c r="A129" t="s">
        <v>136</v>
      </c>
      <c r="B129" s="2">
        <v>46220</v>
      </c>
      <c r="C129" s="2">
        <v>46223</v>
      </c>
      <c r="D129" s="1" t="s">
        <v>129</v>
      </c>
      <c r="E129" t="s">
        <v>130</v>
      </c>
      <c r="F129" t="s">
        <v>61</v>
      </c>
      <c r="G129" s="5">
        <v>300</v>
      </c>
      <c r="H129" s="5">
        <v>300</v>
      </c>
      <c r="I129" s="5">
        <v>300</v>
      </c>
      <c r="J129" s="5">
        <v>0</v>
      </c>
      <c r="K129" s="8">
        <f t="shared" si="2"/>
        <v>100</v>
      </c>
      <c r="L129" s="8">
        <f t="shared" si="3"/>
        <v>0</v>
      </c>
      <c r="M129" t="s">
        <v>20</v>
      </c>
      <c r="N129" t="s">
        <v>21</v>
      </c>
    </row>
    <row r="130" spans="1:14" x14ac:dyDescent="0.3">
      <c r="A130" t="s">
        <v>276</v>
      </c>
      <c r="B130" s="2">
        <v>46221</v>
      </c>
      <c r="C130" s="2">
        <v>46223</v>
      </c>
      <c r="D130" s="1" t="s">
        <v>272</v>
      </c>
      <c r="E130" t="s">
        <v>273</v>
      </c>
      <c r="F130" t="s">
        <v>61</v>
      </c>
      <c r="G130" s="5">
        <v>1557</v>
      </c>
      <c r="H130" s="5">
        <v>1764</v>
      </c>
      <c r="I130" s="5">
        <v>1764</v>
      </c>
      <c r="J130" s="5">
        <v>0</v>
      </c>
      <c r="K130" s="8">
        <f t="shared" si="2"/>
        <v>113.29479768786128</v>
      </c>
      <c r="L130" s="8">
        <f t="shared" si="3"/>
        <v>0</v>
      </c>
      <c r="M130" t="s">
        <v>20</v>
      </c>
      <c r="N130" t="s">
        <v>21</v>
      </c>
    </row>
    <row r="131" spans="1:14" x14ac:dyDescent="0.3">
      <c r="A131" t="s">
        <v>116</v>
      </c>
      <c r="B131" s="2">
        <v>46221</v>
      </c>
      <c r="C131" s="2">
        <v>46223</v>
      </c>
      <c r="D131" s="1" t="s">
        <v>102</v>
      </c>
      <c r="E131" t="s">
        <v>103</v>
      </c>
      <c r="F131" t="s">
        <v>61</v>
      </c>
      <c r="G131" s="5">
        <v>390</v>
      </c>
      <c r="H131" s="5">
        <v>399</v>
      </c>
      <c r="I131" s="5">
        <v>396</v>
      </c>
      <c r="J131" s="5">
        <v>3</v>
      </c>
      <c r="K131" s="8">
        <f t="shared" si="2"/>
        <v>102.30769230769229</v>
      </c>
      <c r="L131" s="8">
        <f t="shared" si="3"/>
        <v>0.75757575757575757</v>
      </c>
      <c r="M131" t="s">
        <v>20</v>
      </c>
      <c r="N131" t="s">
        <v>21</v>
      </c>
    </row>
    <row r="132" spans="1:14" x14ac:dyDescent="0.3">
      <c r="A132" t="s">
        <v>341</v>
      </c>
      <c r="B132" s="2">
        <v>46221</v>
      </c>
      <c r="C132" s="2">
        <v>46223</v>
      </c>
      <c r="D132" s="1" t="s">
        <v>333</v>
      </c>
      <c r="E132" t="s">
        <v>334</v>
      </c>
      <c r="F132" t="s">
        <v>61</v>
      </c>
      <c r="G132" s="5">
        <v>276</v>
      </c>
      <c r="H132" s="5">
        <v>282</v>
      </c>
      <c r="I132" s="5">
        <v>282</v>
      </c>
      <c r="J132" s="5">
        <v>0</v>
      </c>
      <c r="K132" s="8">
        <f t="shared" ref="K132:K195" si="4">(H132/G132)*100</f>
        <v>102.17391304347827</v>
      </c>
      <c r="L132" s="8">
        <f t="shared" ref="L132:L195" si="5">((H132-I132)/I132)*100</f>
        <v>0</v>
      </c>
      <c r="M132" t="s">
        <v>20</v>
      </c>
      <c r="N132" t="s">
        <v>21</v>
      </c>
    </row>
    <row r="133" spans="1:14" x14ac:dyDescent="0.3">
      <c r="A133" t="s">
        <v>208</v>
      </c>
      <c r="B133" s="2">
        <v>46219</v>
      </c>
      <c r="C133" s="2">
        <v>46223</v>
      </c>
      <c r="D133" s="1" t="s">
        <v>198</v>
      </c>
      <c r="E133" t="s">
        <v>199</v>
      </c>
      <c r="F133" t="s">
        <v>19</v>
      </c>
      <c r="G133" s="5">
        <v>25</v>
      </c>
      <c r="H133" s="5">
        <v>25</v>
      </c>
      <c r="I133" s="5">
        <v>25</v>
      </c>
      <c r="J133" s="5">
        <v>0</v>
      </c>
      <c r="K133" s="8">
        <f t="shared" si="4"/>
        <v>100</v>
      </c>
      <c r="L133" s="8">
        <f t="shared" si="5"/>
        <v>0</v>
      </c>
      <c r="M133" t="s">
        <v>20</v>
      </c>
      <c r="N133" t="s">
        <v>21</v>
      </c>
    </row>
    <row r="134" spans="1:14" x14ac:dyDescent="0.3">
      <c r="A134" t="s">
        <v>88</v>
      </c>
      <c r="B134" s="2">
        <v>46220</v>
      </c>
      <c r="C134" s="2">
        <v>46223</v>
      </c>
      <c r="D134" s="1" t="s">
        <v>85</v>
      </c>
      <c r="E134" t="s">
        <v>86</v>
      </c>
      <c r="F134" t="s">
        <v>19</v>
      </c>
      <c r="G134" s="5">
        <v>90</v>
      </c>
      <c r="H134" s="5">
        <v>90</v>
      </c>
      <c r="I134" s="5">
        <v>90</v>
      </c>
      <c r="J134" s="5">
        <v>0</v>
      </c>
      <c r="K134" s="8">
        <f t="shared" si="4"/>
        <v>100</v>
      </c>
      <c r="L134" s="8">
        <f t="shared" si="5"/>
        <v>0</v>
      </c>
      <c r="M134" t="s">
        <v>20</v>
      </c>
      <c r="N134" t="s">
        <v>21</v>
      </c>
    </row>
    <row r="135" spans="1:14" x14ac:dyDescent="0.3">
      <c r="A135" t="s">
        <v>210</v>
      </c>
      <c r="B135" s="2">
        <v>46220</v>
      </c>
      <c r="C135" s="2">
        <v>46223</v>
      </c>
      <c r="D135" s="1" t="s">
        <v>198</v>
      </c>
      <c r="E135" t="s">
        <v>199</v>
      </c>
      <c r="F135" t="s">
        <v>19</v>
      </c>
      <c r="G135" s="5">
        <v>27</v>
      </c>
      <c r="H135" s="5">
        <v>27</v>
      </c>
      <c r="I135" s="5">
        <v>27</v>
      </c>
      <c r="J135" s="5">
        <v>0</v>
      </c>
      <c r="K135" s="8">
        <f t="shared" si="4"/>
        <v>100</v>
      </c>
      <c r="L135" s="8">
        <f t="shared" si="5"/>
        <v>0</v>
      </c>
      <c r="M135" t="s">
        <v>20</v>
      </c>
      <c r="N135" t="s">
        <v>21</v>
      </c>
    </row>
    <row r="136" spans="1:14" x14ac:dyDescent="0.3">
      <c r="A136" t="s">
        <v>211</v>
      </c>
      <c r="B136" s="2">
        <v>46221</v>
      </c>
      <c r="C136" s="2">
        <v>46223</v>
      </c>
      <c r="D136" s="1" t="s">
        <v>198</v>
      </c>
      <c r="E136" t="s">
        <v>199</v>
      </c>
      <c r="F136" t="s">
        <v>19</v>
      </c>
      <c r="G136" s="5">
        <v>38</v>
      </c>
      <c r="H136" s="5">
        <v>38</v>
      </c>
      <c r="I136" s="5">
        <v>38</v>
      </c>
      <c r="J136" s="5">
        <v>0</v>
      </c>
      <c r="K136" s="8">
        <f t="shared" si="4"/>
        <v>100</v>
      </c>
      <c r="L136" s="8">
        <f t="shared" si="5"/>
        <v>0</v>
      </c>
      <c r="M136" t="s">
        <v>20</v>
      </c>
      <c r="N136" t="s">
        <v>21</v>
      </c>
    </row>
    <row r="137" spans="1:14" x14ac:dyDescent="0.3">
      <c r="A137" t="s">
        <v>212</v>
      </c>
      <c r="B137" s="2">
        <v>46221</v>
      </c>
      <c r="C137" s="2">
        <v>46223</v>
      </c>
      <c r="D137" s="1" t="s">
        <v>198</v>
      </c>
      <c r="E137" t="s">
        <v>199</v>
      </c>
      <c r="F137" t="s">
        <v>19</v>
      </c>
      <c r="G137" s="5">
        <v>24</v>
      </c>
      <c r="H137" s="5">
        <v>24</v>
      </c>
      <c r="I137" s="5">
        <v>24</v>
      </c>
      <c r="J137" s="5">
        <v>0</v>
      </c>
      <c r="K137" s="8">
        <f t="shared" si="4"/>
        <v>100</v>
      </c>
      <c r="L137" s="8">
        <f t="shared" si="5"/>
        <v>0</v>
      </c>
      <c r="M137" t="s">
        <v>20</v>
      </c>
      <c r="N137" t="s">
        <v>21</v>
      </c>
    </row>
    <row r="138" spans="1:14" x14ac:dyDescent="0.3">
      <c r="A138" t="s">
        <v>259</v>
      </c>
      <c r="B138" s="2">
        <v>46220</v>
      </c>
      <c r="C138" s="2">
        <v>46223</v>
      </c>
      <c r="D138" s="1" t="s">
        <v>256</v>
      </c>
      <c r="E138" t="s">
        <v>257</v>
      </c>
      <c r="F138" t="s">
        <v>19</v>
      </c>
      <c r="G138" s="5">
        <v>300</v>
      </c>
      <c r="H138" s="5">
        <v>300</v>
      </c>
      <c r="I138" s="5">
        <v>300</v>
      </c>
      <c r="J138" s="5">
        <v>0</v>
      </c>
      <c r="K138" s="8">
        <f t="shared" si="4"/>
        <v>100</v>
      </c>
      <c r="L138" s="8">
        <f t="shared" si="5"/>
        <v>0</v>
      </c>
      <c r="M138" t="s">
        <v>20</v>
      </c>
      <c r="N138" t="s">
        <v>21</v>
      </c>
    </row>
    <row r="139" spans="1:14" x14ac:dyDescent="0.3">
      <c r="A139" t="s">
        <v>237</v>
      </c>
      <c r="B139" s="2">
        <v>46220</v>
      </c>
      <c r="C139" s="2">
        <v>46223</v>
      </c>
      <c r="D139" s="1" t="s">
        <v>232</v>
      </c>
      <c r="E139" t="s">
        <v>233</v>
      </c>
      <c r="F139" t="s">
        <v>19</v>
      </c>
      <c r="G139" s="5">
        <v>37</v>
      </c>
      <c r="H139" s="5">
        <v>37</v>
      </c>
      <c r="I139" s="5">
        <v>37</v>
      </c>
      <c r="J139" s="5">
        <v>0</v>
      </c>
      <c r="K139" s="8">
        <f t="shared" si="4"/>
        <v>100</v>
      </c>
      <c r="L139" s="8">
        <f t="shared" si="5"/>
        <v>0</v>
      </c>
      <c r="M139" t="s">
        <v>20</v>
      </c>
      <c r="N139" t="s">
        <v>21</v>
      </c>
    </row>
    <row r="140" spans="1:14" x14ac:dyDescent="0.3">
      <c r="A140" t="s">
        <v>31</v>
      </c>
      <c r="B140" s="2">
        <v>46220</v>
      </c>
      <c r="C140" s="2">
        <v>46223</v>
      </c>
      <c r="D140" s="1" t="s">
        <v>27</v>
      </c>
      <c r="E140" t="s">
        <v>28</v>
      </c>
      <c r="F140" t="s">
        <v>19</v>
      </c>
      <c r="G140" s="5">
        <v>400</v>
      </c>
      <c r="H140" s="5">
        <v>400</v>
      </c>
      <c r="I140" s="5">
        <v>400</v>
      </c>
      <c r="J140" s="5">
        <v>0</v>
      </c>
      <c r="K140" s="8">
        <f t="shared" si="4"/>
        <v>100</v>
      </c>
      <c r="L140" s="8">
        <f t="shared" si="5"/>
        <v>0</v>
      </c>
      <c r="M140" t="s">
        <v>20</v>
      </c>
      <c r="N140" t="s">
        <v>21</v>
      </c>
    </row>
    <row r="141" spans="1:14" x14ac:dyDescent="0.3">
      <c r="A141" t="s">
        <v>247</v>
      </c>
      <c r="B141" s="2">
        <v>46221</v>
      </c>
      <c r="C141" s="2">
        <v>46223</v>
      </c>
      <c r="D141" s="1" t="s">
        <v>245</v>
      </c>
      <c r="E141" t="s">
        <v>246</v>
      </c>
      <c r="F141" t="s">
        <v>19</v>
      </c>
      <c r="G141" s="5">
        <v>38</v>
      </c>
      <c r="H141" s="5">
        <v>38</v>
      </c>
      <c r="I141" s="5">
        <v>38</v>
      </c>
      <c r="J141" s="5">
        <v>0</v>
      </c>
      <c r="K141" s="8">
        <f t="shared" si="4"/>
        <v>100</v>
      </c>
      <c r="L141" s="8">
        <f t="shared" si="5"/>
        <v>0</v>
      </c>
      <c r="M141" t="s">
        <v>20</v>
      </c>
      <c r="N141" t="s">
        <v>21</v>
      </c>
    </row>
    <row r="142" spans="1:14" x14ac:dyDescent="0.3">
      <c r="A142" t="s">
        <v>269</v>
      </c>
      <c r="B142" s="2">
        <v>46221</v>
      </c>
      <c r="C142" s="2">
        <v>46223</v>
      </c>
      <c r="D142" s="1" t="s">
        <v>266</v>
      </c>
      <c r="E142" t="s">
        <v>267</v>
      </c>
      <c r="F142" t="s">
        <v>19</v>
      </c>
      <c r="G142" s="5">
        <v>150</v>
      </c>
      <c r="H142" s="5">
        <v>150</v>
      </c>
      <c r="I142" s="5">
        <v>150</v>
      </c>
      <c r="J142" s="5">
        <v>0</v>
      </c>
      <c r="K142" s="8">
        <f t="shared" si="4"/>
        <v>100</v>
      </c>
      <c r="L142" s="8">
        <f t="shared" si="5"/>
        <v>0</v>
      </c>
      <c r="M142" t="s">
        <v>20</v>
      </c>
      <c r="N142" t="s">
        <v>21</v>
      </c>
    </row>
    <row r="143" spans="1:14" x14ac:dyDescent="0.3">
      <c r="A143" t="s">
        <v>396</v>
      </c>
      <c r="B143" s="2">
        <v>46220</v>
      </c>
      <c r="C143" s="2">
        <v>46225</v>
      </c>
      <c r="D143" s="1" t="s">
        <v>392</v>
      </c>
      <c r="E143" t="s">
        <v>393</v>
      </c>
      <c r="F143" t="s">
        <v>39</v>
      </c>
      <c r="G143" s="5">
        <v>500</v>
      </c>
      <c r="H143" s="5">
        <v>459</v>
      </c>
      <c r="I143" s="5">
        <v>433</v>
      </c>
      <c r="J143" s="5">
        <v>26</v>
      </c>
      <c r="K143" s="8">
        <f t="shared" si="4"/>
        <v>91.8</v>
      </c>
      <c r="L143" s="8">
        <f t="shared" si="5"/>
        <v>6.0046189376443415</v>
      </c>
      <c r="M143" t="s">
        <v>20</v>
      </c>
      <c r="N143" t="s">
        <v>21</v>
      </c>
    </row>
    <row r="144" spans="1:14" x14ac:dyDescent="0.3">
      <c r="A144" t="s">
        <v>361</v>
      </c>
      <c r="B144" s="2">
        <v>46220</v>
      </c>
      <c r="C144" s="2">
        <v>46225</v>
      </c>
      <c r="D144" s="1" t="s">
        <v>355</v>
      </c>
      <c r="E144" t="s">
        <v>356</v>
      </c>
      <c r="F144" t="s">
        <v>97</v>
      </c>
      <c r="G144" s="5">
        <v>33</v>
      </c>
      <c r="H144" s="5">
        <v>32</v>
      </c>
      <c r="I144" s="5">
        <v>27</v>
      </c>
      <c r="J144" s="5">
        <v>5</v>
      </c>
      <c r="K144" s="8">
        <f t="shared" si="4"/>
        <v>96.969696969696969</v>
      </c>
      <c r="L144" s="8">
        <f t="shared" si="5"/>
        <v>18.518518518518519</v>
      </c>
      <c r="M144" t="s">
        <v>20</v>
      </c>
      <c r="N144" t="s">
        <v>21</v>
      </c>
    </row>
    <row r="145" spans="1:14" x14ac:dyDescent="0.3">
      <c r="A145" t="s">
        <v>137</v>
      </c>
      <c r="B145" s="2">
        <v>46221</v>
      </c>
      <c r="C145" s="2">
        <v>46225</v>
      </c>
      <c r="D145" s="1" t="s">
        <v>129</v>
      </c>
      <c r="E145" t="s">
        <v>130</v>
      </c>
      <c r="F145" t="s">
        <v>61</v>
      </c>
      <c r="G145" s="5">
        <v>270</v>
      </c>
      <c r="H145" s="5">
        <v>295</v>
      </c>
      <c r="I145" s="5">
        <v>282</v>
      </c>
      <c r="J145" s="5">
        <v>13</v>
      </c>
      <c r="K145" s="8">
        <f t="shared" si="4"/>
        <v>109.25925925925925</v>
      </c>
      <c r="L145" s="8">
        <f t="shared" si="5"/>
        <v>4.6099290780141837</v>
      </c>
      <c r="M145" t="s">
        <v>20</v>
      </c>
      <c r="N145" t="s">
        <v>21</v>
      </c>
    </row>
    <row r="146" spans="1:14" x14ac:dyDescent="0.3">
      <c r="A146" t="s">
        <v>297</v>
      </c>
      <c r="B146" s="2">
        <v>46223</v>
      </c>
      <c r="C146" s="2">
        <v>46225</v>
      </c>
      <c r="D146" s="1" t="s">
        <v>295</v>
      </c>
      <c r="E146" t="s">
        <v>296</v>
      </c>
      <c r="F146" t="s">
        <v>39</v>
      </c>
      <c r="G146" s="5">
        <v>200</v>
      </c>
      <c r="H146" s="5">
        <v>200</v>
      </c>
      <c r="I146" s="5">
        <v>200</v>
      </c>
      <c r="J146" s="5">
        <v>0</v>
      </c>
      <c r="K146" s="8">
        <f t="shared" si="4"/>
        <v>100</v>
      </c>
      <c r="L146" s="8">
        <f t="shared" si="5"/>
        <v>0</v>
      </c>
      <c r="M146" t="s">
        <v>20</v>
      </c>
      <c r="N146" t="s">
        <v>21</v>
      </c>
    </row>
    <row r="147" spans="1:14" x14ac:dyDescent="0.3">
      <c r="A147" t="s">
        <v>138</v>
      </c>
      <c r="B147" s="2">
        <v>46223</v>
      </c>
      <c r="C147" s="2">
        <v>46225</v>
      </c>
      <c r="D147" s="1" t="s">
        <v>129</v>
      </c>
      <c r="E147" t="s">
        <v>130</v>
      </c>
      <c r="F147" t="s">
        <v>61</v>
      </c>
      <c r="G147" s="5">
        <v>276</v>
      </c>
      <c r="H147" s="5">
        <v>288</v>
      </c>
      <c r="I147" s="5">
        <v>282</v>
      </c>
      <c r="J147" s="5">
        <v>6</v>
      </c>
      <c r="K147" s="8">
        <f t="shared" si="4"/>
        <v>104.34782608695652</v>
      </c>
      <c r="L147" s="8">
        <f t="shared" si="5"/>
        <v>2.1276595744680851</v>
      </c>
      <c r="M147" t="s">
        <v>20</v>
      </c>
      <c r="N147" t="s">
        <v>21</v>
      </c>
    </row>
    <row r="148" spans="1:14" x14ac:dyDescent="0.3">
      <c r="A148" t="s">
        <v>64</v>
      </c>
      <c r="B148" s="2">
        <v>46223</v>
      </c>
      <c r="C148" s="2">
        <v>46225</v>
      </c>
      <c r="D148" s="1" t="s">
        <v>59</v>
      </c>
      <c r="E148" t="s">
        <v>60</v>
      </c>
      <c r="F148" t="s">
        <v>61</v>
      </c>
      <c r="G148" s="5">
        <v>400</v>
      </c>
      <c r="H148" s="5">
        <v>441</v>
      </c>
      <c r="I148" s="5">
        <v>435</v>
      </c>
      <c r="J148" s="5">
        <v>6</v>
      </c>
      <c r="K148" s="8">
        <f t="shared" si="4"/>
        <v>110.25</v>
      </c>
      <c r="L148" s="8">
        <f t="shared" si="5"/>
        <v>1.3793103448275863</v>
      </c>
      <c r="M148" t="s">
        <v>20</v>
      </c>
      <c r="N148" t="s">
        <v>21</v>
      </c>
    </row>
    <row r="149" spans="1:14" x14ac:dyDescent="0.3">
      <c r="A149" t="s">
        <v>117</v>
      </c>
      <c r="B149" s="2">
        <v>46223</v>
      </c>
      <c r="C149" s="2">
        <v>46225</v>
      </c>
      <c r="D149" s="1" t="s">
        <v>102</v>
      </c>
      <c r="E149" t="s">
        <v>103</v>
      </c>
      <c r="F149" t="s">
        <v>61</v>
      </c>
      <c r="G149" s="5">
        <v>390</v>
      </c>
      <c r="H149" s="5">
        <v>390</v>
      </c>
      <c r="I149" s="5">
        <v>384</v>
      </c>
      <c r="J149" s="5">
        <v>6</v>
      </c>
      <c r="K149" s="8">
        <f t="shared" si="4"/>
        <v>100</v>
      </c>
      <c r="L149" s="8">
        <f t="shared" si="5"/>
        <v>1.5625</v>
      </c>
      <c r="M149" t="s">
        <v>20</v>
      </c>
      <c r="N149" t="s">
        <v>21</v>
      </c>
    </row>
    <row r="150" spans="1:14" x14ac:dyDescent="0.3">
      <c r="A150" t="s">
        <v>298</v>
      </c>
      <c r="B150" s="2">
        <v>46224</v>
      </c>
      <c r="C150" s="2">
        <v>46225</v>
      </c>
      <c r="D150" s="1" t="s">
        <v>295</v>
      </c>
      <c r="E150" t="s">
        <v>296</v>
      </c>
      <c r="F150" t="s">
        <v>39</v>
      </c>
      <c r="G150" s="5">
        <v>400</v>
      </c>
      <c r="H150" s="5">
        <v>404</v>
      </c>
      <c r="I150" s="5">
        <v>403</v>
      </c>
      <c r="J150" s="5">
        <v>1</v>
      </c>
      <c r="K150" s="8">
        <f t="shared" si="4"/>
        <v>101</v>
      </c>
      <c r="L150" s="8">
        <f t="shared" si="5"/>
        <v>0.24813895781637718</v>
      </c>
      <c r="M150" t="s">
        <v>20</v>
      </c>
      <c r="N150" t="s">
        <v>21</v>
      </c>
    </row>
    <row r="151" spans="1:14" x14ac:dyDescent="0.3">
      <c r="A151" t="s">
        <v>292</v>
      </c>
      <c r="B151" s="2">
        <v>46224</v>
      </c>
      <c r="C151" s="2">
        <v>46225</v>
      </c>
      <c r="D151" s="1" t="s">
        <v>289</v>
      </c>
      <c r="E151" t="s">
        <v>290</v>
      </c>
      <c r="F151" t="s">
        <v>97</v>
      </c>
      <c r="G151" s="5">
        <v>624</v>
      </c>
      <c r="H151" s="5">
        <v>648</v>
      </c>
      <c r="I151" s="5">
        <v>647</v>
      </c>
      <c r="J151" s="5">
        <v>1</v>
      </c>
      <c r="K151" s="8">
        <f t="shared" si="4"/>
        <v>103.84615384615385</v>
      </c>
      <c r="L151" s="8">
        <f t="shared" si="5"/>
        <v>0.15455950540958269</v>
      </c>
      <c r="M151" t="s">
        <v>20</v>
      </c>
      <c r="N151" t="s">
        <v>21</v>
      </c>
    </row>
    <row r="152" spans="1:14" x14ac:dyDescent="0.3">
      <c r="A152" t="s">
        <v>286</v>
      </c>
      <c r="B152" s="2">
        <v>46224</v>
      </c>
      <c r="C152" s="2">
        <v>46225</v>
      </c>
      <c r="D152" s="1" t="s">
        <v>284</v>
      </c>
      <c r="E152" t="s">
        <v>285</v>
      </c>
      <c r="F152" t="s">
        <v>97</v>
      </c>
      <c r="G152" s="5">
        <v>350</v>
      </c>
      <c r="H152" s="5">
        <v>385</v>
      </c>
      <c r="I152" s="5">
        <v>378</v>
      </c>
      <c r="J152" s="5">
        <v>7</v>
      </c>
      <c r="K152" s="8">
        <f t="shared" si="4"/>
        <v>110.00000000000001</v>
      </c>
      <c r="L152" s="8">
        <f t="shared" si="5"/>
        <v>1.8518518518518516</v>
      </c>
      <c r="M152" t="s">
        <v>20</v>
      </c>
      <c r="N152" t="s">
        <v>21</v>
      </c>
    </row>
    <row r="153" spans="1:14" x14ac:dyDescent="0.3">
      <c r="A153" t="s">
        <v>277</v>
      </c>
      <c r="B153" s="2">
        <v>46224</v>
      </c>
      <c r="C153" s="2">
        <v>46225</v>
      </c>
      <c r="D153" s="1" t="s">
        <v>272</v>
      </c>
      <c r="E153" t="s">
        <v>273</v>
      </c>
      <c r="F153" t="s">
        <v>61</v>
      </c>
      <c r="G153" s="5">
        <v>1792</v>
      </c>
      <c r="H153" s="5">
        <v>1742</v>
      </c>
      <c r="I153" s="5">
        <v>1722</v>
      </c>
      <c r="J153" s="5">
        <v>20</v>
      </c>
      <c r="K153" s="8">
        <f t="shared" si="4"/>
        <v>97.209821428571431</v>
      </c>
      <c r="L153" s="8">
        <f t="shared" si="5"/>
        <v>1.1614401858304297</v>
      </c>
      <c r="M153" t="s">
        <v>20</v>
      </c>
      <c r="N153" t="s">
        <v>21</v>
      </c>
    </row>
    <row r="154" spans="1:14" x14ac:dyDescent="0.3">
      <c r="A154" t="s">
        <v>299</v>
      </c>
      <c r="B154" s="2">
        <v>46223</v>
      </c>
      <c r="C154" s="2">
        <v>46225</v>
      </c>
      <c r="D154" s="1" t="s">
        <v>295</v>
      </c>
      <c r="E154" t="s">
        <v>296</v>
      </c>
      <c r="F154" t="s">
        <v>39</v>
      </c>
      <c r="G154" s="5">
        <v>200</v>
      </c>
      <c r="H154" s="5">
        <v>216</v>
      </c>
      <c r="I154" s="5">
        <v>215</v>
      </c>
      <c r="J154" s="5">
        <v>1</v>
      </c>
      <c r="K154" s="8">
        <f t="shared" si="4"/>
        <v>108</v>
      </c>
      <c r="L154" s="8">
        <f t="shared" si="5"/>
        <v>0.46511627906976744</v>
      </c>
      <c r="M154" t="s">
        <v>20</v>
      </c>
      <c r="N154" t="s">
        <v>21</v>
      </c>
    </row>
    <row r="155" spans="1:14" x14ac:dyDescent="0.3">
      <c r="A155" t="s">
        <v>167</v>
      </c>
      <c r="B155" s="2">
        <v>46224</v>
      </c>
      <c r="C155" s="2">
        <v>46225</v>
      </c>
      <c r="D155" s="1" t="s">
        <v>164</v>
      </c>
      <c r="E155" t="s">
        <v>165</v>
      </c>
      <c r="F155" t="s">
        <v>97</v>
      </c>
      <c r="G155" s="5">
        <v>55</v>
      </c>
      <c r="H155" s="5">
        <v>55</v>
      </c>
      <c r="I155" s="5">
        <v>55</v>
      </c>
      <c r="J155" s="5">
        <v>0</v>
      </c>
      <c r="K155" s="8">
        <f t="shared" si="4"/>
        <v>100</v>
      </c>
      <c r="L155" s="8">
        <f t="shared" si="5"/>
        <v>0</v>
      </c>
      <c r="M155" t="s">
        <v>20</v>
      </c>
      <c r="N155" t="s">
        <v>21</v>
      </c>
    </row>
    <row r="156" spans="1:14" x14ac:dyDescent="0.3">
      <c r="A156" t="s">
        <v>300</v>
      </c>
      <c r="B156" s="2">
        <v>46224</v>
      </c>
      <c r="C156" s="2">
        <v>46225</v>
      </c>
      <c r="D156" s="1" t="s">
        <v>295</v>
      </c>
      <c r="E156" t="s">
        <v>296</v>
      </c>
      <c r="F156" t="s">
        <v>39</v>
      </c>
      <c r="G156" s="5">
        <v>200</v>
      </c>
      <c r="H156" s="5">
        <v>200</v>
      </c>
      <c r="I156" s="5">
        <v>200</v>
      </c>
      <c r="J156" s="5">
        <v>0</v>
      </c>
      <c r="K156" s="8">
        <f t="shared" si="4"/>
        <v>100</v>
      </c>
      <c r="L156" s="8">
        <f t="shared" si="5"/>
        <v>0</v>
      </c>
      <c r="M156" t="s">
        <v>20</v>
      </c>
      <c r="N156" t="s">
        <v>21</v>
      </c>
    </row>
    <row r="157" spans="1:14" x14ac:dyDescent="0.3">
      <c r="A157" t="s">
        <v>209</v>
      </c>
      <c r="B157" s="2">
        <v>46220</v>
      </c>
      <c r="C157" s="2">
        <v>46225</v>
      </c>
      <c r="D157" s="1" t="s">
        <v>198</v>
      </c>
      <c r="E157" t="s">
        <v>199</v>
      </c>
      <c r="F157" t="s">
        <v>19</v>
      </c>
      <c r="G157" s="5">
        <v>37</v>
      </c>
      <c r="H157" s="5">
        <v>37</v>
      </c>
      <c r="I157" s="5">
        <v>37</v>
      </c>
      <c r="J157" s="5">
        <v>0</v>
      </c>
      <c r="K157" s="8">
        <f t="shared" si="4"/>
        <v>100</v>
      </c>
      <c r="L157" s="8">
        <f t="shared" si="5"/>
        <v>0</v>
      </c>
      <c r="M157" t="s">
        <v>20</v>
      </c>
      <c r="N157" t="s">
        <v>21</v>
      </c>
    </row>
    <row r="158" spans="1:14" x14ac:dyDescent="0.3">
      <c r="A158" t="s">
        <v>89</v>
      </c>
      <c r="B158" s="2">
        <v>46223</v>
      </c>
      <c r="C158" s="2">
        <v>46225</v>
      </c>
      <c r="D158" s="1" t="s">
        <v>85</v>
      </c>
      <c r="E158" t="s">
        <v>86</v>
      </c>
      <c r="F158" t="s">
        <v>19</v>
      </c>
      <c r="G158" s="5">
        <v>88</v>
      </c>
      <c r="H158" s="5">
        <v>88</v>
      </c>
      <c r="I158" s="5">
        <v>88</v>
      </c>
      <c r="J158" s="5">
        <v>0</v>
      </c>
      <c r="K158" s="8">
        <f t="shared" si="4"/>
        <v>100</v>
      </c>
      <c r="L158" s="8">
        <f t="shared" si="5"/>
        <v>0</v>
      </c>
      <c r="M158" t="s">
        <v>20</v>
      </c>
      <c r="N158" t="s">
        <v>21</v>
      </c>
    </row>
    <row r="159" spans="1:14" x14ac:dyDescent="0.3">
      <c r="A159" t="s">
        <v>213</v>
      </c>
      <c r="B159" s="2">
        <v>46223</v>
      </c>
      <c r="C159" s="2">
        <v>46225</v>
      </c>
      <c r="D159" s="1" t="s">
        <v>198</v>
      </c>
      <c r="E159" t="s">
        <v>199</v>
      </c>
      <c r="F159" t="s">
        <v>19</v>
      </c>
      <c r="G159" s="5">
        <v>31</v>
      </c>
      <c r="H159" s="5">
        <v>31</v>
      </c>
      <c r="I159" s="5">
        <v>31</v>
      </c>
      <c r="J159" s="5">
        <v>0</v>
      </c>
      <c r="K159" s="8">
        <f t="shared" si="4"/>
        <v>100</v>
      </c>
      <c r="L159" s="8">
        <f t="shared" si="5"/>
        <v>0</v>
      </c>
      <c r="M159" t="s">
        <v>20</v>
      </c>
      <c r="N159" t="s">
        <v>21</v>
      </c>
    </row>
    <row r="160" spans="1:14" x14ac:dyDescent="0.3">
      <c r="A160" t="s">
        <v>214</v>
      </c>
      <c r="B160" s="2">
        <v>46223</v>
      </c>
      <c r="C160" s="2">
        <v>46225</v>
      </c>
      <c r="D160" s="1" t="s">
        <v>198</v>
      </c>
      <c r="E160" t="s">
        <v>199</v>
      </c>
      <c r="F160" t="s">
        <v>19</v>
      </c>
      <c r="G160" s="5">
        <v>25</v>
      </c>
      <c r="H160" s="5">
        <v>25</v>
      </c>
      <c r="I160" s="5">
        <v>25</v>
      </c>
      <c r="J160" s="5">
        <v>0</v>
      </c>
      <c r="K160" s="8">
        <f t="shared" si="4"/>
        <v>100</v>
      </c>
      <c r="L160" s="8">
        <f t="shared" si="5"/>
        <v>0</v>
      </c>
      <c r="M160" t="s">
        <v>20</v>
      </c>
      <c r="N160" t="s">
        <v>21</v>
      </c>
    </row>
    <row r="161" spans="1:14" x14ac:dyDescent="0.3">
      <c r="A161" t="s">
        <v>254</v>
      </c>
      <c r="B161" s="2">
        <v>46223</v>
      </c>
      <c r="C161" s="2">
        <v>46225</v>
      </c>
      <c r="D161" s="1" t="s">
        <v>250</v>
      </c>
      <c r="E161" t="s">
        <v>251</v>
      </c>
      <c r="F161" t="s">
        <v>19</v>
      </c>
      <c r="G161" s="5">
        <v>73</v>
      </c>
      <c r="H161" s="5">
        <v>73</v>
      </c>
      <c r="I161" s="5">
        <v>73</v>
      </c>
      <c r="J161" s="5">
        <v>0</v>
      </c>
      <c r="K161" s="8">
        <f t="shared" si="4"/>
        <v>100</v>
      </c>
      <c r="L161" s="8">
        <f t="shared" si="5"/>
        <v>0</v>
      </c>
      <c r="M161" t="s">
        <v>20</v>
      </c>
      <c r="N161" t="s">
        <v>21</v>
      </c>
    </row>
    <row r="162" spans="1:14" x14ac:dyDescent="0.3">
      <c r="A162" t="s">
        <v>228</v>
      </c>
      <c r="B162" s="2">
        <v>46223</v>
      </c>
      <c r="C162" s="2">
        <v>46225</v>
      </c>
      <c r="D162" s="1" t="s">
        <v>229</v>
      </c>
      <c r="E162" t="s">
        <v>230</v>
      </c>
      <c r="F162" t="s">
        <v>19</v>
      </c>
      <c r="G162" s="5">
        <v>14</v>
      </c>
      <c r="H162" s="5">
        <v>14</v>
      </c>
      <c r="I162" s="5">
        <v>14</v>
      </c>
      <c r="J162" s="5">
        <v>0</v>
      </c>
      <c r="K162" s="8">
        <f t="shared" si="4"/>
        <v>100</v>
      </c>
      <c r="L162" s="8">
        <f t="shared" si="5"/>
        <v>0</v>
      </c>
      <c r="M162" t="s">
        <v>20</v>
      </c>
      <c r="N162" t="s">
        <v>21</v>
      </c>
    </row>
    <row r="163" spans="1:14" x14ac:dyDescent="0.3">
      <c r="A163" t="s">
        <v>238</v>
      </c>
      <c r="B163" s="2">
        <v>46223</v>
      </c>
      <c r="C163" s="2">
        <v>46225</v>
      </c>
      <c r="D163" s="1" t="s">
        <v>232</v>
      </c>
      <c r="E163" t="s">
        <v>233</v>
      </c>
      <c r="F163" t="s">
        <v>19</v>
      </c>
      <c r="G163" s="5">
        <v>38</v>
      </c>
      <c r="H163" s="5">
        <v>38</v>
      </c>
      <c r="I163" s="5">
        <v>38</v>
      </c>
      <c r="J163" s="5">
        <v>0</v>
      </c>
      <c r="K163" s="8">
        <f t="shared" si="4"/>
        <v>100</v>
      </c>
      <c r="L163" s="8">
        <f t="shared" si="5"/>
        <v>0</v>
      </c>
      <c r="M163" t="s">
        <v>20</v>
      </c>
      <c r="N163" t="s">
        <v>21</v>
      </c>
    </row>
    <row r="164" spans="1:14" x14ac:dyDescent="0.3">
      <c r="A164" t="s">
        <v>32</v>
      </c>
      <c r="B164" s="2">
        <v>46223</v>
      </c>
      <c r="C164" s="2">
        <v>46225</v>
      </c>
      <c r="D164" s="1" t="s">
        <v>27</v>
      </c>
      <c r="E164" t="s">
        <v>28</v>
      </c>
      <c r="F164" t="s">
        <v>19</v>
      </c>
      <c r="G164" s="5">
        <v>400</v>
      </c>
      <c r="H164" s="5">
        <v>400</v>
      </c>
      <c r="I164" s="5">
        <v>400</v>
      </c>
      <c r="J164" s="5">
        <v>0</v>
      </c>
      <c r="K164" s="8">
        <f t="shared" si="4"/>
        <v>100</v>
      </c>
      <c r="L164" s="8">
        <f t="shared" si="5"/>
        <v>0</v>
      </c>
      <c r="M164" t="s">
        <v>20</v>
      </c>
      <c r="N164" t="s">
        <v>21</v>
      </c>
    </row>
    <row r="165" spans="1:14" x14ac:dyDescent="0.3">
      <c r="A165" t="s">
        <v>260</v>
      </c>
      <c r="B165" s="2">
        <v>46223</v>
      </c>
      <c r="C165" s="2">
        <v>46225</v>
      </c>
      <c r="D165" s="1" t="s">
        <v>256</v>
      </c>
      <c r="E165" t="s">
        <v>257</v>
      </c>
      <c r="F165" t="s">
        <v>19</v>
      </c>
      <c r="G165" s="5">
        <v>325</v>
      </c>
      <c r="H165" s="5">
        <v>325</v>
      </c>
      <c r="I165" s="5">
        <v>325</v>
      </c>
      <c r="J165" s="5">
        <v>0</v>
      </c>
      <c r="K165" s="8">
        <f t="shared" si="4"/>
        <v>100</v>
      </c>
      <c r="L165" s="8">
        <f t="shared" si="5"/>
        <v>0</v>
      </c>
      <c r="M165" t="s">
        <v>20</v>
      </c>
      <c r="N165" t="s">
        <v>21</v>
      </c>
    </row>
    <row r="166" spans="1:14" x14ac:dyDescent="0.3">
      <c r="A166" t="s">
        <v>404</v>
      </c>
      <c r="B166" s="2">
        <v>46216</v>
      </c>
      <c r="C166" s="2">
        <v>46226</v>
      </c>
      <c r="D166" s="1" t="s">
        <v>405</v>
      </c>
      <c r="E166" t="s">
        <v>406</v>
      </c>
      <c r="F166" t="s">
        <v>97</v>
      </c>
      <c r="G166" s="5">
        <v>365</v>
      </c>
      <c r="H166" s="5">
        <v>365</v>
      </c>
      <c r="I166" s="5">
        <v>365</v>
      </c>
      <c r="J166" s="5">
        <v>0</v>
      </c>
      <c r="K166" s="8">
        <f t="shared" si="4"/>
        <v>100</v>
      </c>
      <c r="L166" s="8">
        <f t="shared" si="5"/>
        <v>0</v>
      </c>
      <c r="M166" t="s">
        <v>20</v>
      </c>
      <c r="N166" t="s">
        <v>21</v>
      </c>
    </row>
    <row r="167" spans="1:14" x14ac:dyDescent="0.3">
      <c r="A167" t="s">
        <v>41</v>
      </c>
      <c r="B167" s="2">
        <v>46225</v>
      </c>
      <c r="C167" s="2">
        <v>46226</v>
      </c>
      <c r="D167" s="1" t="s">
        <v>37</v>
      </c>
      <c r="E167" t="s">
        <v>38</v>
      </c>
      <c r="F167" t="s">
        <v>39</v>
      </c>
      <c r="G167" s="5">
        <v>100</v>
      </c>
      <c r="H167" s="5">
        <v>83</v>
      </c>
      <c r="I167" s="5">
        <v>83</v>
      </c>
      <c r="J167" s="5">
        <v>0</v>
      </c>
      <c r="K167" s="8">
        <f t="shared" si="4"/>
        <v>83</v>
      </c>
      <c r="L167" s="8">
        <f t="shared" si="5"/>
        <v>0</v>
      </c>
      <c r="M167" t="s">
        <v>20</v>
      </c>
      <c r="N167" t="s">
        <v>21</v>
      </c>
    </row>
    <row r="168" spans="1:14" x14ac:dyDescent="0.3">
      <c r="A168" t="s">
        <v>301</v>
      </c>
      <c r="B168" s="2">
        <v>46225</v>
      </c>
      <c r="C168" s="2">
        <v>46226</v>
      </c>
      <c r="D168" s="1" t="s">
        <v>295</v>
      </c>
      <c r="E168" t="s">
        <v>296</v>
      </c>
      <c r="F168" t="s">
        <v>39</v>
      </c>
      <c r="G168" s="5">
        <v>400</v>
      </c>
      <c r="H168" s="5">
        <v>413</v>
      </c>
      <c r="I168" s="5">
        <v>396</v>
      </c>
      <c r="J168" s="5">
        <v>17</v>
      </c>
      <c r="K168" s="8">
        <f t="shared" si="4"/>
        <v>103.25</v>
      </c>
      <c r="L168" s="8">
        <f t="shared" si="5"/>
        <v>4.2929292929292924</v>
      </c>
      <c r="M168" t="s">
        <v>20</v>
      </c>
      <c r="N168" t="s">
        <v>21</v>
      </c>
    </row>
    <row r="169" spans="1:14" x14ac:dyDescent="0.3">
      <c r="A169" t="s">
        <v>379</v>
      </c>
      <c r="B169" s="2">
        <v>46225</v>
      </c>
      <c r="C169" s="2">
        <v>46226</v>
      </c>
      <c r="D169" s="1" t="s">
        <v>380</v>
      </c>
      <c r="E169" t="s">
        <v>381</v>
      </c>
      <c r="F169" t="s">
        <v>39</v>
      </c>
      <c r="G169" s="5">
        <v>606</v>
      </c>
      <c r="H169" s="5">
        <v>611</v>
      </c>
      <c r="I169" s="5">
        <v>610</v>
      </c>
      <c r="J169" s="5">
        <v>1</v>
      </c>
      <c r="K169" s="8">
        <f t="shared" si="4"/>
        <v>100.82508250825082</v>
      </c>
      <c r="L169" s="8">
        <f t="shared" si="5"/>
        <v>0.16393442622950818</v>
      </c>
      <c r="M169" t="s">
        <v>20</v>
      </c>
      <c r="N169" t="s">
        <v>21</v>
      </c>
    </row>
    <row r="170" spans="1:14" x14ac:dyDescent="0.3">
      <c r="A170" t="s">
        <v>362</v>
      </c>
      <c r="B170" s="2">
        <v>46225</v>
      </c>
      <c r="C170" s="2">
        <v>46226</v>
      </c>
      <c r="D170" s="1" t="s">
        <v>355</v>
      </c>
      <c r="E170" t="s">
        <v>356</v>
      </c>
      <c r="F170" t="s">
        <v>97</v>
      </c>
      <c r="G170" s="5">
        <v>33</v>
      </c>
      <c r="H170" s="5">
        <v>33</v>
      </c>
      <c r="I170" s="5">
        <v>27</v>
      </c>
      <c r="J170" s="5">
        <v>6</v>
      </c>
      <c r="K170" s="8">
        <f t="shared" si="4"/>
        <v>100</v>
      </c>
      <c r="L170" s="8">
        <f t="shared" si="5"/>
        <v>22.222222222222221</v>
      </c>
      <c r="M170" t="s">
        <v>20</v>
      </c>
      <c r="N170" t="s">
        <v>21</v>
      </c>
    </row>
    <row r="171" spans="1:14" x14ac:dyDescent="0.3">
      <c r="A171" t="s">
        <v>321</v>
      </c>
      <c r="B171" s="2">
        <v>46225</v>
      </c>
      <c r="C171" s="2">
        <v>46226</v>
      </c>
      <c r="D171" s="1" t="s">
        <v>316</v>
      </c>
      <c r="E171" t="s">
        <v>317</v>
      </c>
      <c r="F171" t="s">
        <v>97</v>
      </c>
      <c r="G171" s="5">
        <v>100</v>
      </c>
      <c r="H171" s="5">
        <v>108</v>
      </c>
      <c r="I171" s="5">
        <v>108</v>
      </c>
      <c r="J171" s="5">
        <v>0</v>
      </c>
      <c r="K171" s="8">
        <f t="shared" si="4"/>
        <v>108</v>
      </c>
      <c r="L171" s="8">
        <f t="shared" si="5"/>
        <v>0</v>
      </c>
      <c r="M171" t="s">
        <v>20</v>
      </c>
      <c r="N171" t="s">
        <v>21</v>
      </c>
    </row>
    <row r="172" spans="1:14" x14ac:dyDescent="0.3">
      <c r="A172" t="s">
        <v>73</v>
      </c>
      <c r="B172" s="2">
        <v>46225</v>
      </c>
      <c r="C172" s="2">
        <v>46226</v>
      </c>
      <c r="D172" s="1" t="s">
        <v>66</v>
      </c>
      <c r="E172" t="s">
        <v>67</v>
      </c>
      <c r="F172" t="s">
        <v>61</v>
      </c>
      <c r="G172" s="5">
        <v>800</v>
      </c>
      <c r="H172" s="5">
        <v>812</v>
      </c>
      <c r="I172" s="5">
        <v>808</v>
      </c>
      <c r="J172" s="5">
        <v>4</v>
      </c>
      <c r="K172" s="8">
        <f t="shared" si="4"/>
        <v>101.49999999999999</v>
      </c>
      <c r="L172" s="8">
        <f t="shared" si="5"/>
        <v>0.49504950495049505</v>
      </c>
      <c r="M172" t="s">
        <v>20</v>
      </c>
      <c r="N172" t="s">
        <v>21</v>
      </c>
    </row>
    <row r="173" spans="1:14" x14ac:dyDescent="0.3">
      <c r="A173" t="s">
        <v>139</v>
      </c>
      <c r="B173" s="2">
        <v>46225</v>
      </c>
      <c r="C173" s="2">
        <v>46226</v>
      </c>
      <c r="D173" s="1" t="s">
        <v>129</v>
      </c>
      <c r="E173" t="s">
        <v>130</v>
      </c>
      <c r="F173" t="s">
        <v>61</v>
      </c>
      <c r="G173" s="5">
        <v>288</v>
      </c>
      <c r="H173" s="5">
        <v>300</v>
      </c>
      <c r="I173" s="5">
        <v>300</v>
      </c>
      <c r="J173" s="5">
        <v>0</v>
      </c>
      <c r="K173" s="8">
        <f t="shared" si="4"/>
        <v>104.16666666666667</v>
      </c>
      <c r="L173" s="8">
        <f t="shared" si="5"/>
        <v>0</v>
      </c>
      <c r="M173" t="s">
        <v>20</v>
      </c>
      <c r="N173" t="s">
        <v>21</v>
      </c>
    </row>
    <row r="174" spans="1:14" x14ac:dyDescent="0.3">
      <c r="A174" t="s">
        <v>52</v>
      </c>
      <c r="B174" s="2">
        <v>46226</v>
      </c>
      <c r="C174" s="2">
        <v>46226</v>
      </c>
      <c r="D174" s="1" t="s">
        <v>48</v>
      </c>
      <c r="E174" t="s">
        <v>49</v>
      </c>
      <c r="F174" t="s">
        <v>39</v>
      </c>
      <c r="G174" s="5">
        <v>210</v>
      </c>
      <c r="H174" s="5">
        <v>173</v>
      </c>
      <c r="I174" s="5">
        <v>170</v>
      </c>
      <c r="J174" s="5">
        <v>3</v>
      </c>
      <c r="K174" s="8">
        <f t="shared" si="4"/>
        <v>82.38095238095238</v>
      </c>
      <c r="L174" s="8">
        <f t="shared" si="5"/>
        <v>1.7647058823529411</v>
      </c>
      <c r="M174" t="s">
        <v>20</v>
      </c>
      <c r="N174" t="s">
        <v>21</v>
      </c>
    </row>
    <row r="175" spans="1:14" x14ac:dyDescent="0.3">
      <c r="A175" t="s">
        <v>302</v>
      </c>
      <c r="B175" s="2">
        <v>46226</v>
      </c>
      <c r="C175" s="2">
        <v>46226</v>
      </c>
      <c r="D175" s="1" t="s">
        <v>295</v>
      </c>
      <c r="E175" t="s">
        <v>296</v>
      </c>
      <c r="F175" t="s">
        <v>39</v>
      </c>
      <c r="G175" s="5">
        <v>400</v>
      </c>
      <c r="H175" s="5">
        <v>407</v>
      </c>
      <c r="I175" s="5">
        <v>404</v>
      </c>
      <c r="J175" s="5">
        <v>3</v>
      </c>
      <c r="K175" s="8">
        <f t="shared" si="4"/>
        <v>101.75</v>
      </c>
      <c r="L175" s="8">
        <f t="shared" si="5"/>
        <v>0.74257425742574257</v>
      </c>
      <c r="M175" t="s">
        <v>20</v>
      </c>
      <c r="N175" t="s">
        <v>21</v>
      </c>
    </row>
    <row r="176" spans="1:14" x14ac:dyDescent="0.3">
      <c r="A176" t="s">
        <v>156</v>
      </c>
      <c r="B176" s="2">
        <v>46226</v>
      </c>
      <c r="C176" s="2">
        <v>46226</v>
      </c>
      <c r="D176" s="1" t="s">
        <v>152</v>
      </c>
      <c r="E176" t="s">
        <v>153</v>
      </c>
      <c r="F176" t="s">
        <v>39</v>
      </c>
      <c r="G176" s="5">
        <v>142</v>
      </c>
      <c r="H176" s="5">
        <v>151</v>
      </c>
      <c r="I176" s="5">
        <v>151</v>
      </c>
      <c r="J176" s="5">
        <v>0</v>
      </c>
      <c r="K176" s="8">
        <f t="shared" si="4"/>
        <v>106.33802816901408</v>
      </c>
      <c r="L176" s="8">
        <f t="shared" si="5"/>
        <v>0</v>
      </c>
      <c r="M176" t="s">
        <v>20</v>
      </c>
      <c r="N176" t="s">
        <v>21</v>
      </c>
    </row>
    <row r="177" spans="1:14" x14ac:dyDescent="0.3">
      <c r="A177" t="s">
        <v>161</v>
      </c>
      <c r="B177" s="2">
        <v>46226</v>
      </c>
      <c r="C177" s="2">
        <v>46226</v>
      </c>
      <c r="D177" s="1" t="s">
        <v>158</v>
      </c>
      <c r="E177" t="s">
        <v>159</v>
      </c>
      <c r="F177" t="s">
        <v>39</v>
      </c>
      <c r="G177" s="5">
        <v>142</v>
      </c>
      <c r="H177" s="5">
        <v>156</v>
      </c>
      <c r="I177" s="5">
        <v>156</v>
      </c>
      <c r="J177" s="5">
        <v>0</v>
      </c>
      <c r="K177" s="8">
        <f t="shared" si="4"/>
        <v>109.85915492957747</v>
      </c>
      <c r="L177" s="8">
        <f t="shared" si="5"/>
        <v>0</v>
      </c>
      <c r="M177" t="s">
        <v>20</v>
      </c>
      <c r="N177" t="s">
        <v>21</v>
      </c>
    </row>
    <row r="178" spans="1:14" x14ac:dyDescent="0.3">
      <c r="A178" t="s">
        <v>99</v>
      </c>
      <c r="B178" s="2">
        <v>46226</v>
      </c>
      <c r="C178" s="2">
        <v>46226</v>
      </c>
      <c r="D178" s="1" t="s">
        <v>95</v>
      </c>
      <c r="E178" t="s">
        <v>96</v>
      </c>
      <c r="F178" t="s">
        <v>97</v>
      </c>
      <c r="G178" s="5">
        <v>1680</v>
      </c>
      <c r="H178" s="5">
        <v>1784</v>
      </c>
      <c r="I178" s="5">
        <v>1776</v>
      </c>
      <c r="J178" s="5">
        <v>8</v>
      </c>
      <c r="K178" s="8">
        <f t="shared" si="4"/>
        <v>106.19047619047619</v>
      </c>
      <c r="L178" s="8">
        <f t="shared" si="5"/>
        <v>0.45045045045045046</v>
      </c>
      <c r="M178" t="s">
        <v>20</v>
      </c>
      <c r="N178" t="s">
        <v>21</v>
      </c>
    </row>
    <row r="179" spans="1:14" x14ac:dyDescent="0.3">
      <c r="A179" t="s">
        <v>287</v>
      </c>
      <c r="B179" s="2">
        <v>46226</v>
      </c>
      <c r="C179" s="2">
        <v>46226</v>
      </c>
      <c r="D179" s="1" t="s">
        <v>284</v>
      </c>
      <c r="E179" t="s">
        <v>285</v>
      </c>
      <c r="F179" t="s">
        <v>97</v>
      </c>
      <c r="G179" s="5">
        <v>350</v>
      </c>
      <c r="H179" s="5">
        <v>420</v>
      </c>
      <c r="I179" s="5">
        <v>416</v>
      </c>
      <c r="J179" s="5">
        <v>4</v>
      </c>
      <c r="K179" s="8">
        <f t="shared" si="4"/>
        <v>120</v>
      </c>
      <c r="L179" s="8">
        <f t="shared" si="5"/>
        <v>0.96153846153846156</v>
      </c>
      <c r="M179" t="s">
        <v>20</v>
      </c>
      <c r="N179" t="s">
        <v>21</v>
      </c>
    </row>
    <row r="180" spans="1:14" x14ac:dyDescent="0.3">
      <c r="A180" t="s">
        <v>415</v>
      </c>
      <c r="B180" s="2">
        <v>46226</v>
      </c>
      <c r="C180" s="2">
        <v>46226</v>
      </c>
      <c r="D180" s="1" t="s">
        <v>412</v>
      </c>
      <c r="E180" t="s">
        <v>413</v>
      </c>
      <c r="F180" t="s">
        <v>97</v>
      </c>
      <c r="G180" s="5">
        <v>600</v>
      </c>
      <c r="H180" s="5">
        <v>624</v>
      </c>
      <c r="I180" s="5">
        <v>624</v>
      </c>
      <c r="J180" s="5">
        <v>0</v>
      </c>
      <c r="K180" s="8">
        <f t="shared" si="4"/>
        <v>104</v>
      </c>
      <c r="L180" s="8">
        <f t="shared" si="5"/>
        <v>0</v>
      </c>
      <c r="M180" t="s">
        <v>20</v>
      </c>
      <c r="N180" t="s">
        <v>21</v>
      </c>
    </row>
    <row r="181" spans="1:14" x14ac:dyDescent="0.3">
      <c r="A181" t="s">
        <v>74</v>
      </c>
      <c r="B181" s="2">
        <v>46226</v>
      </c>
      <c r="C181" s="2">
        <v>46226</v>
      </c>
      <c r="D181" s="1" t="s">
        <v>66</v>
      </c>
      <c r="E181" t="s">
        <v>67</v>
      </c>
      <c r="F181" t="s">
        <v>61</v>
      </c>
      <c r="G181" s="5">
        <v>800</v>
      </c>
      <c r="H181" s="5">
        <v>816</v>
      </c>
      <c r="I181" s="5">
        <v>808</v>
      </c>
      <c r="J181" s="5">
        <v>8</v>
      </c>
      <c r="K181" s="8">
        <f t="shared" si="4"/>
        <v>102</v>
      </c>
      <c r="L181" s="8">
        <f t="shared" si="5"/>
        <v>0.99009900990099009</v>
      </c>
      <c r="M181" t="s">
        <v>20</v>
      </c>
      <c r="N181" t="s">
        <v>21</v>
      </c>
    </row>
    <row r="182" spans="1:14" x14ac:dyDescent="0.3">
      <c r="A182" t="s">
        <v>278</v>
      </c>
      <c r="B182" s="2">
        <v>46226</v>
      </c>
      <c r="C182" s="2">
        <v>46226</v>
      </c>
      <c r="D182" s="1" t="s">
        <v>272</v>
      </c>
      <c r="E182" t="s">
        <v>273</v>
      </c>
      <c r="F182" t="s">
        <v>61</v>
      </c>
      <c r="G182" s="5">
        <v>2037</v>
      </c>
      <c r="H182" s="5">
        <v>2098</v>
      </c>
      <c r="I182" s="5">
        <v>2093</v>
      </c>
      <c r="J182" s="5">
        <v>5</v>
      </c>
      <c r="K182" s="8">
        <f t="shared" si="4"/>
        <v>102.99459990181639</v>
      </c>
      <c r="L182" s="8">
        <f t="shared" si="5"/>
        <v>0.23889154323936934</v>
      </c>
      <c r="M182" t="s">
        <v>20</v>
      </c>
      <c r="N182" t="s">
        <v>21</v>
      </c>
    </row>
    <row r="183" spans="1:14" x14ac:dyDescent="0.3">
      <c r="A183" t="s">
        <v>310</v>
      </c>
      <c r="B183" s="2">
        <v>46226</v>
      </c>
      <c r="C183" s="2">
        <v>46226</v>
      </c>
      <c r="D183" s="1" t="s">
        <v>311</v>
      </c>
      <c r="E183" t="s">
        <v>312</v>
      </c>
      <c r="F183" t="s">
        <v>61</v>
      </c>
      <c r="G183" s="5">
        <v>150</v>
      </c>
      <c r="H183" s="5">
        <v>188</v>
      </c>
      <c r="I183" s="5">
        <v>180</v>
      </c>
      <c r="J183" s="5">
        <v>8</v>
      </c>
      <c r="K183" s="8">
        <f t="shared" si="4"/>
        <v>125.33333333333334</v>
      </c>
      <c r="L183" s="8">
        <f t="shared" si="5"/>
        <v>4.4444444444444446</v>
      </c>
      <c r="M183" t="s">
        <v>20</v>
      </c>
      <c r="N183" t="s">
        <v>21</v>
      </c>
    </row>
    <row r="184" spans="1:14" x14ac:dyDescent="0.3">
      <c r="A184" t="s">
        <v>43</v>
      </c>
      <c r="B184" s="2">
        <v>46226</v>
      </c>
      <c r="C184" s="2">
        <v>46226</v>
      </c>
      <c r="D184" s="1" t="s">
        <v>44</v>
      </c>
      <c r="E184" t="s">
        <v>45</v>
      </c>
      <c r="F184" t="s">
        <v>46</v>
      </c>
      <c r="G184" s="5">
        <v>78</v>
      </c>
      <c r="H184" s="5">
        <v>76</v>
      </c>
      <c r="I184" s="5">
        <v>75</v>
      </c>
      <c r="J184" s="5">
        <v>1</v>
      </c>
      <c r="K184" s="8">
        <f t="shared" si="4"/>
        <v>97.435897435897431</v>
      </c>
      <c r="L184" s="8">
        <f t="shared" si="5"/>
        <v>1.3333333333333335</v>
      </c>
      <c r="M184" t="s">
        <v>20</v>
      </c>
      <c r="N184" t="s">
        <v>21</v>
      </c>
    </row>
    <row r="185" spans="1:14" x14ac:dyDescent="0.3">
      <c r="A185" t="s">
        <v>162</v>
      </c>
      <c r="B185" s="2">
        <v>46220</v>
      </c>
      <c r="C185" s="2">
        <v>46226</v>
      </c>
      <c r="D185" s="1" t="s">
        <v>158</v>
      </c>
      <c r="E185" t="s">
        <v>159</v>
      </c>
      <c r="F185" t="s">
        <v>39</v>
      </c>
      <c r="G185" s="5">
        <v>142</v>
      </c>
      <c r="H185" s="5">
        <v>156</v>
      </c>
      <c r="I185" s="5">
        <v>155</v>
      </c>
      <c r="J185" s="5">
        <v>1</v>
      </c>
      <c r="K185" s="8">
        <f t="shared" si="4"/>
        <v>109.85915492957747</v>
      </c>
      <c r="L185" s="8">
        <f t="shared" si="5"/>
        <v>0.64516129032258063</v>
      </c>
      <c r="M185" t="s">
        <v>20</v>
      </c>
      <c r="N185" t="s">
        <v>21</v>
      </c>
    </row>
    <row r="186" spans="1:14" x14ac:dyDescent="0.3">
      <c r="A186" t="s">
        <v>90</v>
      </c>
      <c r="B186" s="2">
        <v>46225</v>
      </c>
      <c r="C186" s="2">
        <v>46226</v>
      </c>
      <c r="D186" s="1" t="s">
        <v>85</v>
      </c>
      <c r="E186" t="s">
        <v>86</v>
      </c>
      <c r="F186" t="s">
        <v>19</v>
      </c>
      <c r="G186" s="5">
        <v>111</v>
      </c>
      <c r="H186" s="5">
        <v>111</v>
      </c>
      <c r="I186" s="5">
        <v>111</v>
      </c>
      <c r="J186" s="5">
        <v>0</v>
      </c>
      <c r="K186" s="8">
        <f t="shared" si="4"/>
        <v>100</v>
      </c>
      <c r="L186" s="8">
        <f t="shared" si="5"/>
        <v>0</v>
      </c>
      <c r="M186" t="s">
        <v>20</v>
      </c>
      <c r="N186" t="s">
        <v>21</v>
      </c>
    </row>
    <row r="187" spans="1:14" x14ac:dyDescent="0.3">
      <c r="A187" t="s">
        <v>215</v>
      </c>
      <c r="B187" s="2">
        <v>46225</v>
      </c>
      <c r="C187" s="2">
        <v>46226</v>
      </c>
      <c r="D187" s="1" t="s">
        <v>198</v>
      </c>
      <c r="E187" t="s">
        <v>199</v>
      </c>
      <c r="F187" t="s">
        <v>19</v>
      </c>
      <c r="G187" s="5">
        <v>32</v>
      </c>
      <c r="H187" s="5">
        <v>32</v>
      </c>
      <c r="I187" s="5">
        <v>32</v>
      </c>
      <c r="J187" s="5">
        <v>0</v>
      </c>
      <c r="K187" s="8">
        <f t="shared" si="4"/>
        <v>100</v>
      </c>
      <c r="L187" s="8">
        <f t="shared" si="5"/>
        <v>0</v>
      </c>
      <c r="M187" t="s">
        <v>20</v>
      </c>
      <c r="N187" t="s">
        <v>21</v>
      </c>
    </row>
    <row r="188" spans="1:14" x14ac:dyDescent="0.3">
      <c r="A188" t="s">
        <v>261</v>
      </c>
      <c r="B188" s="2">
        <v>46225</v>
      </c>
      <c r="C188" s="2">
        <v>46226</v>
      </c>
      <c r="D188" s="1" t="s">
        <v>256</v>
      </c>
      <c r="E188" t="s">
        <v>257</v>
      </c>
      <c r="F188" t="s">
        <v>19</v>
      </c>
      <c r="G188" s="5">
        <v>372</v>
      </c>
      <c r="H188" s="5">
        <v>372</v>
      </c>
      <c r="I188" s="5">
        <v>372</v>
      </c>
      <c r="J188" s="5">
        <v>0</v>
      </c>
      <c r="K188" s="8">
        <f t="shared" si="4"/>
        <v>100</v>
      </c>
      <c r="L188" s="8">
        <f t="shared" si="5"/>
        <v>0</v>
      </c>
      <c r="M188" t="s">
        <v>20</v>
      </c>
      <c r="N188" t="s">
        <v>21</v>
      </c>
    </row>
    <row r="189" spans="1:14" x14ac:dyDescent="0.3">
      <c r="A189" t="s">
        <v>33</v>
      </c>
      <c r="B189" s="2">
        <v>46225</v>
      </c>
      <c r="C189" s="2">
        <v>46226</v>
      </c>
      <c r="D189" s="1" t="s">
        <v>27</v>
      </c>
      <c r="E189" t="s">
        <v>28</v>
      </c>
      <c r="F189" t="s">
        <v>19</v>
      </c>
      <c r="G189" s="5">
        <v>600</v>
      </c>
      <c r="H189" s="5">
        <v>600</v>
      </c>
      <c r="I189" s="5">
        <v>600</v>
      </c>
      <c r="J189" s="5">
        <v>0</v>
      </c>
      <c r="K189" s="8">
        <f t="shared" si="4"/>
        <v>100</v>
      </c>
      <c r="L189" s="8">
        <f t="shared" si="5"/>
        <v>0</v>
      </c>
      <c r="M189" t="s">
        <v>20</v>
      </c>
      <c r="N189" t="s">
        <v>21</v>
      </c>
    </row>
    <row r="190" spans="1:14" x14ac:dyDescent="0.3">
      <c r="A190" t="s">
        <v>25</v>
      </c>
      <c r="B190" s="2">
        <v>46224</v>
      </c>
      <c r="C190" s="2">
        <v>46226</v>
      </c>
      <c r="D190" s="1" t="s">
        <v>23</v>
      </c>
      <c r="E190" t="s">
        <v>24</v>
      </c>
      <c r="F190" t="s">
        <v>19</v>
      </c>
      <c r="G190" s="5">
        <v>810</v>
      </c>
      <c r="H190" s="5">
        <v>810</v>
      </c>
      <c r="I190" s="5">
        <v>810</v>
      </c>
      <c r="J190" s="5">
        <v>0</v>
      </c>
      <c r="K190" s="8">
        <f t="shared" si="4"/>
        <v>100</v>
      </c>
      <c r="L190" s="8">
        <f t="shared" si="5"/>
        <v>0</v>
      </c>
      <c r="M190" t="s">
        <v>20</v>
      </c>
      <c r="N190" t="s">
        <v>21</v>
      </c>
    </row>
    <row r="191" spans="1:14" x14ac:dyDescent="0.3">
      <c r="A191" t="s">
        <v>363</v>
      </c>
      <c r="B191" s="2">
        <v>46226</v>
      </c>
      <c r="C191" s="2">
        <v>46227</v>
      </c>
      <c r="D191" s="1" t="s">
        <v>355</v>
      </c>
      <c r="E191" t="s">
        <v>356</v>
      </c>
      <c r="F191" t="s">
        <v>97</v>
      </c>
      <c r="G191" s="5">
        <v>33</v>
      </c>
      <c r="H191" s="5">
        <v>33</v>
      </c>
      <c r="I191" s="5">
        <v>28</v>
      </c>
      <c r="J191" s="5">
        <v>5</v>
      </c>
      <c r="K191" s="8">
        <f t="shared" si="4"/>
        <v>100</v>
      </c>
      <c r="L191" s="8">
        <f t="shared" si="5"/>
        <v>17.857142857142858</v>
      </c>
      <c r="M191" t="s">
        <v>20</v>
      </c>
      <c r="N191" t="s">
        <v>21</v>
      </c>
    </row>
    <row r="192" spans="1:14" x14ac:dyDescent="0.3">
      <c r="A192" t="s">
        <v>322</v>
      </c>
      <c r="B192" s="2">
        <v>46226</v>
      </c>
      <c r="C192" s="2">
        <v>46227</v>
      </c>
      <c r="D192" s="1" t="s">
        <v>316</v>
      </c>
      <c r="E192" t="s">
        <v>317</v>
      </c>
      <c r="F192" t="s">
        <v>97</v>
      </c>
      <c r="G192" s="5">
        <v>100</v>
      </c>
      <c r="H192" s="5">
        <v>107</v>
      </c>
      <c r="I192" s="5">
        <v>107</v>
      </c>
      <c r="J192" s="5">
        <v>0</v>
      </c>
      <c r="K192" s="8">
        <f t="shared" si="4"/>
        <v>107</v>
      </c>
      <c r="L192" s="8">
        <f t="shared" si="5"/>
        <v>0</v>
      </c>
      <c r="M192" t="s">
        <v>20</v>
      </c>
      <c r="N192" t="s">
        <v>21</v>
      </c>
    </row>
    <row r="193" spans="1:14" x14ac:dyDescent="0.3">
      <c r="A193" t="s">
        <v>140</v>
      </c>
      <c r="B193" s="2">
        <v>46226</v>
      </c>
      <c r="C193" s="2">
        <v>46227</v>
      </c>
      <c r="D193" s="1" t="s">
        <v>129</v>
      </c>
      <c r="E193" t="s">
        <v>130</v>
      </c>
      <c r="F193" t="s">
        <v>61</v>
      </c>
      <c r="G193" s="5">
        <v>324</v>
      </c>
      <c r="H193" s="5">
        <v>306</v>
      </c>
      <c r="I193" s="5">
        <v>294</v>
      </c>
      <c r="J193" s="5">
        <v>12</v>
      </c>
      <c r="K193" s="8">
        <f t="shared" si="4"/>
        <v>94.444444444444443</v>
      </c>
      <c r="L193" s="8">
        <f t="shared" si="5"/>
        <v>4.0816326530612246</v>
      </c>
      <c r="M193" t="s">
        <v>20</v>
      </c>
      <c r="N193" t="s">
        <v>21</v>
      </c>
    </row>
    <row r="194" spans="1:14" x14ac:dyDescent="0.3">
      <c r="A194" t="s">
        <v>42</v>
      </c>
      <c r="B194" s="2">
        <v>46227</v>
      </c>
      <c r="C194" s="2">
        <v>46227</v>
      </c>
      <c r="D194" s="1" t="s">
        <v>37</v>
      </c>
      <c r="E194" t="s">
        <v>38</v>
      </c>
      <c r="F194" t="s">
        <v>39</v>
      </c>
      <c r="G194" s="5">
        <v>100</v>
      </c>
      <c r="H194" s="5">
        <v>100</v>
      </c>
      <c r="I194" s="5">
        <v>97</v>
      </c>
      <c r="J194" s="5">
        <v>3</v>
      </c>
      <c r="K194" s="8">
        <f t="shared" si="4"/>
        <v>100</v>
      </c>
      <c r="L194" s="8">
        <f t="shared" si="5"/>
        <v>3.0927835051546393</v>
      </c>
      <c r="M194" t="s">
        <v>20</v>
      </c>
      <c r="N194" t="s">
        <v>21</v>
      </c>
    </row>
    <row r="195" spans="1:14" x14ac:dyDescent="0.3">
      <c r="A195" t="s">
        <v>177</v>
      </c>
      <c r="B195" s="2">
        <v>46227</v>
      </c>
      <c r="C195" s="2">
        <v>46227</v>
      </c>
      <c r="D195" s="1" t="s">
        <v>178</v>
      </c>
      <c r="E195" t="s">
        <v>179</v>
      </c>
      <c r="F195" t="s">
        <v>97</v>
      </c>
      <c r="G195" s="5">
        <v>300</v>
      </c>
      <c r="H195" s="5">
        <v>310</v>
      </c>
      <c r="I195" s="5">
        <v>305</v>
      </c>
      <c r="J195" s="5">
        <v>5</v>
      </c>
      <c r="K195" s="8">
        <f t="shared" si="4"/>
        <v>103.33333333333334</v>
      </c>
      <c r="L195" s="8">
        <f t="shared" si="5"/>
        <v>1.639344262295082</v>
      </c>
      <c r="M195" t="s">
        <v>20</v>
      </c>
      <c r="N195" t="s">
        <v>21</v>
      </c>
    </row>
    <row r="196" spans="1:14" x14ac:dyDescent="0.3">
      <c r="A196" t="s">
        <v>75</v>
      </c>
      <c r="B196" s="2">
        <v>46227</v>
      </c>
      <c r="C196" s="2">
        <v>46227</v>
      </c>
      <c r="D196" s="1" t="s">
        <v>66</v>
      </c>
      <c r="E196" t="s">
        <v>67</v>
      </c>
      <c r="F196" t="s">
        <v>61</v>
      </c>
      <c r="G196" s="5">
        <v>800</v>
      </c>
      <c r="H196" s="5">
        <v>808</v>
      </c>
      <c r="I196" s="5">
        <v>804</v>
      </c>
      <c r="J196" s="5">
        <v>4</v>
      </c>
      <c r="K196" s="8">
        <f t="shared" ref="K196:K259" si="6">(H196/G196)*100</f>
        <v>101</v>
      </c>
      <c r="L196" s="8">
        <f t="shared" ref="L196:L259" si="7">((H196-I196)/I196)*100</f>
        <v>0.49751243781094528</v>
      </c>
      <c r="M196" t="s">
        <v>20</v>
      </c>
      <c r="N196" t="s">
        <v>21</v>
      </c>
    </row>
    <row r="197" spans="1:14" x14ac:dyDescent="0.3">
      <c r="A197" t="s">
        <v>141</v>
      </c>
      <c r="B197" s="2">
        <v>46227</v>
      </c>
      <c r="C197" s="2">
        <v>46227</v>
      </c>
      <c r="D197" s="1" t="s">
        <v>129</v>
      </c>
      <c r="E197" t="s">
        <v>130</v>
      </c>
      <c r="F197" t="s">
        <v>61</v>
      </c>
      <c r="G197" s="5">
        <v>312</v>
      </c>
      <c r="H197" s="5">
        <v>324</v>
      </c>
      <c r="I197" s="5">
        <v>324</v>
      </c>
      <c r="J197" s="5">
        <v>0</v>
      </c>
      <c r="K197" s="8">
        <f t="shared" si="6"/>
        <v>103.84615384615385</v>
      </c>
      <c r="L197" s="8">
        <f t="shared" si="7"/>
        <v>0</v>
      </c>
      <c r="M197" t="s">
        <v>20</v>
      </c>
      <c r="N197" t="s">
        <v>21</v>
      </c>
    </row>
    <row r="198" spans="1:14" x14ac:dyDescent="0.3">
      <c r="A198" t="s">
        <v>342</v>
      </c>
      <c r="B198" s="2">
        <v>46227</v>
      </c>
      <c r="C198" s="2">
        <v>46227</v>
      </c>
      <c r="D198" s="1" t="s">
        <v>333</v>
      </c>
      <c r="E198" t="s">
        <v>334</v>
      </c>
      <c r="F198" t="s">
        <v>61</v>
      </c>
      <c r="G198" s="5">
        <v>282</v>
      </c>
      <c r="H198" s="5">
        <v>285</v>
      </c>
      <c r="I198" s="5">
        <v>282</v>
      </c>
      <c r="J198" s="5">
        <v>3</v>
      </c>
      <c r="K198" s="8">
        <f t="shared" si="6"/>
        <v>101.06382978723406</v>
      </c>
      <c r="L198" s="8">
        <f t="shared" si="7"/>
        <v>1.0638297872340425</v>
      </c>
      <c r="M198" t="s">
        <v>20</v>
      </c>
      <c r="N198" t="s">
        <v>21</v>
      </c>
    </row>
    <row r="199" spans="1:14" x14ac:dyDescent="0.3">
      <c r="A199" t="s">
        <v>118</v>
      </c>
      <c r="B199" s="2">
        <v>46227</v>
      </c>
      <c r="C199" s="2">
        <v>46227</v>
      </c>
      <c r="D199" s="1" t="s">
        <v>102</v>
      </c>
      <c r="E199" t="s">
        <v>103</v>
      </c>
      <c r="F199" t="s">
        <v>61</v>
      </c>
      <c r="G199" s="5">
        <v>140</v>
      </c>
      <c r="H199" s="5">
        <v>148</v>
      </c>
      <c r="I199" s="5">
        <v>148</v>
      </c>
      <c r="J199" s="5">
        <v>0</v>
      </c>
      <c r="K199" s="8">
        <f t="shared" si="6"/>
        <v>105.71428571428572</v>
      </c>
      <c r="L199" s="8">
        <f t="shared" si="7"/>
        <v>0</v>
      </c>
      <c r="M199" t="s">
        <v>20</v>
      </c>
      <c r="N199" t="s">
        <v>21</v>
      </c>
    </row>
    <row r="200" spans="1:14" x14ac:dyDescent="0.3">
      <c r="A200" t="s">
        <v>119</v>
      </c>
      <c r="B200" s="2">
        <v>46227</v>
      </c>
      <c r="C200" s="2">
        <v>46227</v>
      </c>
      <c r="D200" s="1" t="s">
        <v>102</v>
      </c>
      <c r="E200" t="s">
        <v>103</v>
      </c>
      <c r="F200" t="s">
        <v>61</v>
      </c>
      <c r="G200" s="5">
        <v>280</v>
      </c>
      <c r="H200" s="5">
        <v>284</v>
      </c>
      <c r="I200" s="5">
        <v>284</v>
      </c>
      <c r="J200" s="5">
        <v>0</v>
      </c>
      <c r="K200" s="8">
        <f t="shared" si="6"/>
        <v>101.42857142857142</v>
      </c>
      <c r="L200" s="8">
        <f t="shared" si="7"/>
        <v>0</v>
      </c>
      <c r="M200" t="s">
        <v>20</v>
      </c>
      <c r="N200" t="s">
        <v>21</v>
      </c>
    </row>
    <row r="201" spans="1:14" x14ac:dyDescent="0.3">
      <c r="A201" t="s">
        <v>382</v>
      </c>
      <c r="B201" s="2">
        <v>46226</v>
      </c>
      <c r="C201" s="2">
        <v>46227</v>
      </c>
      <c r="D201" s="1" t="s">
        <v>380</v>
      </c>
      <c r="E201" t="s">
        <v>381</v>
      </c>
      <c r="F201" t="s">
        <v>39</v>
      </c>
      <c r="G201" s="5">
        <v>404</v>
      </c>
      <c r="H201" s="5">
        <v>391</v>
      </c>
      <c r="I201" s="5">
        <v>389</v>
      </c>
      <c r="J201" s="5">
        <v>2</v>
      </c>
      <c r="K201" s="8">
        <f t="shared" si="6"/>
        <v>96.78217821782178</v>
      </c>
      <c r="L201" s="8">
        <f t="shared" si="7"/>
        <v>0.51413881748071977</v>
      </c>
      <c r="M201" t="s">
        <v>20</v>
      </c>
      <c r="N201" t="s">
        <v>21</v>
      </c>
    </row>
    <row r="202" spans="1:14" x14ac:dyDescent="0.3">
      <c r="A202" t="s">
        <v>216</v>
      </c>
      <c r="B202" s="2">
        <v>46226</v>
      </c>
      <c r="C202" s="2">
        <v>46227</v>
      </c>
      <c r="D202" s="1" t="s">
        <v>198</v>
      </c>
      <c r="E202" t="s">
        <v>199</v>
      </c>
      <c r="F202" t="s">
        <v>19</v>
      </c>
      <c r="G202" s="5">
        <v>37</v>
      </c>
      <c r="H202" s="5">
        <v>37</v>
      </c>
      <c r="I202" s="5">
        <v>37</v>
      </c>
      <c r="J202" s="5">
        <v>0</v>
      </c>
      <c r="K202" s="8">
        <f t="shared" si="6"/>
        <v>100</v>
      </c>
      <c r="L202" s="8">
        <f t="shared" si="7"/>
        <v>0</v>
      </c>
      <c r="M202" t="s">
        <v>20</v>
      </c>
      <c r="N202" t="s">
        <v>21</v>
      </c>
    </row>
    <row r="203" spans="1:14" x14ac:dyDescent="0.3">
      <c r="A203" t="s">
        <v>217</v>
      </c>
      <c r="B203" s="2">
        <v>46226</v>
      </c>
      <c r="C203" s="2">
        <v>46227</v>
      </c>
      <c r="D203" s="1" t="s">
        <v>198</v>
      </c>
      <c r="E203" t="s">
        <v>199</v>
      </c>
      <c r="F203" t="s">
        <v>19</v>
      </c>
      <c r="G203" s="5">
        <v>29</v>
      </c>
      <c r="H203" s="5">
        <v>29</v>
      </c>
      <c r="I203" s="5">
        <v>29</v>
      </c>
      <c r="J203" s="5">
        <v>0</v>
      </c>
      <c r="K203" s="8">
        <f t="shared" si="6"/>
        <v>100</v>
      </c>
      <c r="L203" s="8">
        <f t="shared" si="7"/>
        <v>0</v>
      </c>
      <c r="M203" t="s">
        <v>20</v>
      </c>
      <c r="N203" t="s">
        <v>21</v>
      </c>
    </row>
    <row r="204" spans="1:14" x14ac:dyDescent="0.3">
      <c r="A204" t="s">
        <v>91</v>
      </c>
      <c r="B204" s="2">
        <v>46227</v>
      </c>
      <c r="C204" s="2">
        <v>46227</v>
      </c>
      <c r="D204" s="1" t="s">
        <v>85</v>
      </c>
      <c r="E204" t="s">
        <v>86</v>
      </c>
      <c r="F204" t="s">
        <v>19</v>
      </c>
      <c r="G204" s="5">
        <v>90</v>
      </c>
      <c r="H204" s="5">
        <v>90</v>
      </c>
      <c r="I204" s="5">
        <v>90</v>
      </c>
      <c r="J204" s="5">
        <v>0</v>
      </c>
      <c r="K204" s="8">
        <f t="shared" si="6"/>
        <v>100</v>
      </c>
      <c r="L204" s="8">
        <f t="shared" si="7"/>
        <v>0</v>
      </c>
      <c r="M204" t="s">
        <v>20</v>
      </c>
      <c r="N204" t="s">
        <v>21</v>
      </c>
    </row>
    <row r="205" spans="1:14" x14ac:dyDescent="0.3">
      <c r="A205" t="s">
        <v>218</v>
      </c>
      <c r="B205" s="2">
        <v>46227</v>
      </c>
      <c r="C205" s="2">
        <v>46227</v>
      </c>
      <c r="D205" s="1" t="s">
        <v>198</v>
      </c>
      <c r="E205" t="s">
        <v>199</v>
      </c>
      <c r="F205" t="s">
        <v>19</v>
      </c>
      <c r="G205" s="5">
        <v>39</v>
      </c>
      <c r="H205" s="5">
        <v>39</v>
      </c>
      <c r="I205" s="5">
        <v>39</v>
      </c>
      <c r="J205" s="5">
        <v>0</v>
      </c>
      <c r="K205" s="8">
        <f t="shared" si="6"/>
        <v>100</v>
      </c>
      <c r="L205" s="8">
        <f t="shared" si="7"/>
        <v>0</v>
      </c>
      <c r="M205" t="s">
        <v>20</v>
      </c>
      <c r="N205" t="s">
        <v>21</v>
      </c>
    </row>
    <row r="206" spans="1:14" x14ac:dyDescent="0.3">
      <c r="A206" t="s">
        <v>219</v>
      </c>
      <c r="B206" s="2">
        <v>46227</v>
      </c>
      <c r="C206" s="2">
        <v>46227</v>
      </c>
      <c r="D206" s="1" t="s">
        <v>198</v>
      </c>
      <c r="E206" t="s">
        <v>199</v>
      </c>
      <c r="F206" t="s">
        <v>19</v>
      </c>
      <c r="G206" s="5">
        <v>28</v>
      </c>
      <c r="H206" s="5">
        <v>28</v>
      </c>
      <c r="I206" s="5">
        <v>28</v>
      </c>
      <c r="J206" s="5">
        <v>0</v>
      </c>
      <c r="K206" s="8">
        <f t="shared" si="6"/>
        <v>100</v>
      </c>
      <c r="L206" s="8">
        <f t="shared" si="7"/>
        <v>0</v>
      </c>
      <c r="M206" t="s">
        <v>20</v>
      </c>
      <c r="N206" t="s">
        <v>21</v>
      </c>
    </row>
    <row r="207" spans="1:14" x14ac:dyDescent="0.3">
      <c r="A207" t="s">
        <v>262</v>
      </c>
      <c r="B207" s="2">
        <v>46227</v>
      </c>
      <c r="C207" s="2">
        <v>46227</v>
      </c>
      <c r="D207" s="1" t="s">
        <v>256</v>
      </c>
      <c r="E207" t="s">
        <v>257</v>
      </c>
      <c r="F207" t="s">
        <v>19</v>
      </c>
      <c r="G207" s="5">
        <v>300</v>
      </c>
      <c r="H207" s="5">
        <v>300</v>
      </c>
      <c r="I207" s="5">
        <v>300</v>
      </c>
      <c r="J207" s="5">
        <v>0</v>
      </c>
      <c r="K207" s="8">
        <f t="shared" si="6"/>
        <v>100</v>
      </c>
      <c r="L207" s="8">
        <f t="shared" si="7"/>
        <v>0</v>
      </c>
      <c r="M207" t="s">
        <v>20</v>
      </c>
      <c r="N207" t="s">
        <v>21</v>
      </c>
    </row>
    <row r="208" spans="1:14" x14ac:dyDescent="0.3">
      <c r="A208" t="s">
        <v>239</v>
      </c>
      <c r="B208" s="2">
        <v>46227</v>
      </c>
      <c r="C208" s="2">
        <v>46227</v>
      </c>
      <c r="D208" s="1" t="s">
        <v>232</v>
      </c>
      <c r="E208" t="s">
        <v>233</v>
      </c>
      <c r="F208" t="s">
        <v>19</v>
      </c>
      <c r="G208" s="5">
        <v>41</v>
      </c>
      <c r="H208" s="5">
        <v>41</v>
      </c>
      <c r="I208" s="5">
        <v>41</v>
      </c>
      <c r="J208" s="5">
        <v>0</v>
      </c>
      <c r="K208" s="8">
        <f t="shared" si="6"/>
        <v>100</v>
      </c>
      <c r="L208" s="8">
        <f t="shared" si="7"/>
        <v>0</v>
      </c>
      <c r="M208" t="s">
        <v>20</v>
      </c>
      <c r="N208" t="s">
        <v>21</v>
      </c>
    </row>
    <row r="209" spans="1:14" x14ac:dyDescent="0.3">
      <c r="A209" t="s">
        <v>34</v>
      </c>
      <c r="B209" s="2">
        <v>46227</v>
      </c>
      <c r="C209" s="2">
        <v>46227</v>
      </c>
      <c r="D209" s="1" t="s">
        <v>27</v>
      </c>
      <c r="E209" t="s">
        <v>28</v>
      </c>
      <c r="F209" t="s">
        <v>19</v>
      </c>
      <c r="G209" s="5">
        <v>400</v>
      </c>
      <c r="H209" s="5">
        <v>400</v>
      </c>
      <c r="I209" s="5">
        <v>400</v>
      </c>
      <c r="J209" s="5">
        <v>0</v>
      </c>
      <c r="K209" s="8">
        <f t="shared" si="6"/>
        <v>100</v>
      </c>
      <c r="L209" s="8">
        <f t="shared" si="7"/>
        <v>0</v>
      </c>
      <c r="M209" t="s">
        <v>20</v>
      </c>
      <c r="N209" t="s">
        <v>21</v>
      </c>
    </row>
    <row r="210" spans="1:14" x14ac:dyDescent="0.3">
      <c r="A210" t="s">
        <v>303</v>
      </c>
      <c r="B210" s="2">
        <v>46227</v>
      </c>
      <c r="C210" s="2">
        <v>46228</v>
      </c>
      <c r="D210" s="1" t="s">
        <v>295</v>
      </c>
      <c r="E210" t="s">
        <v>296</v>
      </c>
      <c r="F210" t="s">
        <v>39</v>
      </c>
      <c r="G210" s="5">
        <v>400</v>
      </c>
      <c r="H210" s="5">
        <v>468</v>
      </c>
      <c r="I210" s="5">
        <v>468</v>
      </c>
      <c r="J210" s="5">
        <v>0</v>
      </c>
      <c r="K210" s="8">
        <f t="shared" si="6"/>
        <v>117</v>
      </c>
      <c r="L210" s="8">
        <f t="shared" si="7"/>
        <v>0</v>
      </c>
      <c r="M210" t="s">
        <v>20</v>
      </c>
      <c r="N210" t="s">
        <v>21</v>
      </c>
    </row>
    <row r="211" spans="1:14" x14ac:dyDescent="0.3">
      <c r="A211" t="s">
        <v>364</v>
      </c>
      <c r="B211" s="2">
        <v>46227</v>
      </c>
      <c r="C211" s="2">
        <v>46228</v>
      </c>
      <c r="D211" s="1" t="s">
        <v>355</v>
      </c>
      <c r="E211" t="s">
        <v>356</v>
      </c>
      <c r="F211" t="s">
        <v>97</v>
      </c>
      <c r="G211" s="5">
        <v>33</v>
      </c>
      <c r="H211" s="5">
        <v>33</v>
      </c>
      <c r="I211" s="5">
        <v>27</v>
      </c>
      <c r="J211" s="5">
        <v>6</v>
      </c>
      <c r="K211" s="8">
        <f t="shared" si="6"/>
        <v>100</v>
      </c>
      <c r="L211" s="8">
        <f t="shared" si="7"/>
        <v>22.222222222222221</v>
      </c>
      <c r="M211" t="s">
        <v>20</v>
      </c>
      <c r="N211" t="s">
        <v>21</v>
      </c>
    </row>
    <row r="212" spans="1:14" x14ac:dyDescent="0.3">
      <c r="A212" t="s">
        <v>323</v>
      </c>
      <c r="B212" s="2">
        <v>46227</v>
      </c>
      <c r="C212" s="2">
        <v>46228</v>
      </c>
      <c r="D212" s="1" t="s">
        <v>316</v>
      </c>
      <c r="E212" t="s">
        <v>317</v>
      </c>
      <c r="F212" t="s">
        <v>97</v>
      </c>
      <c r="G212" s="5">
        <v>100</v>
      </c>
      <c r="H212" s="5">
        <v>110</v>
      </c>
      <c r="I212" s="5">
        <v>110</v>
      </c>
      <c r="J212" s="5">
        <v>0</v>
      </c>
      <c r="K212" s="8">
        <f t="shared" si="6"/>
        <v>110.00000000000001</v>
      </c>
      <c r="L212" s="8">
        <f t="shared" si="7"/>
        <v>0</v>
      </c>
      <c r="M212" t="s">
        <v>20</v>
      </c>
      <c r="N212" t="s">
        <v>21</v>
      </c>
    </row>
    <row r="213" spans="1:14" x14ac:dyDescent="0.3">
      <c r="A213" t="s">
        <v>313</v>
      </c>
      <c r="B213" s="2">
        <v>46227</v>
      </c>
      <c r="C213" s="2">
        <v>46228</v>
      </c>
      <c r="D213" s="1" t="s">
        <v>311</v>
      </c>
      <c r="E213" t="s">
        <v>312</v>
      </c>
      <c r="F213" t="s">
        <v>61</v>
      </c>
      <c r="G213" s="5">
        <v>150</v>
      </c>
      <c r="H213" s="5">
        <v>178</v>
      </c>
      <c r="I213" s="5">
        <v>161</v>
      </c>
      <c r="J213" s="5">
        <v>17</v>
      </c>
      <c r="K213" s="8">
        <f t="shared" si="6"/>
        <v>118.66666666666667</v>
      </c>
      <c r="L213" s="8">
        <f t="shared" si="7"/>
        <v>10.559006211180124</v>
      </c>
      <c r="M213" t="s">
        <v>20</v>
      </c>
      <c r="N213" t="s">
        <v>21</v>
      </c>
    </row>
    <row r="214" spans="1:14" x14ac:dyDescent="0.3">
      <c r="A214" t="s">
        <v>53</v>
      </c>
      <c r="B214" s="2">
        <v>46227</v>
      </c>
      <c r="C214" s="2">
        <v>46231</v>
      </c>
      <c r="D214" s="1" t="s">
        <v>54</v>
      </c>
      <c r="E214" t="s">
        <v>55</v>
      </c>
      <c r="F214" t="s">
        <v>39</v>
      </c>
      <c r="G214" s="5">
        <v>404</v>
      </c>
      <c r="H214" s="5">
        <v>406</v>
      </c>
      <c r="I214" s="5">
        <v>406</v>
      </c>
      <c r="J214" s="5">
        <v>0</v>
      </c>
      <c r="K214" s="8">
        <f t="shared" si="6"/>
        <v>100.4950495049505</v>
      </c>
      <c r="L214" s="8">
        <f t="shared" si="7"/>
        <v>0</v>
      </c>
      <c r="M214" t="s">
        <v>20</v>
      </c>
      <c r="N214" t="s">
        <v>21</v>
      </c>
    </row>
    <row r="215" spans="1:14" x14ac:dyDescent="0.3">
      <c r="A215" t="s">
        <v>328</v>
      </c>
      <c r="B215" s="2">
        <v>46227</v>
      </c>
      <c r="C215" s="2">
        <v>46231</v>
      </c>
      <c r="D215" s="1" t="s">
        <v>326</v>
      </c>
      <c r="E215" t="s">
        <v>327</v>
      </c>
      <c r="F215" t="s">
        <v>97</v>
      </c>
      <c r="G215" s="5">
        <v>768</v>
      </c>
      <c r="H215" s="5">
        <v>792</v>
      </c>
      <c r="I215" s="5">
        <v>763</v>
      </c>
      <c r="J215" s="5">
        <v>29</v>
      </c>
      <c r="K215" s="8">
        <f t="shared" si="6"/>
        <v>103.125</v>
      </c>
      <c r="L215" s="8">
        <f t="shared" si="7"/>
        <v>3.800786369593709</v>
      </c>
      <c r="M215" t="s">
        <v>20</v>
      </c>
      <c r="N215" t="s">
        <v>21</v>
      </c>
    </row>
    <row r="216" spans="1:14" x14ac:dyDescent="0.3">
      <c r="A216" t="s">
        <v>279</v>
      </c>
      <c r="B216" s="2">
        <v>46228</v>
      </c>
      <c r="C216" s="2">
        <v>46231</v>
      </c>
      <c r="D216" s="1" t="s">
        <v>272</v>
      </c>
      <c r="E216" t="s">
        <v>273</v>
      </c>
      <c r="F216" t="s">
        <v>61</v>
      </c>
      <c r="G216" s="5">
        <v>1729</v>
      </c>
      <c r="H216" s="5">
        <v>1747</v>
      </c>
      <c r="I216" s="5">
        <v>1743</v>
      </c>
      <c r="J216" s="5">
        <v>4</v>
      </c>
      <c r="K216" s="8">
        <f t="shared" si="6"/>
        <v>101.04106419895894</v>
      </c>
      <c r="L216" s="8">
        <f t="shared" si="7"/>
        <v>0.22948938611589212</v>
      </c>
      <c r="M216" t="s">
        <v>20</v>
      </c>
      <c r="N216" t="s">
        <v>21</v>
      </c>
    </row>
    <row r="217" spans="1:14" x14ac:dyDescent="0.3">
      <c r="A217" t="s">
        <v>142</v>
      </c>
      <c r="B217" s="2">
        <v>46228</v>
      </c>
      <c r="C217" s="2">
        <v>46231</v>
      </c>
      <c r="D217" s="1" t="s">
        <v>129</v>
      </c>
      <c r="E217" t="s">
        <v>130</v>
      </c>
      <c r="F217" t="s">
        <v>61</v>
      </c>
      <c r="G217" s="5">
        <v>294</v>
      </c>
      <c r="H217" s="5">
        <v>318</v>
      </c>
      <c r="I217" s="5">
        <v>318</v>
      </c>
      <c r="J217" s="5">
        <v>0</v>
      </c>
      <c r="K217" s="8">
        <f t="shared" si="6"/>
        <v>108.16326530612245</v>
      </c>
      <c r="L217" s="8">
        <f t="shared" si="7"/>
        <v>0</v>
      </c>
      <c r="M217" t="s">
        <v>20</v>
      </c>
      <c r="N217" t="s">
        <v>21</v>
      </c>
    </row>
    <row r="218" spans="1:14" x14ac:dyDescent="0.3">
      <c r="A218" t="s">
        <v>343</v>
      </c>
      <c r="B218" s="2">
        <v>46228</v>
      </c>
      <c r="C218" s="2">
        <v>46231</v>
      </c>
      <c r="D218" s="1" t="s">
        <v>333</v>
      </c>
      <c r="E218" t="s">
        <v>334</v>
      </c>
      <c r="F218" t="s">
        <v>61</v>
      </c>
      <c r="G218" s="5">
        <v>288</v>
      </c>
      <c r="H218" s="5">
        <v>288</v>
      </c>
      <c r="I218" s="5">
        <v>288</v>
      </c>
      <c r="J218" s="5">
        <v>0</v>
      </c>
      <c r="K218" s="8">
        <f t="shared" si="6"/>
        <v>100</v>
      </c>
      <c r="L218" s="8">
        <f t="shared" si="7"/>
        <v>0</v>
      </c>
      <c r="M218" t="s">
        <v>20</v>
      </c>
      <c r="N218" t="s">
        <v>21</v>
      </c>
    </row>
    <row r="219" spans="1:14" x14ac:dyDescent="0.3">
      <c r="A219" t="s">
        <v>120</v>
      </c>
      <c r="B219" s="2">
        <v>46228</v>
      </c>
      <c r="C219" s="2">
        <v>46231</v>
      </c>
      <c r="D219" s="1" t="s">
        <v>102</v>
      </c>
      <c r="E219" t="s">
        <v>103</v>
      </c>
      <c r="F219" t="s">
        <v>61</v>
      </c>
      <c r="G219" s="5">
        <v>142</v>
      </c>
      <c r="H219" s="5">
        <v>146</v>
      </c>
      <c r="I219" s="5">
        <v>146</v>
      </c>
      <c r="J219" s="5">
        <v>0</v>
      </c>
      <c r="K219" s="8">
        <f t="shared" si="6"/>
        <v>102.8169014084507</v>
      </c>
      <c r="L219" s="8">
        <f t="shared" si="7"/>
        <v>0</v>
      </c>
      <c r="M219" t="s">
        <v>20</v>
      </c>
      <c r="N219" t="s">
        <v>21</v>
      </c>
    </row>
    <row r="220" spans="1:14" x14ac:dyDescent="0.3">
      <c r="A220" t="s">
        <v>121</v>
      </c>
      <c r="B220" s="2">
        <v>46228</v>
      </c>
      <c r="C220" s="2">
        <v>46231</v>
      </c>
      <c r="D220" s="1" t="s">
        <v>102</v>
      </c>
      <c r="E220" t="s">
        <v>103</v>
      </c>
      <c r="F220" t="s">
        <v>61</v>
      </c>
      <c r="G220" s="5">
        <v>284</v>
      </c>
      <c r="H220" s="5">
        <v>285</v>
      </c>
      <c r="I220" s="5">
        <v>285</v>
      </c>
      <c r="J220" s="5">
        <v>0</v>
      </c>
      <c r="K220" s="8">
        <f t="shared" si="6"/>
        <v>100.35211267605635</v>
      </c>
      <c r="L220" s="8">
        <f t="shared" si="7"/>
        <v>0</v>
      </c>
      <c r="M220" t="s">
        <v>20</v>
      </c>
      <c r="N220" t="s">
        <v>21</v>
      </c>
    </row>
    <row r="221" spans="1:14" x14ac:dyDescent="0.3">
      <c r="A221" t="s">
        <v>56</v>
      </c>
      <c r="B221" s="2">
        <v>46227</v>
      </c>
      <c r="C221" s="2">
        <v>46231</v>
      </c>
      <c r="D221" s="1" t="s">
        <v>54</v>
      </c>
      <c r="E221" t="s">
        <v>55</v>
      </c>
      <c r="F221" t="s">
        <v>39</v>
      </c>
      <c r="G221" s="5">
        <v>414</v>
      </c>
      <c r="H221" s="5">
        <v>413</v>
      </c>
      <c r="I221" s="5">
        <v>410</v>
      </c>
      <c r="J221" s="5">
        <v>3</v>
      </c>
      <c r="K221" s="8">
        <f t="shared" si="6"/>
        <v>99.758454106280197</v>
      </c>
      <c r="L221" s="8">
        <f t="shared" si="7"/>
        <v>0.73170731707317083</v>
      </c>
      <c r="M221" t="s">
        <v>20</v>
      </c>
      <c r="N221" t="s">
        <v>21</v>
      </c>
    </row>
    <row r="222" spans="1:14" x14ac:dyDescent="0.3">
      <c r="A222" t="s">
        <v>304</v>
      </c>
      <c r="B222" s="2">
        <v>46230</v>
      </c>
      <c r="C222" s="2">
        <v>46231</v>
      </c>
      <c r="D222" s="1" t="s">
        <v>295</v>
      </c>
      <c r="E222" t="s">
        <v>296</v>
      </c>
      <c r="F222" t="s">
        <v>39</v>
      </c>
      <c r="G222" s="5">
        <v>200</v>
      </c>
      <c r="H222" s="5">
        <v>246</v>
      </c>
      <c r="I222" s="5">
        <v>246</v>
      </c>
      <c r="J222" s="5">
        <v>0</v>
      </c>
      <c r="K222" s="8">
        <f t="shared" si="6"/>
        <v>123</v>
      </c>
      <c r="L222" s="8">
        <f t="shared" si="7"/>
        <v>0</v>
      </c>
      <c r="M222" t="s">
        <v>20</v>
      </c>
      <c r="N222" t="s">
        <v>21</v>
      </c>
    </row>
    <row r="223" spans="1:14" x14ac:dyDescent="0.3">
      <c r="A223" t="s">
        <v>383</v>
      </c>
      <c r="B223" s="2">
        <v>46230</v>
      </c>
      <c r="C223" s="2">
        <v>46231</v>
      </c>
      <c r="D223" s="1" t="s">
        <v>380</v>
      </c>
      <c r="E223" t="s">
        <v>381</v>
      </c>
      <c r="F223" t="s">
        <v>39</v>
      </c>
      <c r="G223" s="5">
        <v>808</v>
      </c>
      <c r="H223" s="5">
        <v>820</v>
      </c>
      <c r="I223" s="5">
        <v>811</v>
      </c>
      <c r="J223" s="5">
        <v>9</v>
      </c>
      <c r="K223" s="8">
        <f t="shared" si="6"/>
        <v>101.48514851485149</v>
      </c>
      <c r="L223" s="8">
        <f t="shared" si="7"/>
        <v>1.1097410604192355</v>
      </c>
      <c r="M223" t="s">
        <v>20</v>
      </c>
      <c r="N223" t="s">
        <v>21</v>
      </c>
    </row>
    <row r="224" spans="1:14" x14ac:dyDescent="0.3">
      <c r="A224" t="s">
        <v>180</v>
      </c>
      <c r="B224" s="2">
        <v>46230</v>
      </c>
      <c r="C224" s="2">
        <v>46231</v>
      </c>
      <c r="D224" s="1" t="s">
        <v>178</v>
      </c>
      <c r="E224" t="s">
        <v>179</v>
      </c>
      <c r="F224" t="s">
        <v>97</v>
      </c>
      <c r="G224" s="5">
        <v>300</v>
      </c>
      <c r="H224" s="5">
        <v>306</v>
      </c>
      <c r="I224" s="5">
        <v>304</v>
      </c>
      <c r="J224" s="5">
        <v>2</v>
      </c>
      <c r="K224" s="8">
        <f t="shared" si="6"/>
        <v>102</v>
      </c>
      <c r="L224" s="8">
        <f t="shared" si="7"/>
        <v>0.6578947368421052</v>
      </c>
      <c r="M224" t="s">
        <v>20</v>
      </c>
      <c r="N224" t="s">
        <v>21</v>
      </c>
    </row>
    <row r="225" spans="1:14" x14ac:dyDescent="0.3">
      <c r="A225" t="s">
        <v>324</v>
      </c>
      <c r="B225" s="2">
        <v>46230</v>
      </c>
      <c r="C225" s="2">
        <v>46231</v>
      </c>
      <c r="D225" s="1" t="s">
        <v>316</v>
      </c>
      <c r="E225" t="s">
        <v>317</v>
      </c>
      <c r="F225" t="s">
        <v>97</v>
      </c>
      <c r="G225" s="5">
        <v>100</v>
      </c>
      <c r="H225" s="5">
        <v>110</v>
      </c>
      <c r="I225" s="5">
        <v>110</v>
      </c>
      <c r="J225" s="5">
        <v>0</v>
      </c>
      <c r="K225" s="8">
        <f t="shared" si="6"/>
        <v>110.00000000000001</v>
      </c>
      <c r="L225" s="8">
        <f t="shared" si="7"/>
        <v>0</v>
      </c>
      <c r="M225" t="s">
        <v>20</v>
      </c>
      <c r="N225" t="s">
        <v>21</v>
      </c>
    </row>
    <row r="226" spans="1:14" x14ac:dyDescent="0.3">
      <c r="A226" t="s">
        <v>76</v>
      </c>
      <c r="B226" s="2">
        <v>46230</v>
      </c>
      <c r="C226" s="2">
        <v>46231</v>
      </c>
      <c r="D226" s="1" t="s">
        <v>66</v>
      </c>
      <c r="E226" t="s">
        <v>67</v>
      </c>
      <c r="F226" t="s">
        <v>61</v>
      </c>
      <c r="G226" s="5">
        <v>600</v>
      </c>
      <c r="H226" s="5">
        <v>604</v>
      </c>
      <c r="I226" s="5">
        <v>604</v>
      </c>
      <c r="J226" s="5">
        <v>0</v>
      </c>
      <c r="K226" s="8">
        <f t="shared" si="6"/>
        <v>100.66666666666666</v>
      </c>
      <c r="L226" s="8">
        <f t="shared" si="7"/>
        <v>0</v>
      </c>
      <c r="M226" t="s">
        <v>20</v>
      </c>
      <c r="N226" t="s">
        <v>21</v>
      </c>
    </row>
    <row r="227" spans="1:14" x14ac:dyDescent="0.3">
      <c r="A227" t="s">
        <v>143</v>
      </c>
      <c r="B227" s="2">
        <v>46230</v>
      </c>
      <c r="C227" s="2">
        <v>46231</v>
      </c>
      <c r="D227" s="1" t="s">
        <v>129</v>
      </c>
      <c r="E227" t="s">
        <v>130</v>
      </c>
      <c r="F227" t="s">
        <v>61</v>
      </c>
      <c r="G227" s="5">
        <v>288</v>
      </c>
      <c r="H227" s="5">
        <v>296</v>
      </c>
      <c r="I227" s="5">
        <v>294</v>
      </c>
      <c r="J227" s="5">
        <v>2</v>
      </c>
      <c r="K227" s="8">
        <f t="shared" si="6"/>
        <v>102.77777777777777</v>
      </c>
      <c r="L227" s="8">
        <f t="shared" si="7"/>
        <v>0.68027210884353739</v>
      </c>
      <c r="M227" t="s">
        <v>20</v>
      </c>
      <c r="N227" t="s">
        <v>21</v>
      </c>
    </row>
    <row r="228" spans="1:14" x14ac:dyDescent="0.3">
      <c r="A228" t="s">
        <v>344</v>
      </c>
      <c r="B228" s="2">
        <v>46230</v>
      </c>
      <c r="C228" s="2">
        <v>46231</v>
      </c>
      <c r="D228" s="1" t="s">
        <v>333</v>
      </c>
      <c r="E228" t="s">
        <v>334</v>
      </c>
      <c r="F228" t="s">
        <v>61</v>
      </c>
      <c r="G228" s="5">
        <v>246</v>
      </c>
      <c r="H228" s="5">
        <v>246</v>
      </c>
      <c r="I228" s="5">
        <v>246</v>
      </c>
      <c r="J228" s="5">
        <v>0</v>
      </c>
      <c r="K228" s="8">
        <f t="shared" si="6"/>
        <v>100</v>
      </c>
      <c r="L228" s="8">
        <f t="shared" si="7"/>
        <v>0</v>
      </c>
      <c r="M228" t="s">
        <v>20</v>
      </c>
      <c r="N228" t="s">
        <v>21</v>
      </c>
    </row>
    <row r="229" spans="1:14" x14ac:dyDescent="0.3">
      <c r="A229" t="s">
        <v>314</v>
      </c>
      <c r="B229" s="2">
        <v>46230</v>
      </c>
      <c r="C229" s="2">
        <v>46231</v>
      </c>
      <c r="D229" s="1" t="s">
        <v>311</v>
      </c>
      <c r="E229" t="s">
        <v>312</v>
      </c>
      <c r="F229" t="s">
        <v>61</v>
      </c>
      <c r="G229" s="5">
        <v>150</v>
      </c>
      <c r="H229" s="5">
        <v>187</v>
      </c>
      <c r="I229" s="5">
        <v>171</v>
      </c>
      <c r="J229" s="5">
        <v>16</v>
      </c>
      <c r="K229" s="8">
        <f t="shared" si="6"/>
        <v>124.66666666666666</v>
      </c>
      <c r="L229" s="8">
        <f t="shared" si="7"/>
        <v>9.3567251461988299</v>
      </c>
      <c r="M229" t="s">
        <v>20</v>
      </c>
      <c r="N229" t="s">
        <v>21</v>
      </c>
    </row>
    <row r="230" spans="1:14" x14ac:dyDescent="0.3">
      <c r="A230" t="s">
        <v>122</v>
      </c>
      <c r="B230" s="2">
        <v>46230</v>
      </c>
      <c r="C230" s="2">
        <v>46231</v>
      </c>
      <c r="D230" s="1" t="s">
        <v>102</v>
      </c>
      <c r="E230" t="s">
        <v>103</v>
      </c>
      <c r="F230" t="s">
        <v>61</v>
      </c>
      <c r="G230" s="5">
        <v>120</v>
      </c>
      <c r="H230" s="5">
        <v>124</v>
      </c>
      <c r="I230" s="5">
        <v>124</v>
      </c>
      <c r="J230" s="5">
        <v>0</v>
      </c>
      <c r="K230" s="8">
        <f t="shared" si="6"/>
        <v>103.33333333333334</v>
      </c>
      <c r="L230" s="8">
        <f t="shared" si="7"/>
        <v>0</v>
      </c>
      <c r="M230" t="s">
        <v>20</v>
      </c>
      <c r="N230" t="s">
        <v>21</v>
      </c>
    </row>
    <row r="231" spans="1:14" x14ac:dyDescent="0.3">
      <c r="A231" t="s">
        <v>123</v>
      </c>
      <c r="B231" s="2">
        <v>46230</v>
      </c>
      <c r="C231" s="2">
        <v>46231</v>
      </c>
      <c r="D231" s="1" t="s">
        <v>102</v>
      </c>
      <c r="E231" t="s">
        <v>103</v>
      </c>
      <c r="F231" t="s">
        <v>61</v>
      </c>
      <c r="G231" s="5">
        <v>240</v>
      </c>
      <c r="H231" s="5">
        <v>248</v>
      </c>
      <c r="I231" s="5">
        <v>248</v>
      </c>
      <c r="J231" s="5">
        <v>0</v>
      </c>
      <c r="K231" s="8">
        <f t="shared" si="6"/>
        <v>103.33333333333334</v>
      </c>
      <c r="L231" s="8">
        <f t="shared" si="7"/>
        <v>0</v>
      </c>
      <c r="M231" t="s">
        <v>20</v>
      </c>
      <c r="N231" t="s">
        <v>21</v>
      </c>
    </row>
    <row r="232" spans="1:14" x14ac:dyDescent="0.3">
      <c r="A232" t="s">
        <v>124</v>
      </c>
      <c r="B232" s="2">
        <v>46231</v>
      </c>
      <c r="C232" s="2">
        <v>46231</v>
      </c>
      <c r="D232" s="1" t="s">
        <v>102</v>
      </c>
      <c r="E232" t="s">
        <v>103</v>
      </c>
      <c r="F232" t="s">
        <v>61</v>
      </c>
      <c r="G232" s="5">
        <v>445</v>
      </c>
      <c r="H232" s="5">
        <v>468</v>
      </c>
      <c r="I232" s="5">
        <v>468</v>
      </c>
      <c r="J232" s="5">
        <v>0</v>
      </c>
      <c r="K232" s="8">
        <f t="shared" si="6"/>
        <v>105.16853932584269</v>
      </c>
      <c r="L232" s="8">
        <f t="shared" si="7"/>
        <v>0</v>
      </c>
      <c r="M232" t="s">
        <v>20</v>
      </c>
      <c r="N232" t="s">
        <v>21</v>
      </c>
    </row>
    <row r="233" spans="1:14" x14ac:dyDescent="0.3">
      <c r="A233" t="s">
        <v>365</v>
      </c>
      <c r="B233" s="2">
        <v>46230</v>
      </c>
      <c r="C233" s="2">
        <v>46231</v>
      </c>
      <c r="D233" s="1" t="s">
        <v>355</v>
      </c>
      <c r="E233" t="s">
        <v>356</v>
      </c>
      <c r="F233" t="s">
        <v>97</v>
      </c>
      <c r="G233" s="5">
        <v>22</v>
      </c>
      <c r="H233" s="5">
        <v>22</v>
      </c>
      <c r="I233" s="5">
        <v>18</v>
      </c>
      <c r="J233" s="5">
        <v>4</v>
      </c>
      <c r="K233" s="8">
        <f t="shared" si="6"/>
        <v>100</v>
      </c>
      <c r="L233" s="8">
        <f t="shared" si="7"/>
        <v>22.222222222222221</v>
      </c>
      <c r="M233" t="s">
        <v>20</v>
      </c>
      <c r="N233" t="s">
        <v>21</v>
      </c>
    </row>
    <row r="234" spans="1:14" x14ac:dyDescent="0.3">
      <c r="A234" t="s">
        <v>77</v>
      </c>
      <c r="B234" s="2">
        <v>46230</v>
      </c>
      <c r="C234" s="2">
        <v>46231</v>
      </c>
      <c r="D234" s="1" t="s">
        <v>66</v>
      </c>
      <c r="E234" t="s">
        <v>67</v>
      </c>
      <c r="F234" t="s">
        <v>61</v>
      </c>
      <c r="G234" s="5">
        <v>400</v>
      </c>
      <c r="H234" s="5">
        <v>404</v>
      </c>
      <c r="I234" s="5">
        <v>400</v>
      </c>
      <c r="J234" s="5">
        <v>4</v>
      </c>
      <c r="K234" s="8">
        <f t="shared" si="6"/>
        <v>101</v>
      </c>
      <c r="L234" s="8">
        <f t="shared" si="7"/>
        <v>1</v>
      </c>
      <c r="M234" t="s">
        <v>20</v>
      </c>
      <c r="N234" t="s">
        <v>21</v>
      </c>
    </row>
    <row r="235" spans="1:14" x14ac:dyDescent="0.3">
      <c r="A235" t="s">
        <v>100</v>
      </c>
      <c r="B235" s="2">
        <v>46230</v>
      </c>
      <c r="C235" s="2">
        <v>46231</v>
      </c>
      <c r="D235" s="1" t="s">
        <v>95</v>
      </c>
      <c r="E235" t="s">
        <v>96</v>
      </c>
      <c r="F235" t="s">
        <v>97</v>
      </c>
      <c r="G235" s="5">
        <v>910</v>
      </c>
      <c r="H235" s="5">
        <v>945</v>
      </c>
      <c r="I235" s="5">
        <v>942</v>
      </c>
      <c r="J235" s="5">
        <v>3</v>
      </c>
      <c r="K235" s="8">
        <f t="shared" si="6"/>
        <v>103.84615384615385</v>
      </c>
      <c r="L235" s="8">
        <f t="shared" si="7"/>
        <v>0.31847133757961787</v>
      </c>
      <c r="M235" t="s">
        <v>20</v>
      </c>
      <c r="N235" t="s">
        <v>21</v>
      </c>
    </row>
    <row r="236" spans="1:14" x14ac:dyDescent="0.3">
      <c r="A236" t="s">
        <v>305</v>
      </c>
      <c r="B236" s="2">
        <v>46231</v>
      </c>
      <c r="C236" s="2">
        <v>46231</v>
      </c>
      <c r="D236" s="1" t="s">
        <v>295</v>
      </c>
      <c r="E236" t="s">
        <v>296</v>
      </c>
      <c r="F236" t="s">
        <v>39</v>
      </c>
      <c r="G236" s="5">
        <v>400</v>
      </c>
      <c r="H236" s="5">
        <v>488</v>
      </c>
      <c r="I236" s="5">
        <v>486</v>
      </c>
      <c r="J236" s="5">
        <v>2</v>
      </c>
      <c r="K236" s="8">
        <f t="shared" si="6"/>
        <v>122</v>
      </c>
      <c r="L236" s="8">
        <f t="shared" si="7"/>
        <v>0.41152263374485598</v>
      </c>
      <c r="M236" t="s">
        <v>20</v>
      </c>
      <c r="N236" t="s">
        <v>21</v>
      </c>
    </row>
    <row r="237" spans="1:14" x14ac:dyDescent="0.3">
      <c r="A237" t="s">
        <v>175</v>
      </c>
      <c r="B237" s="2">
        <v>46231</v>
      </c>
      <c r="C237" s="2">
        <v>46231</v>
      </c>
      <c r="D237" s="1" t="s">
        <v>171</v>
      </c>
      <c r="E237" t="s">
        <v>172</v>
      </c>
      <c r="F237" t="s">
        <v>97</v>
      </c>
      <c r="G237" s="5">
        <v>300</v>
      </c>
      <c r="H237" s="5">
        <v>310</v>
      </c>
      <c r="I237" s="5">
        <v>308</v>
      </c>
      <c r="J237" s="5">
        <v>2</v>
      </c>
      <c r="K237" s="8">
        <f t="shared" si="6"/>
        <v>103.33333333333334</v>
      </c>
      <c r="L237" s="8">
        <f t="shared" si="7"/>
        <v>0.64935064935064934</v>
      </c>
      <c r="M237" t="s">
        <v>20</v>
      </c>
      <c r="N237" t="s">
        <v>21</v>
      </c>
    </row>
    <row r="238" spans="1:14" x14ac:dyDescent="0.3">
      <c r="A238" t="s">
        <v>186</v>
      </c>
      <c r="B238" s="2">
        <v>46231</v>
      </c>
      <c r="C238" s="2">
        <v>46231</v>
      </c>
      <c r="D238" s="1" t="s">
        <v>183</v>
      </c>
      <c r="E238" t="s">
        <v>184</v>
      </c>
      <c r="F238" t="s">
        <v>97</v>
      </c>
      <c r="G238" s="5">
        <v>300</v>
      </c>
      <c r="H238" s="5">
        <v>306</v>
      </c>
      <c r="I238" s="5">
        <v>306</v>
      </c>
      <c r="J238" s="5">
        <v>0</v>
      </c>
      <c r="K238" s="8">
        <f t="shared" si="6"/>
        <v>102</v>
      </c>
      <c r="L238" s="8">
        <f t="shared" si="7"/>
        <v>0</v>
      </c>
      <c r="M238" t="s">
        <v>20</v>
      </c>
      <c r="N238" t="s">
        <v>21</v>
      </c>
    </row>
    <row r="239" spans="1:14" x14ac:dyDescent="0.3">
      <c r="A239" t="s">
        <v>168</v>
      </c>
      <c r="B239" s="2">
        <v>46231</v>
      </c>
      <c r="C239" s="2">
        <v>46231</v>
      </c>
      <c r="D239" s="1" t="s">
        <v>164</v>
      </c>
      <c r="E239" t="s">
        <v>165</v>
      </c>
      <c r="F239" t="s">
        <v>97</v>
      </c>
      <c r="G239" s="5">
        <v>300</v>
      </c>
      <c r="H239" s="5">
        <v>307</v>
      </c>
      <c r="I239" s="5">
        <v>305</v>
      </c>
      <c r="J239" s="5">
        <v>2</v>
      </c>
      <c r="K239" s="8">
        <f t="shared" si="6"/>
        <v>102.33333333333334</v>
      </c>
      <c r="L239" s="8">
        <f t="shared" si="7"/>
        <v>0.65573770491803274</v>
      </c>
      <c r="M239" t="s">
        <v>20</v>
      </c>
      <c r="N239" t="s">
        <v>21</v>
      </c>
    </row>
    <row r="240" spans="1:14" x14ac:dyDescent="0.3">
      <c r="A240" t="s">
        <v>144</v>
      </c>
      <c r="B240" s="2">
        <v>46231</v>
      </c>
      <c r="C240" s="2">
        <v>46231</v>
      </c>
      <c r="D240" s="1" t="s">
        <v>129</v>
      </c>
      <c r="E240" t="s">
        <v>130</v>
      </c>
      <c r="F240" t="s">
        <v>61</v>
      </c>
      <c r="G240" s="5">
        <v>306</v>
      </c>
      <c r="H240" s="5">
        <v>300</v>
      </c>
      <c r="I240" s="5">
        <v>300</v>
      </c>
      <c r="J240" s="5">
        <v>0</v>
      </c>
      <c r="K240" s="8">
        <f t="shared" si="6"/>
        <v>98.039215686274503</v>
      </c>
      <c r="L240" s="8">
        <f t="shared" si="7"/>
        <v>0</v>
      </c>
      <c r="M240" t="s">
        <v>20</v>
      </c>
      <c r="N240" t="s">
        <v>21</v>
      </c>
    </row>
    <row r="241" spans="1:14" x14ac:dyDescent="0.3">
      <c r="A241" t="s">
        <v>345</v>
      </c>
      <c r="B241" s="2">
        <v>46231</v>
      </c>
      <c r="C241" s="2">
        <v>46231</v>
      </c>
      <c r="D241" s="1" t="s">
        <v>333</v>
      </c>
      <c r="E241" t="s">
        <v>334</v>
      </c>
      <c r="F241" t="s">
        <v>61</v>
      </c>
      <c r="G241" s="5">
        <v>264</v>
      </c>
      <c r="H241" s="5">
        <v>264</v>
      </c>
      <c r="I241" s="5">
        <v>264</v>
      </c>
      <c r="J241" s="5">
        <v>0</v>
      </c>
      <c r="K241" s="8">
        <f t="shared" si="6"/>
        <v>100</v>
      </c>
      <c r="L241" s="8">
        <f t="shared" si="7"/>
        <v>0</v>
      </c>
      <c r="M241" t="s">
        <v>20</v>
      </c>
      <c r="N241" t="s">
        <v>21</v>
      </c>
    </row>
    <row r="242" spans="1:14" x14ac:dyDescent="0.3">
      <c r="A242" t="s">
        <v>125</v>
      </c>
      <c r="B242" s="2">
        <v>46231</v>
      </c>
      <c r="C242" s="2">
        <v>46231</v>
      </c>
      <c r="D242" s="1" t="s">
        <v>102</v>
      </c>
      <c r="E242" t="s">
        <v>103</v>
      </c>
      <c r="F242" t="s">
        <v>61</v>
      </c>
      <c r="G242" s="5">
        <v>130</v>
      </c>
      <c r="H242" s="5">
        <v>130</v>
      </c>
      <c r="I242" s="5">
        <v>130</v>
      </c>
      <c r="J242" s="5">
        <v>0</v>
      </c>
      <c r="K242" s="8">
        <f t="shared" si="6"/>
        <v>100</v>
      </c>
      <c r="L242" s="8">
        <f t="shared" si="7"/>
        <v>0</v>
      </c>
      <c r="M242" t="s">
        <v>20</v>
      </c>
      <c r="N242" t="s">
        <v>21</v>
      </c>
    </row>
    <row r="243" spans="1:14" x14ac:dyDescent="0.3">
      <c r="A243" t="s">
        <v>126</v>
      </c>
      <c r="B243" s="2">
        <v>46231</v>
      </c>
      <c r="C243" s="2">
        <v>46231</v>
      </c>
      <c r="D243" s="1" t="s">
        <v>102</v>
      </c>
      <c r="E243" t="s">
        <v>103</v>
      </c>
      <c r="F243" t="s">
        <v>61</v>
      </c>
      <c r="G243" s="5">
        <v>260</v>
      </c>
      <c r="H243" s="5">
        <v>260</v>
      </c>
      <c r="I243" s="5">
        <v>260</v>
      </c>
      <c r="J243" s="5">
        <v>0</v>
      </c>
      <c r="K243" s="8">
        <f t="shared" si="6"/>
        <v>100</v>
      </c>
      <c r="L243" s="8">
        <f t="shared" si="7"/>
        <v>0</v>
      </c>
      <c r="M243" t="s">
        <v>20</v>
      </c>
      <c r="N243" t="s">
        <v>21</v>
      </c>
    </row>
    <row r="244" spans="1:14" x14ac:dyDescent="0.3">
      <c r="A244" t="s">
        <v>220</v>
      </c>
      <c r="B244" s="2">
        <v>46228</v>
      </c>
      <c r="C244" s="2">
        <v>46231</v>
      </c>
      <c r="D244" s="1" t="s">
        <v>198</v>
      </c>
      <c r="E244" t="s">
        <v>199</v>
      </c>
      <c r="F244" t="s">
        <v>19</v>
      </c>
      <c r="G244" s="5">
        <v>40</v>
      </c>
      <c r="H244" s="5">
        <v>40</v>
      </c>
      <c r="I244" s="5">
        <v>40</v>
      </c>
      <c r="J244" s="5">
        <v>0</v>
      </c>
      <c r="K244" s="8">
        <f t="shared" si="6"/>
        <v>100</v>
      </c>
      <c r="L244" s="8">
        <f t="shared" si="7"/>
        <v>0</v>
      </c>
      <c r="M244" t="s">
        <v>20</v>
      </c>
      <c r="N244" t="s">
        <v>21</v>
      </c>
    </row>
    <row r="245" spans="1:14" x14ac:dyDescent="0.3">
      <c r="A245" t="s">
        <v>221</v>
      </c>
      <c r="B245" s="2">
        <v>46228</v>
      </c>
      <c r="C245" s="2">
        <v>46231</v>
      </c>
      <c r="D245" s="1" t="s">
        <v>198</v>
      </c>
      <c r="E245" t="s">
        <v>199</v>
      </c>
      <c r="F245" t="s">
        <v>19</v>
      </c>
      <c r="G245" s="5">
        <v>27</v>
      </c>
      <c r="H245" s="5">
        <v>27</v>
      </c>
      <c r="I245" s="5">
        <v>27</v>
      </c>
      <c r="J245" s="5">
        <v>0</v>
      </c>
      <c r="K245" s="8">
        <f t="shared" si="6"/>
        <v>100</v>
      </c>
      <c r="L245" s="8">
        <f t="shared" si="7"/>
        <v>0</v>
      </c>
      <c r="M245" t="s">
        <v>20</v>
      </c>
      <c r="N245" t="s">
        <v>21</v>
      </c>
    </row>
    <row r="246" spans="1:14" x14ac:dyDescent="0.3">
      <c r="A246" t="s">
        <v>16</v>
      </c>
      <c r="B246" s="2">
        <v>46228</v>
      </c>
      <c r="C246" s="2">
        <v>46231</v>
      </c>
      <c r="D246" s="1" t="s">
        <v>17</v>
      </c>
      <c r="E246" t="s">
        <v>18</v>
      </c>
      <c r="F246" t="s">
        <v>19</v>
      </c>
      <c r="G246" s="5">
        <v>44</v>
      </c>
      <c r="H246" s="5">
        <v>44</v>
      </c>
      <c r="I246" s="5">
        <v>44</v>
      </c>
      <c r="J246" s="5">
        <v>0</v>
      </c>
      <c r="K246" s="8">
        <f t="shared" si="6"/>
        <v>100</v>
      </c>
      <c r="L246" s="8">
        <f t="shared" si="7"/>
        <v>0</v>
      </c>
      <c r="M246" t="s">
        <v>20</v>
      </c>
      <c r="N246" t="s">
        <v>21</v>
      </c>
    </row>
    <row r="247" spans="1:14" x14ac:dyDescent="0.3">
      <c r="A247" t="s">
        <v>92</v>
      </c>
      <c r="B247" s="2">
        <v>46230</v>
      </c>
      <c r="C247" s="2">
        <v>46231</v>
      </c>
      <c r="D247" s="1" t="s">
        <v>85</v>
      </c>
      <c r="E247" t="s">
        <v>86</v>
      </c>
      <c r="F247" t="s">
        <v>19</v>
      </c>
      <c r="G247" s="5">
        <v>95</v>
      </c>
      <c r="H247" s="5">
        <v>95</v>
      </c>
      <c r="I247" s="5">
        <v>95</v>
      </c>
      <c r="J247" s="5">
        <v>0</v>
      </c>
      <c r="K247" s="8">
        <f t="shared" si="6"/>
        <v>100</v>
      </c>
      <c r="L247" s="8">
        <f t="shared" si="7"/>
        <v>0</v>
      </c>
      <c r="M247" t="s">
        <v>20</v>
      </c>
      <c r="N247" t="s">
        <v>21</v>
      </c>
    </row>
    <row r="248" spans="1:14" x14ac:dyDescent="0.3">
      <c r="A248" t="s">
        <v>223</v>
      </c>
      <c r="B248" s="2">
        <v>46230</v>
      </c>
      <c r="C248" s="2">
        <v>46231</v>
      </c>
      <c r="D248" s="1" t="s">
        <v>198</v>
      </c>
      <c r="E248" t="s">
        <v>199</v>
      </c>
      <c r="F248" t="s">
        <v>19</v>
      </c>
      <c r="G248" s="5">
        <v>26</v>
      </c>
      <c r="H248" s="5">
        <v>26</v>
      </c>
      <c r="I248" s="5">
        <v>26</v>
      </c>
      <c r="J248" s="5">
        <v>0</v>
      </c>
      <c r="K248" s="8">
        <f t="shared" si="6"/>
        <v>100</v>
      </c>
      <c r="L248" s="8">
        <f t="shared" si="7"/>
        <v>0</v>
      </c>
      <c r="M248" t="s">
        <v>20</v>
      </c>
      <c r="N248" t="s">
        <v>21</v>
      </c>
    </row>
    <row r="249" spans="1:14" x14ac:dyDescent="0.3">
      <c r="A249" t="s">
        <v>224</v>
      </c>
      <c r="B249" s="2">
        <v>46231</v>
      </c>
      <c r="C249" s="2">
        <v>46231</v>
      </c>
      <c r="D249" s="1" t="s">
        <v>198</v>
      </c>
      <c r="E249" t="s">
        <v>199</v>
      </c>
      <c r="F249" t="s">
        <v>19</v>
      </c>
      <c r="G249" s="5">
        <v>36</v>
      </c>
      <c r="H249" s="5">
        <v>36</v>
      </c>
      <c r="I249" s="5">
        <v>36</v>
      </c>
      <c r="J249" s="5">
        <v>0</v>
      </c>
      <c r="K249" s="8">
        <f t="shared" si="6"/>
        <v>100</v>
      </c>
      <c r="L249" s="8">
        <f t="shared" si="7"/>
        <v>0</v>
      </c>
      <c r="M249" t="s">
        <v>20</v>
      </c>
      <c r="N249" t="s">
        <v>21</v>
      </c>
    </row>
    <row r="250" spans="1:14" x14ac:dyDescent="0.3">
      <c r="A250" t="s">
        <v>225</v>
      </c>
      <c r="B250" s="2">
        <v>46231</v>
      </c>
      <c r="C250" s="2">
        <v>46231</v>
      </c>
      <c r="D250" s="1" t="s">
        <v>198</v>
      </c>
      <c r="E250" t="s">
        <v>199</v>
      </c>
      <c r="F250" t="s">
        <v>19</v>
      </c>
      <c r="G250" s="5">
        <v>27</v>
      </c>
      <c r="H250" s="5">
        <v>27</v>
      </c>
      <c r="I250" s="5">
        <v>27</v>
      </c>
      <c r="J250" s="5">
        <v>0</v>
      </c>
      <c r="K250" s="8">
        <f t="shared" si="6"/>
        <v>100</v>
      </c>
      <c r="L250" s="8">
        <f t="shared" si="7"/>
        <v>0</v>
      </c>
      <c r="M250" t="s">
        <v>20</v>
      </c>
      <c r="N250" t="s">
        <v>21</v>
      </c>
    </row>
    <row r="251" spans="1:14" x14ac:dyDescent="0.3">
      <c r="A251" t="s">
        <v>248</v>
      </c>
      <c r="B251" s="2">
        <v>46228</v>
      </c>
      <c r="C251" s="2">
        <v>46231</v>
      </c>
      <c r="D251" s="1" t="s">
        <v>245</v>
      </c>
      <c r="E251" t="s">
        <v>246</v>
      </c>
      <c r="F251" t="s">
        <v>19</v>
      </c>
      <c r="G251" s="5">
        <v>42</v>
      </c>
      <c r="H251" s="5">
        <v>42</v>
      </c>
      <c r="I251" s="5">
        <v>42</v>
      </c>
      <c r="J251" s="5">
        <v>0</v>
      </c>
      <c r="K251" s="8">
        <f t="shared" si="6"/>
        <v>100</v>
      </c>
      <c r="L251" s="8">
        <f t="shared" si="7"/>
        <v>0</v>
      </c>
      <c r="M251" t="s">
        <v>20</v>
      </c>
      <c r="N251" t="s">
        <v>21</v>
      </c>
    </row>
    <row r="252" spans="1:14" x14ac:dyDescent="0.3">
      <c r="A252" t="s">
        <v>83</v>
      </c>
      <c r="B252" s="2">
        <v>46228</v>
      </c>
      <c r="C252" s="2">
        <v>46231</v>
      </c>
      <c r="D252" s="1" t="s">
        <v>81</v>
      </c>
      <c r="E252" t="s">
        <v>82</v>
      </c>
      <c r="F252" t="s">
        <v>19</v>
      </c>
      <c r="G252" s="5">
        <v>1000</v>
      </c>
      <c r="H252" s="5">
        <v>1000</v>
      </c>
      <c r="I252" s="5">
        <v>1000</v>
      </c>
      <c r="J252" s="5">
        <v>0</v>
      </c>
      <c r="K252" s="8">
        <f t="shared" si="6"/>
        <v>100</v>
      </c>
      <c r="L252" s="8">
        <f t="shared" si="7"/>
        <v>0</v>
      </c>
      <c r="M252" t="s">
        <v>20</v>
      </c>
      <c r="N252" t="s">
        <v>21</v>
      </c>
    </row>
    <row r="253" spans="1:14" x14ac:dyDescent="0.3">
      <c r="A253" t="s">
        <v>263</v>
      </c>
      <c r="B253" s="2">
        <v>46230</v>
      </c>
      <c r="C253" s="2">
        <v>46231</v>
      </c>
      <c r="D253" s="1" t="s">
        <v>256</v>
      </c>
      <c r="E253" t="s">
        <v>257</v>
      </c>
      <c r="F253" t="s">
        <v>19</v>
      </c>
      <c r="G253" s="5">
        <v>315</v>
      </c>
      <c r="H253" s="5">
        <v>315</v>
      </c>
      <c r="I253" s="5">
        <v>315</v>
      </c>
      <c r="J253" s="5">
        <v>0</v>
      </c>
      <c r="K253" s="8">
        <f t="shared" si="6"/>
        <v>100</v>
      </c>
      <c r="L253" s="8">
        <f t="shared" si="7"/>
        <v>0</v>
      </c>
      <c r="M253" t="s">
        <v>20</v>
      </c>
      <c r="N253" t="s">
        <v>21</v>
      </c>
    </row>
    <row r="254" spans="1:14" x14ac:dyDescent="0.3">
      <c r="A254" t="s">
        <v>240</v>
      </c>
      <c r="B254" s="2">
        <v>46230</v>
      </c>
      <c r="C254" s="2">
        <v>46231</v>
      </c>
      <c r="D254" s="1" t="s">
        <v>232</v>
      </c>
      <c r="E254" t="s">
        <v>233</v>
      </c>
      <c r="F254" t="s">
        <v>19</v>
      </c>
      <c r="G254" s="5">
        <v>36</v>
      </c>
      <c r="H254" s="5">
        <v>36</v>
      </c>
      <c r="I254" s="5">
        <v>36</v>
      </c>
      <c r="J254" s="5">
        <v>0</v>
      </c>
      <c r="K254" s="8">
        <f t="shared" si="6"/>
        <v>100</v>
      </c>
      <c r="L254" s="8">
        <f t="shared" si="7"/>
        <v>0</v>
      </c>
      <c r="M254" t="s">
        <v>20</v>
      </c>
      <c r="N254" t="s">
        <v>21</v>
      </c>
    </row>
    <row r="255" spans="1:14" x14ac:dyDescent="0.3">
      <c r="A255" t="s">
        <v>241</v>
      </c>
      <c r="B255" s="2">
        <v>46231</v>
      </c>
      <c r="C255" s="2">
        <v>46231</v>
      </c>
      <c r="D255" s="1" t="s">
        <v>232</v>
      </c>
      <c r="E255" t="s">
        <v>233</v>
      </c>
      <c r="F255" t="s">
        <v>19</v>
      </c>
      <c r="G255" s="5">
        <v>38</v>
      </c>
      <c r="H255" s="5">
        <v>38</v>
      </c>
      <c r="I255" s="5">
        <v>38</v>
      </c>
      <c r="J255" s="5">
        <v>0</v>
      </c>
      <c r="K255" s="8">
        <f t="shared" si="6"/>
        <v>100</v>
      </c>
      <c r="L255" s="8">
        <f t="shared" si="7"/>
        <v>0</v>
      </c>
      <c r="M255" t="s">
        <v>20</v>
      </c>
      <c r="N255" t="s">
        <v>21</v>
      </c>
    </row>
    <row r="256" spans="1:14" x14ac:dyDescent="0.3">
      <c r="A256" t="s">
        <v>243</v>
      </c>
      <c r="B256" s="2">
        <v>46231</v>
      </c>
      <c r="C256" s="2">
        <v>46231</v>
      </c>
      <c r="D256" s="1" t="s">
        <v>232</v>
      </c>
      <c r="E256" t="s">
        <v>233</v>
      </c>
      <c r="F256" t="s">
        <v>19</v>
      </c>
      <c r="G256" s="5">
        <v>42</v>
      </c>
      <c r="H256" s="5">
        <v>42</v>
      </c>
      <c r="I256" s="5">
        <v>42</v>
      </c>
      <c r="J256" s="5">
        <v>0</v>
      </c>
      <c r="K256" s="8">
        <f t="shared" si="6"/>
        <v>100</v>
      </c>
      <c r="L256" s="8">
        <f t="shared" si="7"/>
        <v>0</v>
      </c>
      <c r="M256" t="s">
        <v>20</v>
      </c>
      <c r="N256" t="s">
        <v>21</v>
      </c>
    </row>
    <row r="257" spans="1:14" x14ac:dyDescent="0.3">
      <c r="A257" t="s">
        <v>22</v>
      </c>
      <c r="B257" s="2">
        <v>46213</v>
      </c>
      <c r="C257" s="2">
        <v>46231</v>
      </c>
      <c r="D257" s="1" t="s">
        <v>23</v>
      </c>
      <c r="E257" t="s">
        <v>24</v>
      </c>
      <c r="F257" t="s">
        <v>19</v>
      </c>
      <c r="G257" s="5">
        <v>544</v>
      </c>
      <c r="H257" s="5">
        <v>544</v>
      </c>
      <c r="I257" s="5">
        <v>544</v>
      </c>
      <c r="J257" s="5">
        <v>0</v>
      </c>
      <c r="K257" s="8">
        <f t="shared" si="6"/>
        <v>100</v>
      </c>
      <c r="L257" s="8">
        <f t="shared" si="7"/>
        <v>0</v>
      </c>
      <c r="M257" t="s">
        <v>20</v>
      </c>
      <c r="N257" t="s">
        <v>21</v>
      </c>
    </row>
    <row r="258" spans="1:14" x14ac:dyDescent="0.3">
      <c r="A258" t="s">
        <v>375</v>
      </c>
      <c r="B258" s="2">
        <v>46231</v>
      </c>
      <c r="C258" s="2">
        <v>46232</v>
      </c>
      <c r="D258" s="1" t="s">
        <v>376</v>
      </c>
      <c r="E258" t="s">
        <v>377</v>
      </c>
      <c r="F258" t="s">
        <v>39</v>
      </c>
      <c r="G258" s="5">
        <v>310</v>
      </c>
      <c r="H258" s="5">
        <v>310</v>
      </c>
      <c r="I258" s="5">
        <v>305</v>
      </c>
      <c r="J258" s="5">
        <v>5</v>
      </c>
      <c r="K258" s="8">
        <f t="shared" si="6"/>
        <v>100</v>
      </c>
      <c r="L258" s="8">
        <f t="shared" si="7"/>
        <v>1.639344262295082</v>
      </c>
      <c r="M258" t="s">
        <v>20</v>
      </c>
      <c r="N258" t="s">
        <v>21</v>
      </c>
    </row>
    <row r="259" spans="1:14" x14ac:dyDescent="0.3">
      <c r="A259" t="s">
        <v>384</v>
      </c>
      <c r="B259" s="2">
        <v>46231</v>
      </c>
      <c r="C259" s="2">
        <v>46232</v>
      </c>
      <c r="D259" s="1" t="s">
        <v>380</v>
      </c>
      <c r="E259" t="s">
        <v>381</v>
      </c>
      <c r="F259" t="s">
        <v>39</v>
      </c>
      <c r="G259" s="5">
        <v>606</v>
      </c>
      <c r="H259" s="5">
        <v>615</v>
      </c>
      <c r="I259" s="5">
        <v>611</v>
      </c>
      <c r="J259" s="5">
        <v>4</v>
      </c>
      <c r="K259" s="8">
        <f t="shared" si="6"/>
        <v>101.48514851485149</v>
      </c>
      <c r="L259" s="8">
        <f t="shared" si="7"/>
        <v>0.65466448445171854</v>
      </c>
      <c r="M259" t="s">
        <v>20</v>
      </c>
      <c r="N259" t="s">
        <v>21</v>
      </c>
    </row>
    <row r="260" spans="1:14" x14ac:dyDescent="0.3">
      <c r="A260" t="s">
        <v>293</v>
      </c>
      <c r="B260" s="2">
        <v>46231</v>
      </c>
      <c r="C260" s="2">
        <v>46232</v>
      </c>
      <c r="D260" s="1" t="s">
        <v>289</v>
      </c>
      <c r="E260" t="s">
        <v>290</v>
      </c>
      <c r="F260" t="s">
        <v>97</v>
      </c>
      <c r="G260" s="5">
        <v>624</v>
      </c>
      <c r="H260" s="5">
        <v>648</v>
      </c>
      <c r="I260" s="5">
        <v>645</v>
      </c>
      <c r="J260" s="5">
        <v>3</v>
      </c>
      <c r="K260" s="8">
        <f t="shared" ref="K260:K290" si="8">(H260/G260)*100</f>
        <v>103.84615384615385</v>
      </c>
      <c r="L260" s="8">
        <f t="shared" ref="L260:L290" si="9">((H260-I260)/I260)*100</f>
        <v>0.46511627906976744</v>
      </c>
      <c r="M260" t="s">
        <v>20</v>
      </c>
      <c r="N260" t="s">
        <v>21</v>
      </c>
    </row>
    <row r="261" spans="1:14" x14ac:dyDescent="0.3">
      <c r="A261" t="s">
        <v>195</v>
      </c>
      <c r="B261" s="2">
        <v>46231</v>
      </c>
      <c r="C261" s="2">
        <v>46232</v>
      </c>
      <c r="D261" s="1" t="s">
        <v>189</v>
      </c>
      <c r="E261" t="s">
        <v>190</v>
      </c>
      <c r="F261" t="s">
        <v>97</v>
      </c>
      <c r="G261" s="5">
        <v>300</v>
      </c>
      <c r="H261" s="5">
        <v>319</v>
      </c>
      <c r="I261" s="5">
        <v>313</v>
      </c>
      <c r="J261" s="5">
        <v>6</v>
      </c>
      <c r="K261" s="8">
        <f t="shared" si="8"/>
        <v>106.33333333333333</v>
      </c>
      <c r="L261" s="8">
        <f t="shared" si="9"/>
        <v>1.9169329073482428</v>
      </c>
      <c r="M261" t="s">
        <v>20</v>
      </c>
      <c r="N261" t="s">
        <v>21</v>
      </c>
    </row>
    <row r="262" spans="1:14" x14ac:dyDescent="0.3">
      <c r="A262" t="s">
        <v>374</v>
      </c>
      <c r="B262" s="2">
        <v>46231</v>
      </c>
      <c r="C262" s="2">
        <v>46232</v>
      </c>
      <c r="D262" s="1" t="s">
        <v>370</v>
      </c>
      <c r="E262" t="s">
        <v>371</v>
      </c>
      <c r="F262" t="s">
        <v>97</v>
      </c>
      <c r="G262" s="5">
        <v>22</v>
      </c>
      <c r="H262" s="5">
        <v>22</v>
      </c>
      <c r="I262" s="5">
        <v>20</v>
      </c>
      <c r="J262" s="5">
        <v>2</v>
      </c>
      <c r="K262" s="8">
        <f t="shared" si="8"/>
        <v>100</v>
      </c>
      <c r="L262" s="8">
        <f t="shared" si="9"/>
        <v>10</v>
      </c>
      <c r="M262" t="s">
        <v>20</v>
      </c>
      <c r="N262" t="s">
        <v>21</v>
      </c>
    </row>
    <row r="263" spans="1:14" x14ac:dyDescent="0.3">
      <c r="A263" t="s">
        <v>366</v>
      </c>
      <c r="B263" s="2">
        <v>46231</v>
      </c>
      <c r="C263" s="2">
        <v>46232</v>
      </c>
      <c r="D263" s="1" t="s">
        <v>367</v>
      </c>
      <c r="E263" t="s">
        <v>368</v>
      </c>
      <c r="F263" t="s">
        <v>97</v>
      </c>
      <c r="G263" s="5">
        <v>23</v>
      </c>
      <c r="H263" s="5">
        <v>26</v>
      </c>
      <c r="I263" s="5">
        <v>26</v>
      </c>
      <c r="J263" s="5">
        <v>0</v>
      </c>
      <c r="K263" s="8">
        <f t="shared" si="8"/>
        <v>113.04347826086956</v>
      </c>
      <c r="L263" s="8">
        <f t="shared" si="9"/>
        <v>0</v>
      </c>
      <c r="M263" t="s">
        <v>20</v>
      </c>
      <c r="N263" t="s">
        <v>21</v>
      </c>
    </row>
    <row r="264" spans="1:14" x14ac:dyDescent="0.3">
      <c r="A264" t="s">
        <v>329</v>
      </c>
      <c r="B264" s="2">
        <v>46231</v>
      </c>
      <c r="C264" s="2">
        <v>46232</v>
      </c>
      <c r="D264" s="1" t="s">
        <v>330</v>
      </c>
      <c r="E264" t="s">
        <v>331</v>
      </c>
      <c r="F264" t="s">
        <v>97</v>
      </c>
      <c r="G264" s="5">
        <v>78</v>
      </c>
      <c r="H264" s="5">
        <v>78</v>
      </c>
      <c r="I264" s="5">
        <v>77</v>
      </c>
      <c r="J264" s="5">
        <v>1</v>
      </c>
      <c r="K264" s="8">
        <f t="shared" si="8"/>
        <v>100</v>
      </c>
      <c r="L264" s="8">
        <f t="shared" si="9"/>
        <v>1.2987012987012987</v>
      </c>
      <c r="M264" t="s">
        <v>20</v>
      </c>
      <c r="N264" t="s">
        <v>21</v>
      </c>
    </row>
    <row r="265" spans="1:14" x14ac:dyDescent="0.3">
      <c r="A265" t="s">
        <v>280</v>
      </c>
      <c r="B265" s="2">
        <v>46231</v>
      </c>
      <c r="C265" s="2">
        <v>46232</v>
      </c>
      <c r="D265" s="1" t="s">
        <v>281</v>
      </c>
      <c r="E265" t="s">
        <v>282</v>
      </c>
      <c r="F265" t="s">
        <v>97</v>
      </c>
      <c r="G265" s="5">
        <v>576</v>
      </c>
      <c r="H265" s="5">
        <v>576</v>
      </c>
      <c r="I265" s="5">
        <v>575</v>
      </c>
      <c r="J265" s="5">
        <v>1</v>
      </c>
      <c r="K265" s="8">
        <f t="shared" si="8"/>
        <v>100</v>
      </c>
      <c r="L265" s="8">
        <f t="shared" si="9"/>
        <v>0.17391304347826086</v>
      </c>
      <c r="M265" t="s">
        <v>20</v>
      </c>
      <c r="N265" t="s">
        <v>21</v>
      </c>
    </row>
    <row r="266" spans="1:14" x14ac:dyDescent="0.3">
      <c r="A266" t="s">
        <v>78</v>
      </c>
      <c r="B266" s="2">
        <v>46231</v>
      </c>
      <c r="C266" s="2">
        <v>46232</v>
      </c>
      <c r="D266" s="1" t="s">
        <v>66</v>
      </c>
      <c r="E266" t="s">
        <v>67</v>
      </c>
      <c r="F266" t="s">
        <v>61</v>
      </c>
      <c r="G266" s="5">
        <v>800</v>
      </c>
      <c r="H266" s="5">
        <v>816</v>
      </c>
      <c r="I266" s="5">
        <v>816</v>
      </c>
      <c r="J266" s="5">
        <v>0</v>
      </c>
      <c r="K266" s="8">
        <f t="shared" si="8"/>
        <v>102</v>
      </c>
      <c r="L266" s="8">
        <f t="shared" si="9"/>
        <v>0</v>
      </c>
      <c r="M266" t="s">
        <v>20</v>
      </c>
      <c r="N266" t="s">
        <v>21</v>
      </c>
    </row>
    <row r="267" spans="1:14" x14ac:dyDescent="0.3">
      <c r="A267" t="s">
        <v>347</v>
      </c>
      <c r="B267" s="2">
        <v>46231</v>
      </c>
      <c r="C267" s="2">
        <v>46232</v>
      </c>
      <c r="D267" s="1" t="s">
        <v>348</v>
      </c>
      <c r="E267" t="s">
        <v>349</v>
      </c>
      <c r="F267" t="s">
        <v>61</v>
      </c>
      <c r="G267" s="5">
        <v>600</v>
      </c>
      <c r="H267" s="5">
        <v>589</v>
      </c>
      <c r="I267" s="5">
        <v>588</v>
      </c>
      <c r="J267" s="5">
        <v>1</v>
      </c>
      <c r="K267" s="8">
        <f t="shared" si="8"/>
        <v>98.166666666666671</v>
      </c>
      <c r="L267" s="8">
        <f t="shared" si="9"/>
        <v>0.17006802721088435</v>
      </c>
      <c r="M267" t="s">
        <v>20</v>
      </c>
      <c r="N267" t="s">
        <v>21</v>
      </c>
    </row>
    <row r="268" spans="1:14" x14ac:dyDescent="0.3">
      <c r="A268" t="s">
        <v>390</v>
      </c>
      <c r="B268" s="2">
        <v>46231</v>
      </c>
      <c r="C268" s="2">
        <v>46232</v>
      </c>
      <c r="D268" s="1" t="s">
        <v>386</v>
      </c>
      <c r="E268" t="s">
        <v>387</v>
      </c>
      <c r="F268" t="s">
        <v>61</v>
      </c>
      <c r="G268" s="5">
        <v>300</v>
      </c>
      <c r="H268" s="5">
        <v>310</v>
      </c>
      <c r="I268" s="5">
        <v>306</v>
      </c>
      <c r="J268" s="5">
        <v>4</v>
      </c>
      <c r="K268" s="8">
        <f t="shared" si="8"/>
        <v>103.33333333333334</v>
      </c>
      <c r="L268" s="8">
        <f t="shared" si="9"/>
        <v>1.3071895424836601</v>
      </c>
      <c r="M268" t="s">
        <v>20</v>
      </c>
      <c r="N268" t="s">
        <v>21</v>
      </c>
    </row>
    <row r="269" spans="1:14" x14ac:dyDescent="0.3">
      <c r="A269" t="s">
        <v>306</v>
      </c>
      <c r="B269" s="2">
        <v>46232</v>
      </c>
      <c r="C269" s="2">
        <v>46232</v>
      </c>
      <c r="D269" s="1" t="s">
        <v>295</v>
      </c>
      <c r="E269" t="s">
        <v>296</v>
      </c>
      <c r="F269" t="s">
        <v>39</v>
      </c>
      <c r="G269" s="5">
        <v>200</v>
      </c>
      <c r="H269" s="5">
        <v>237</v>
      </c>
      <c r="I269" s="5">
        <v>236</v>
      </c>
      <c r="J269" s="5">
        <v>1</v>
      </c>
      <c r="K269" s="8">
        <f t="shared" si="8"/>
        <v>118.5</v>
      </c>
      <c r="L269" s="8">
        <f t="shared" si="9"/>
        <v>0.42372881355932202</v>
      </c>
      <c r="M269" t="s">
        <v>20</v>
      </c>
      <c r="N269" t="s">
        <v>21</v>
      </c>
    </row>
    <row r="270" spans="1:14" x14ac:dyDescent="0.3">
      <c r="A270" t="s">
        <v>169</v>
      </c>
      <c r="B270" s="2">
        <v>46232</v>
      </c>
      <c r="C270" s="2">
        <v>46232</v>
      </c>
      <c r="D270" s="1" t="s">
        <v>164</v>
      </c>
      <c r="E270" t="s">
        <v>165</v>
      </c>
      <c r="F270" t="s">
        <v>97</v>
      </c>
      <c r="G270" s="5">
        <v>225</v>
      </c>
      <c r="H270" s="5">
        <v>231</v>
      </c>
      <c r="I270" s="5">
        <v>229</v>
      </c>
      <c r="J270" s="5">
        <v>2</v>
      </c>
      <c r="K270" s="8">
        <f t="shared" si="8"/>
        <v>102.66666666666666</v>
      </c>
      <c r="L270" s="8">
        <f t="shared" si="9"/>
        <v>0.87336244541484709</v>
      </c>
      <c r="M270" t="s">
        <v>20</v>
      </c>
      <c r="N270" t="s">
        <v>21</v>
      </c>
    </row>
    <row r="271" spans="1:14" x14ac:dyDescent="0.3">
      <c r="A271" t="s">
        <v>145</v>
      </c>
      <c r="B271" s="2">
        <v>46232</v>
      </c>
      <c r="C271" s="2">
        <v>46232</v>
      </c>
      <c r="D271" s="1" t="s">
        <v>129</v>
      </c>
      <c r="E271" t="s">
        <v>130</v>
      </c>
      <c r="F271" t="s">
        <v>61</v>
      </c>
      <c r="G271" s="5">
        <v>318</v>
      </c>
      <c r="H271" s="5">
        <v>304</v>
      </c>
      <c r="I271" s="5">
        <v>300</v>
      </c>
      <c r="J271" s="5">
        <v>4</v>
      </c>
      <c r="K271" s="8">
        <f t="shared" si="8"/>
        <v>95.59748427672956</v>
      </c>
      <c r="L271" s="8">
        <f t="shared" si="9"/>
        <v>1.3333333333333335</v>
      </c>
      <c r="M271" t="s">
        <v>20</v>
      </c>
      <c r="N271" t="s">
        <v>21</v>
      </c>
    </row>
    <row r="272" spans="1:14" x14ac:dyDescent="0.3">
      <c r="A272" t="s">
        <v>187</v>
      </c>
      <c r="B272" s="2">
        <v>46232</v>
      </c>
      <c r="C272" s="2">
        <v>46232</v>
      </c>
      <c r="D272" s="1" t="s">
        <v>183</v>
      </c>
      <c r="E272" t="s">
        <v>184</v>
      </c>
      <c r="F272" t="s">
        <v>97</v>
      </c>
      <c r="G272" s="5">
        <v>150</v>
      </c>
      <c r="H272" s="5">
        <v>152</v>
      </c>
      <c r="I272" s="5">
        <v>152</v>
      </c>
      <c r="J272" s="5">
        <v>0</v>
      </c>
      <c r="K272" s="8">
        <f t="shared" si="8"/>
        <v>101.33333333333334</v>
      </c>
      <c r="L272" s="8">
        <f t="shared" si="9"/>
        <v>0</v>
      </c>
      <c r="M272" t="s">
        <v>20</v>
      </c>
      <c r="N272" t="s">
        <v>21</v>
      </c>
    </row>
    <row r="273" spans="1:14" x14ac:dyDescent="0.3">
      <c r="A273" t="s">
        <v>93</v>
      </c>
      <c r="B273" s="2">
        <v>46232</v>
      </c>
      <c r="C273" s="2">
        <v>46232</v>
      </c>
      <c r="D273" s="1" t="s">
        <v>85</v>
      </c>
      <c r="E273" t="s">
        <v>86</v>
      </c>
      <c r="F273" t="s">
        <v>19</v>
      </c>
      <c r="G273" s="5">
        <v>113</v>
      </c>
      <c r="H273" s="5">
        <v>113</v>
      </c>
      <c r="I273" s="5">
        <v>113</v>
      </c>
      <c r="J273" s="5">
        <v>0</v>
      </c>
      <c r="K273" s="8">
        <f t="shared" si="8"/>
        <v>100</v>
      </c>
      <c r="L273" s="8">
        <f t="shared" si="9"/>
        <v>0</v>
      </c>
      <c r="M273" t="s">
        <v>20</v>
      </c>
      <c r="N273" t="s">
        <v>21</v>
      </c>
    </row>
    <row r="274" spans="1:14" x14ac:dyDescent="0.3">
      <c r="A274" t="s">
        <v>226</v>
      </c>
      <c r="B274" s="2">
        <v>46232</v>
      </c>
      <c r="C274" s="2">
        <v>46232</v>
      </c>
      <c r="D274" s="1" t="s">
        <v>198</v>
      </c>
      <c r="E274" t="s">
        <v>199</v>
      </c>
      <c r="F274" t="s">
        <v>19</v>
      </c>
      <c r="G274" s="5">
        <v>42</v>
      </c>
      <c r="H274" s="5">
        <v>42</v>
      </c>
      <c r="I274" s="5">
        <v>42</v>
      </c>
      <c r="J274" s="5">
        <v>0</v>
      </c>
      <c r="K274" s="8">
        <f t="shared" si="8"/>
        <v>100</v>
      </c>
      <c r="L274" s="8">
        <f t="shared" si="9"/>
        <v>0</v>
      </c>
      <c r="M274" t="s">
        <v>20</v>
      </c>
      <c r="N274" t="s">
        <v>21</v>
      </c>
    </row>
    <row r="275" spans="1:14" x14ac:dyDescent="0.3">
      <c r="A275" t="s">
        <v>227</v>
      </c>
      <c r="B275" s="2">
        <v>46232</v>
      </c>
      <c r="C275" s="2">
        <v>46232</v>
      </c>
      <c r="D275" s="1" t="s">
        <v>198</v>
      </c>
      <c r="E275" t="s">
        <v>199</v>
      </c>
      <c r="F275" t="s">
        <v>19</v>
      </c>
      <c r="G275" s="5">
        <v>28</v>
      </c>
      <c r="H275" s="5">
        <v>28</v>
      </c>
      <c r="I275" s="5">
        <v>28</v>
      </c>
      <c r="J275" s="5">
        <v>0</v>
      </c>
      <c r="K275" s="8">
        <f t="shared" si="8"/>
        <v>100</v>
      </c>
      <c r="L275" s="8">
        <f t="shared" si="9"/>
        <v>0</v>
      </c>
      <c r="M275" t="s">
        <v>20</v>
      </c>
      <c r="N275" t="s">
        <v>21</v>
      </c>
    </row>
    <row r="276" spans="1:14" x14ac:dyDescent="0.3">
      <c r="A276" t="s">
        <v>264</v>
      </c>
      <c r="B276" s="2">
        <v>46232</v>
      </c>
      <c r="C276" s="2">
        <v>46232</v>
      </c>
      <c r="D276" s="1" t="s">
        <v>256</v>
      </c>
      <c r="E276" t="s">
        <v>257</v>
      </c>
      <c r="F276" t="s">
        <v>19</v>
      </c>
      <c r="G276" s="5">
        <v>379</v>
      </c>
      <c r="H276" s="5">
        <v>379</v>
      </c>
      <c r="I276" s="5">
        <v>379</v>
      </c>
      <c r="J276" s="5">
        <v>0</v>
      </c>
      <c r="K276" s="8">
        <f t="shared" si="8"/>
        <v>100</v>
      </c>
      <c r="L276" s="8">
        <f t="shared" si="9"/>
        <v>0</v>
      </c>
      <c r="M276" t="s">
        <v>20</v>
      </c>
      <c r="N276" t="s">
        <v>21</v>
      </c>
    </row>
    <row r="277" spans="1:14" x14ac:dyDescent="0.3">
      <c r="A277" t="s">
        <v>242</v>
      </c>
      <c r="B277" s="2">
        <v>46232</v>
      </c>
      <c r="C277" s="2">
        <v>46232</v>
      </c>
      <c r="D277" s="1" t="s">
        <v>232</v>
      </c>
      <c r="E277" t="s">
        <v>233</v>
      </c>
      <c r="F277" t="s">
        <v>19</v>
      </c>
      <c r="G277" s="5">
        <v>39</v>
      </c>
      <c r="H277" s="5">
        <v>39</v>
      </c>
      <c r="I277" s="5">
        <v>39</v>
      </c>
      <c r="J277" s="5">
        <v>0</v>
      </c>
      <c r="K277" s="8">
        <f t="shared" si="8"/>
        <v>100</v>
      </c>
      <c r="L277" s="8">
        <f t="shared" si="9"/>
        <v>0</v>
      </c>
      <c r="M277" t="s">
        <v>20</v>
      </c>
      <c r="N277" t="s">
        <v>21</v>
      </c>
    </row>
    <row r="278" spans="1:14" x14ac:dyDescent="0.3">
      <c r="A278" t="s">
        <v>35</v>
      </c>
      <c r="B278" s="2">
        <v>46232</v>
      </c>
      <c r="C278" s="2">
        <v>46232</v>
      </c>
      <c r="D278" s="1" t="s">
        <v>27</v>
      </c>
      <c r="E278" t="s">
        <v>28</v>
      </c>
      <c r="F278" t="s">
        <v>19</v>
      </c>
      <c r="G278" s="5">
        <v>600</v>
      </c>
      <c r="H278" s="5">
        <v>600</v>
      </c>
      <c r="I278" s="5">
        <v>600</v>
      </c>
      <c r="J278" s="5">
        <v>0</v>
      </c>
      <c r="K278" s="8">
        <f t="shared" si="8"/>
        <v>100</v>
      </c>
      <c r="L278" s="8">
        <f t="shared" si="9"/>
        <v>0</v>
      </c>
      <c r="M278" t="s">
        <v>20</v>
      </c>
      <c r="N278" t="s">
        <v>21</v>
      </c>
    </row>
    <row r="279" spans="1:14" x14ac:dyDescent="0.3">
      <c r="A279" t="s">
        <v>351</v>
      </c>
      <c r="B279" s="2">
        <v>46232</v>
      </c>
      <c r="C279" s="2">
        <v>46232</v>
      </c>
      <c r="D279" s="1" t="s">
        <v>352</v>
      </c>
      <c r="E279" t="s">
        <v>353</v>
      </c>
      <c r="F279" t="s">
        <v>19</v>
      </c>
      <c r="G279" s="5">
        <v>63</v>
      </c>
      <c r="H279" s="5">
        <v>63</v>
      </c>
      <c r="I279" s="5">
        <v>63</v>
      </c>
      <c r="J279" s="5">
        <v>0</v>
      </c>
      <c r="K279" s="8">
        <f t="shared" si="8"/>
        <v>100</v>
      </c>
      <c r="L279" s="8">
        <f t="shared" si="9"/>
        <v>0</v>
      </c>
      <c r="M279" t="s">
        <v>20</v>
      </c>
      <c r="N279" t="s">
        <v>21</v>
      </c>
    </row>
    <row r="280" spans="1:14" x14ac:dyDescent="0.3">
      <c r="A280" t="s">
        <v>378</v>
      </c>
      <c r="B280" s="2">
        <v>46232</v>
      </c>
      <c r="C280" s="2">
        <v>46233</v>
      </c>
      <c r="D280" s="1" t="s">
        <v>376</v>
      </c>
      <c r="E280" t="s">
        <v>377</v>
      </c>
      <c r="F280" t="s">
        <v>39</v>
      </c>
      <c r="G280" s="5">
        <v>310</v>
      </c>
      <c r="H280" s="5">
        <v>336</v>
      </c>
      <c r="I280" s="5">
        <v>311</v>
      </c>
      <c r="J280" s="5">
        <v>25</v>
      </c>
      <c r="K280" s="8">
        <f t="shared" si="8"/>
        <v>108.38709677419357</v>
      </c>
      <c r="L280" s="8">
        <f t="shared" si="9"/>
        <v>8.0385852090032159</v>
      </c>
      <c r="M280" t="s">
        <v>20</v>
      </c>
      <c r="N280" t="s">
        <v>21</v>
      </c>
    </row>
    <row r="281" spans="1:14" x14ac:dyDescent="0.3">
      <c r="A281" t="s">
        <v>57</v>
      </c>
      <c r="B281" s="2">
        <v>46232</v>
      </c>
      <c r="C281" s="2">
        <v>46233</v>
      </c>
      <c r="D281" s="1" t="s">
        <v>54</v>
      </c>
      <c r="E281" t="s">
        <v>55</v>
      </c>
      <c r="F281" t="s">
        <v>39</v>
      </c>
      <c r="G281" s="5">
        <v>414</v>
      </c>
      <c r="H281" s="5">
        <v>409</v>
      </c>
      <c r="I281" s="5">
        <v>404</v>
      </c>
      <c r="J281" s="5">
        <v>5</v>
      </c>
      <c r="K281" s="8">
        <f t="shared" si="8"/>
        <v>98.792270531400959</v>
      </c>
      <c r="L281" s="8">
        <f t="shared" si="9"/>
        <v>1.2376237623762376</v>
      </c>
      <c r="M281" t="s">
        <v>20</v>
      </c>
      <c r="N281" t="s">
        <v>21</v>
      </c>
    </row>
    <row r="282" spans="1:14" x14ac:dyDescent="0.3">
      <c r="A282" t="s">
        <v>196</v>
      </c>
      <c r="B282" s="2">
        <v>46232</v>
      </c>
      <c r="C282" s="2">
        <v>46233</v>
      </c>
      <c r="D282" s="1" t="s">
        <v>189</v>
      </c>
      <c r="E282" t="s">
        <v>190</v>
      </c>
      <c r="F282" t="s">
        <v>97</v>
      </c>
      <c r="G282" s="5">
        <v>150</v>
      </c>
      <c r="H282" s="5">
        <v>170</v>
      </c>
      <c r="I282" s="5">
        <v>170</v>
      </c>
      <c r="J282" s="5">
        <v>0</v>
      </c>
      <c r="K282" s="8">
        <f t="shared" si="8"/>
        <v>113.33333333333333</v>
      </c>
      <c r="L282" s="8">
        <f t="shared" si="9"/>
        <v>0</v>
      </c>
      <c r="M282" t="s">
        <v>20</v>
      </c>
      <c r="N282" t="s">
        <v>21</v>
      </c>
    </row>
    <row r="283" spans="1:14" x14ac:dyDescent="0.3">
      <c r="A283" t="s">
        <v>176</v>
      </c>
      <c r="B283" s="2">
        <v>46232</v>
      </c>
      <c r="C283" s="2">
        <v>46233</v>
      </c>
      <c r="D283" s="1" t="s">
        <v>171</v>
      </c>
      <c r="E283" t="s">
        <v>172</v>
      </c>
      <c r="F283" t="s">
        <v>97</v>
      </c>
      <c r="G283" s="5">
        <v>225</v>
      </c>
      <c r="H283" s="5">
        <v>231</v>
      </c>
      <c r="I283" s="5">
        <v>229</v>
      </c>
      <c r="J283" s="5">
        <v>2</v>
      </c>
      <c r="K283" s="8">
        <f t="shared" si="8"/>
        <v>102.66666666666666</v>
      </c>
      <c r="L283" s="8">
        <f t="shared" si="9"/>
        <v>0.87336244541484709</v>
      </c>
      <c r="M283" t="s">
        <v>20</v>
      </c>
      <c r="N283" t="s">
        <v>21</v>
      </c>
    </row>
    <row r="284" spans="1:14" x14ac:dyDescent="0.3">
      <c r="A284" t="s">
        <v>181</v>
      </c>
      <c r="B284" s="2">
        <v>46232</v>
      </c>
      <c r="C284" s="2">
        <v>46233</v>
      </c>
      <c r="D284" s="1" t="s">
        <v>178</v>
      </c>
      <c r="E284" t="s">
        <v>179</v>
      </c>
      <c r="F284" t="s">
        <v>97</v>
      </c>
      <c r="G284" s="5">
        <v>150</v>
      </c>
      <c r="H284" s="5">
        <v>153</v>
      </c>
      <c r="I284" s="5">
        <v>153</v>
      </c>
      <c r="J284" s="5">
        <v>0</v>
      </c>
      <c r="K284" s="8">
        <f t="shared" si="8"/>
        <v>102</v>
      </c>
      <c r="L284" s="8">
        <f t="shared" si="9"/>
        <v>0</v>
      </c>
      <c r="M284" t="s">
        <v>20</v>
      </c>
      <c r="N284" t="s">
        <v>21</v>
      </c>
    </row>
    <row r="285" spans="1:14" x14ac:dyDescent="0.3">
      <c r="A285" t="s">
        <v>346</v>
      </c>
      <c r="B285" s="2">
        <v>46232</v>
      </c>
      <c r="C285" s="2">
        <v>46233</v>
      </c>
      <c r="D285" s="1" t="s">
        <v>333</v>
      </c>
      <c r="E285" t="s">
        <v>334</v>
      </c>
      <c r="F285" t="s">
        <v>61</v>
      </c>
      <c r="G285" s="5">
        <v>300</v>
      </c>
      <c r="H285" s="5">
        <v>306</v>
      </c>
      <c r="I285" s="5">
        <v>306</v>
      </c>
      <c r="J285" s="5">
        <v>0</v>
      </c>
      <c r="K285" s="8">
        <f t="shared" si="8"/>
        <v>102</v>
      </c>
      <c r="L285" s="8">
        <f t="shared" si="9"/>
        <v>0</v>
      </c>
      <c r="M285" t="s">
        <v>20</v>
      </c>
      <c r="N285" t="s">
        <v>21</v>
      </c>
    </row>
    <row r="286" spans="1:14" x14ac:dyDescent="0.3">
      <c r="A286" t="s">
        <v>127</v>
      </c>
      <c r="B286" s="2">
        <v>46232</v>
      </c>
      <c r="C286" s="2">
        <v>46233</v>
      </c>
      <c r="D286" s="1" t="s">
        <v>102</v>
      </c>
      <c r="E286" t="s">
        <v>103</v>
      </c>
      <c r="F286" t="s">
        <v>61</v>
      </c>
      <c r="G286" s="5">
        <v>396</v>
      </c>
      <c r="H286" s="5">
        <v>420</v>
      </c>
      <c r="I286" s="5">
        <v>420</v>
      </c>
      <c r="J286" s="5">
        <v>0</v>
      </c>
      <c r="K286" s="8">
        <f t="shared" si="8"/>
        <v>106.06060606060606</v>
      </c>
      <c r="L286" s="8">
        <f t="shared" si="9"/>
        <v>0</v>
      </c>
      <c r="M286" t="s">
        <v>20</v>
      </c>
      <c r="N286" t="s">
        <v>21</v>
      </c>
    </row>
    <row r="287" spans="1:14" x14ac:dyDescent="0.3">
      <c r="A287" t="s">
        <v>350</v>
      </c>
      <c r="B287" s="2">
        <v>46232</v>
      </c>
      <c r="C287" s="2">
        <v>46233</v>
      </c>
      <c r="D287" s="1" t="s">
        <v>348</v>
      </c>
      <c r="E287" t="s">
        <v>349</v>
      </c>
      <c r="F287" t="s">
        <v>61</v>
      </c>
      <c r="G287" s="5">
        <v>600</v>
      </c>
      <c r="H287" s="5">
        <v>612</v>
      </c>
      <c r="I287" s="5">
        <v>611</v>
      </c>
      <c r="J287" s="5">
        <v>1</v>
      </c>
      <c r="K287" s="8">
        <f t="shared" si="8"/>
        <v>102</v>
      </c>
      <c r="L287" s="8">
        <f t="shared" si="9"/>
        <v>0.16366612111292964</v>
      </c>
      <c r="M287" t="s">
        <v>20</v>
      </c>
      <c r="N287" t="s">
        <v>21</v>
      </c>
    </row>
    <row r="288" spans="1:14" x14ac:dyDescent="0.3">
      <c r="A288" t="s">
        <v>79</v>
      </c>
      <c r="B288" s="2">
        <v>46232</v>
      </c>
      <c r="C288" s="2">
        <v>46233</v>
      </c>
      <c r="D288" s="1" t="s">
        <v>66</v>
      </c>
      <c r="E288" t="s">
        <v>67</v>
      </c>
      <c r="F288" t="s">
        <v>61</v>
      </c>
      <c r="G288" s="5">
        <v>300</v>
      </c>
      <c r="H288" s="5">
        <v>312</v>
      </c>
      <c r="I288" s="5">
        <v>312</v>
      </c>
      <c r="J288" s="5">
        <v>0</v>
      </c>
      <c r="K288" s="8">
        <f t="shared" si="8"/>
        <v>104</v>
      </c>
      <c r="L288" s="8">
        <f t="shared" si="9"/>
        <v>0</v>
      </c>
      <c r="M288" t="s">
        <v>20</v>
      </c>
      <c r="N288" t="s">
        <v>21</v>
      </c>
    </row>
    <row r="289" spans="1:14" x14ac:dyDescent="0.3">
      <c r="A289" t="s">
        <v>270</v>
      </c>
      <c r="B289" s="2">
        <v>46232</v>
      </c>
      <c r="C289" s="2">
        <v>46233</v>
      </c>
      <c r="D289" s="1" t="s">
        <v>266</v>
      </c>
      <c r="E289" t="s">
        <v>267</v>
      </c>
      <c r="F289" t="s">
        <v>19</v>
      </c>
      <c r="G289" s="5">
        <v>150</v>
      </c>
      <c r="H289" s="5">
        <v>150</v>
      </c>
      <c r="I289" s="5">
        <v>150</v>
      </c>
      <c r="J289" s="5">
        <v>0</v>
      </c>
      <c r="K289" s="8">
        <f t="shared" si="8"/>
        <v>100</v>
      </c>
      <c r="L289" s="8">
        <f t="shared" si="9"/>
        <v>0</v>
      </c>
      <c r="M289" t="s">
        <v>20</v>
      </c>
      <c r="N289" t="s">
        <v>21</v>
      </c>
    </row>
    <row r="290" spans="1:14" x14ac:dyDescent="0.3">
      <c r="A290" t="s">
        <v>1208</v>
      </c>
      <c r="B290" s="2">
        <v>46233</v>
      </c>
      <c r="C290" s="2">
        <v>46233</v>
      </c>
      <c r="D290" s="1" t="s">
        <v>333</v>
      </c>
      <c r="E290" t="s">
        <v>334</v>
      </c>
      <c r="F290" t="s">
        <v>61</v>
      </c>
      <c r="G290" s="5">
        <v>125</v>
      </c>
      <c r="H290" s="5">
        <v>125</v>
      </c>
      <c r="I290" s="5">
        <v>125</v>
      </c>
      <c r="J290" s="5">
        <v>0</v>
      </c>
      <c r="K290" s="8">
        <f t="shared" si="8"/>
        <v>100</v>
      </c>
      <c r="L290" s="8">
        <f t="shared" si="9"/>
        <v>0</v>
      </c>
      <c r="M290" t="s">
        <v>20</v>
      </c>
      <c r="N290" t="s">
        <v>21</v>
      </c>
    </row>
    <row r="291" spans="1:14" x14ac:dyDescent="0.3">
      <c r="A291" t="s">
        <v>1209</v>
      </c>
      <c r="B291" s="2">
        <v>46231</v>
      </c>
      <c r="C291" s="2">
        <v>46233</v>
      </c>
      <c r="D291" s="1" t="s">
        <v>48</v>
      </c>
      <c r="E291" t="s">
        <v>49</v>
      </c>
      <c r="F291" t="s">
        <v>39</v>
      </c>
      <c r="G291" s="5">
        <v>280</v>
      </c>
      <c r="H291" s="5">
        <v>236</v>
      </c>
      <c r="I291" s="5">
        <v>221</v>
      </c>
      <c r="J291" s="5">
        <v>15</v>
      </c>
      <c r="K291" s="8">
        <f t="shared" ref="K291:K354" si="10">(H291/G291)*100</f>
        <v>84.285714285714292</v>
      </c>
      <c r="L291" s="8">
        <f t="shared" ref="L291:L354" si="11">((H291-I291)/I291)*100</f>
        <v>6.7873303167420813</v>
      </c>
      <c r="M291" t="s">
        <v>20</v>
      </c>
      <c r="N291" t="s">
        <v>21</v>
      </c>
    </row>
    <row r="292" spans="1:14" x14ac:dyDescent="0.3">
      <c r="A292" t="s">
        <v>378</v>
      </c>
      <c r="B292" s="2">
        <v>46232</v>
      </c>
      <c r="C292" s="2">
        <v>46233</v>
      </c>
      <c r="D292" s="1" t="s">
        <v>376</v>
      </c>
      <c r="E292" t="s">
        <v>377</v>
      </c>
      <c r="F292" t="s">
        <v>39</v>
      </c>
      <c r="G292" s="5">
        <v>310</v>
      </c>
      <c r="H292" s="5">
        <v>336</v>
      </c>
      <c r="I292" s="5">
        <v>311</v>
      </c>
      <c r="J292" s="5">
        <v>25</v>
      </c>
      <c r="K292" s="8">
        <f t="shared" si="10"/>
        <v>108.38709677419357</v>
      </c>
      <c r="L292" s="8">
        <f t="shared" si="11"/>
        <v>8.0385852090032159</v>
      </c>
      <c r="M292" t="s">
        <v>20</v>
      </c>
      <c r="N292" t="s">
        <v>21</v>
      </c>
    </row>
    <row r="293" spans="1:14" x14ac:dyDescent="0.3">
      <c r="A293" t="s">
        <v>57</v>
      </c>
      <c r="B293" s="2">
        <v>46232</v>
      </c>
      <c r="C293" s="2">
        <v>46233</v>
      </c>
      <c r="D293" s="1" t="s">
        <v>54</v>
      </c>
      <c r="E293" t="s">
        <v>55</v>
      </c>
      <c r="F293" t="s">
        <v>39</v>
      </c>
      <c r="G293" s="5">
        <v>414</v>
      </c>
      <c r="H293" s="5">
        <v>409</v>
      </c>
      <c r="I293" s="5">
        <v>404</v>
      </c>
      <c r="J293" s="5">
        <v>5</v>
      </c>
      <c r="K293" s="8">
        <f t="shared" si="10"/>
        <v>98.792270531400959</v>
      </c>
      <c r="L293" s="8">
        <f t="shared" si="11"/>
        <v>1.2376237623762376</v>
      </c>
      <c r="M293" t="s">
        <v>20</v>
      </c>
      <c r="N293" t="s">
        <v>21</v>
      </c>
    </row>
    <row r="294" spans="1:14" x14ac:dyDescent="0.3">
      <c r="A294" t="s">
        <v>196</v>
      </c>
      <c r="B294" s="2">
        <v>46232</v>
      </c>
      <c r="C294" s="2">
        <v>46233</v>
      </c>
      <c r="D294" s="1" t="s">
        <v>189</v>
      </c>
      <c r="E294" t="s">
        <v>190</v>
      </c>
      <c r="F294" t="s">
        <v>97</v>
      </c>
      <c r="G294" s="5">
        <v>150</v>
      </c>
      <c r="H294" s="5">
        <v>170</v>
      </c>
      <c r="I294" s="5">
        <v>170</v>
      </c>
      <c r="J294" s="5">
        <v>0</v>
      </c>
      <c r="K294" s="8">
        <f t="shared" si="10"/>
        <v>113.33333333333333</v>
      </c>
      <c r="L294" s="8">
        <f t="shared" si="11"/>
        <v>0</v>
      </c>
      <c r="M294" t="s">
        <v>20</v>
      </c>
      <c r="N294" t="s">
        <v>21</v>
      </c>
    </row>
    <row r="295" spans="1:14" x14ac:dyDescent="0.3">
      <c r="A295" t="s">
        <v>176</v>
      </c>
      <c r="B295" s="2">
        <v>46232</v>
      </c>
      <c r="C295" s="2">
        <v>46233</v>
      </c>
      <c r="D295" s="1" t="s">
        <v>171</v>
      </c>
      <c r="E295" t="s">
        <v>172</v>
      </c>
      <c r="F295" t="s">
        <v>97</v>
      </c>
      <c r="G295" s="5">
        <v>225</v>
      </c>
      <c r="H295" s="5">
        <v>231</v>
      </c>
      <c r="I295" s="5">
        <v>229</v>
      </c>
      <c r="J295" s="5">
        <v>2</v>
      </c>
      <c r="K295" s="8">
        <f t="shared" si="10"/>
        <v>102.66666666666666</v>
      </c>
      <c r="L295" s="8">
        <f t="shared" si="11"/>
        <v>0.87336244541484709</v>
      </c>
      <c r="M295" t="s">
        <v>20</v>
      </c>
      <c r="N295" t="s">
        <v>21</v>
      </c>
    </row>
    <row r="296" spans="1:14" x14ac:dyDescent="0.3">
      <c r="A296" t="s">
        <v>181</v>
      </c>
      <c r="B296" s="2">
        <v>46232</v>
      </c>
      <c r="C296" s="2">
        <v>46233</v>
      </c>
      <c r="D296" s="1" t="s">
        <v>178</v>
      </c>
      <c r="E296" t="s">
        <v>179</v>
      </c>
      <c r="F296" t="s">
        <v>97</v>
      </c>
      <c r="G296" s="5">
        <v>150</v>
      </c>
      <c r="H296" s="5">
        <v>153</v>
      </c>
      <c r="I296" s="5">
        <v>153</v>
      </c>
      <c r="J296" s="5">
        <v>0</v>
      </c>
      <c r="K296" s="8">
        <f t="shared" si="10"/>
        <v>102</v>
      </c>
      <c r="L296" s="8">
        <f t="shared" si="11"/>
        <v>0</v>
      </c>
      <c r="M296" t="s">
        <v>20</v>
      </c>
      <c r="N296" t="s">
        <v>21</v>
      </c>
    </row>
    <row r="297" spans="1:14" x14ac:dyDescent="0.3">
      <c r="A297" t="s">
        <v>346</v>
      </c>
      <c r="B297" s="2">
        <v>46232</v>
      </c>
      <c r="C297" s="2">
        <v>46233</v>
      </c>
      <c r="D297" s="1" t="s">
        <v>333</v>
      </c>
      <c r="E297" t="s">
        <v>334</v>
      </c>
      <c r="F297" t="s">
        <v>61</v>
      </c>
      <c r="G297" s="5">
        <v>300</v>
      </c>
      <c r="H297" s="5">
        <v>306</v>
      </c>
      <c r="I297" s="5">
        <v>306</v>
      </c>
      <c r="J297" s="5">
        <v>0</v>
      </c>
      <c r="K297" s="8">
        <f t="shared" si="10"/>
        <v>102</v>
      </c>
      <c r="L297" s="8">
        <f t="shared" si="11"/>
        <v>0</v>
      </c>
      <c r="M297" t="s">
        <v>20</v>
      </c>
      <c r="N297" t="s">
        <v>21</v>
      </c>
    </row>
    <row r="298" spans="1:14" x14ac:dyDescent="0.3">
      <c r="A298" t="s">
        <v>127</v>
      </c>
      <c r="B298" s="2">
        <v>46232</v>
      </c>
      <c r="C298" s="2">
        <v>46233</v>
      </c>
      <c r="D298" s="1" t="s">
        <v>102</v>
      </c>
      <c r="E298" t="s">
        <v>103</v>
      </c>
      <c r="F298" t="s">
        <v>61</v>
      </c>
      <c r="G298" s="5">
        <v>396</v>
      </c>
      <c r="H298" s="5">
        <v>420</v>
      </c>
      <c r="I298" s="5">
        <v>420</v>
      </c>
      <c r="J298" s="5">
        <v>0</v>
      </c>
      <c r="K298" s="8">
        <f t="shared" si="10"/>
        <v>106.06060606060606</v>
      </c>
      <c r="L298" s="8">
        <f t="shared" si="11"/>
        <v>0</v>
      </c>
      <c r="M298" t="s">
        <v>20</v>
      </c>
      <c r="N298" t="s">
        <v>21</v>
      </c>
    </row>
    <row r="299" spans="1:14" x14ac:dyDescent="0.3">
      <c r="A299" t="s">
        <v>350</v>
      </c>
      <c r="B299" s="2">
        <v>46232</v>
      </c>
      <c r="C299" s="2">
        <v>46233</v>
      </c>
      <c r="D299" s="1" t="s">
        <v>348</v>
      </c>
      <c r="E299" t="s">
        <v>349</v>
      </c>
      <c r="F299" t="s">
        <v>61</v>
      </c>
      <c r="G299" s="5">
        <v>600</v>
      </c>
      <c r="H299" s="5">
        <v>613</v>
      </c>
      <c r="I299" s="5">
        <v>612</v>
      </c>
      <c r="J299" s="5">
        <v>1</v>
      </c>
      <c r="K299" s="8">
        <f t="shared" si="10"/>
        <v>102.16666666666667</v>
      </c>
      <c r="L299" s="8">
        <f t="shared" si="11"/>
        <v>0.16339869281045752</v>
      </c>
      <c r="M299" t="s">
        <v>20</v>
      </c>
      <c r="N299" t="s">
        <v>21</v>
      </c>
    </row>
    <row r="300" spans="1:14" x14ac:dyDescent="0.3">
      <c r="A300" t="s">
        <v>79</v>
      </c>
      <c r="B300" s="2">
        <v>46232</v>
      </c>
      <c r="C300" s="2">
        <v>46233</v>
      </c>
      <c r="D300" s="1" t="s">
        <v>66</v>
      </c>
      <c r="E300" t="s">
        <v>67</v>
      </c>
      <c r="F300" t="s">
        <v>61</v>
      </c>
      <c r="G300" s="5">
        <v>300</v>
      </c>
      <c r="H300" s="5">
        <v>312</v>
      </c>
      <c r="I300" s="5">
        <v>312</v>
      </c>
      <c r="J300" s="5">
        <v>0</v>
      </c>
      <c r="K300" s="8">
        <f t="shared" si="10"/>
        <v>104</v>
      </c>
      <c r="L300" s="8">
        <f t="shared" si="11"/>
        <v>0</v>
      </c>
      <c r="M300" t="s">
        <v>20</v>
      </c>
      <c r="N300" t="s">
        <v>21</v>
      </c>
    </row>
    <row r="301" spans="1:14" x14ac:dyDescent="0.3">
      <c r="A301" t="s">
        <v>1210</v>
      </c>
      <c r="B301" s="2">
        <v>46233</v>
      </c>
      <c r="C301" s="2">
        <v>46233</v>
      </c>
      <c r="D301" s="1" t="s">
        <v>295</v>
      </c>
      <c r="E301" t="s">
        <v>296</v>
      </c>
      <c r="F301" t="s">
        <v>39</v>
      </c>
      <c r="G301" s="5">
        <v>200</v>
      </c>
      <c r="H301" s="5">
        <v>235</v>
      </c>
      <c r="I301" s="5">
        <v>233</v>
      </c>
      <c r="J301" s="5">
        <v>2</v>
      </c>
      <c r="K301" s="8">
        <f t="shared" si="10"/>
        <v>117.5</v>
      </c>
      <c r="L301" s="8">
        <f t="shared" si="11"/>
        <v>0.85836909871244638</v>
      </c>
      <c r="M301" t="s">
        <v>20</v>
      </c>
      <c r="N301" t="s">
        <v>21</v>
      </c>
    </row>
    <row r="302" spans="1:14" x14ac:dyDescent="0.3">
      <c r="A302" t="s">
        <v>1211</v>
      </c>
      <c r="B302" s="2">
        <v>46233</v>
      </c>
      <c r="C302" s="2">
        <v>46233</v>
      </c>
      <c r="D302" s="1" t="s">
        <v>333</v>
      </c>
      <c r="E302" t="s">
        <v>334</v>
      </c>
      <c r="F302" t="s">
        <v>61</v>
      </c>
      <c r="G302" s="5">
        <v>276</v>
      </c>
      <c r="H302" s="5">
        <v>282</v>
      </c>
      <c r="I302" s="5">
        <v>282</v>
      </c>
      <c r="J302" s="5">
        <v>0</v>
      </c>
      <c r="K302" s="8">
        <f t="shared" si="10"/>
        <v>102.17391304347827</v>
      </c>
      <c r="L302" s="8">
        <f t="shared" si="11"/>
        <v>0</v>
      </c>
      <c r="M302" t="s">
        <v>20</v>
      </c>
      <c r="N302" t="s">
        <v>21</v>
      </c>
    </row>
    <row r="303" spans="1:14" x14ac:dyDescent="0.3">
      <c r="A303" t="s">
        <v>1212</v>
      </c>
      <c r="B303" s="2">
        <v>46233</v>
      </c>
      <c r="C303" s="2">
        <v>46233</v>
      </c>
      <c r="D303" s="1" t="s">
        <v>102</v>
      </c>
      <c r="E303" t="s">
        <v>103</v>
      </c>
      <c r="F303" t="s">
        <v>61</v>
      </c>
      <c r="G303" s="5">
        <v>134</v>
      </c>
      <c r="H303" s="5">
        <v>134</v>
      </c>
      <c r="I303" s="5">
        <v>134</v>
      </c>
      <c r="J303" s="5">
        <v>0</v>
      </c>
      <c r="K303" s="8">
        <f t="shared" si="10"/>
        <v>100</v>
      </c>
      <c r="L303" s="8">
        <f t="shared" si="11"/>
        <v>0</v>
      </c>
      <c r="M303" t="s">
        <v>20</v>
      </c>
      <c r="N303" t="s">
        <v>21</v>
      </c>
    </row>
    <row r="304" spans="1:14" x14ac:dyDescent="0.3">
      <c r="A304" t="s">
        <v>1213</v>
      </c>
      <c r="B304" s="2">
        <v>46233</v>
      </c>
      <c r="C304" s="2">
        <v>46233</v>
      </c>
      <c r="D304" s="1" t="s">
        <v>102</v>
      </c>
      <c r="E304" t="s">
        <v>103</v>
      </c>
      <c r="F304" t="s">
        <v>61</v>
      </c>
      <c r="G304" s="5">
        <v>268</v>
      </c>
      <c r="H304" s="5">
        <v>280</v>
      </c>
      <c r="I304" s="5">
        <v>280</v>
      </c>
      <c r="J304" s="5">
        <v>0</v>
      </c>
      <c r="K304" s="8">
        <f t="shared" si="10"/>
        <v>104.4776119402985</v>
      </c>
      <c r="L304" s="8">
        <f t="shared" si="11"/>
        <v>0</v>
      </c>
      <c r="M304" t="s">
        <v>20</v>
      </c>
      <c r="N304" t="s">
        <v>21</v>
      </c>
    </row>
    <row r="305" spans="1:14" x14ac:dyDescent="0.3">
      <c r="A305" t="s">
        <v>1214</v>
      </c>
      <c r="B305" s="2">
        <v>46233</v>
      </c>
      <c r="C305" s="2">
        <v>46233</v>
      </c>
      <c r="D305" s="1" t="s">
        <v>198</v>
      </c>
      <c r="E305" t="s">
        <v>199</v>
      </c>
      <c r="F305" t="s">
        <v>19</v>
      </c>
      <c r="G305" s="5">
        <v>56</v>
      </c>
      <c r="H305" s="5">
        <v>56</v>
      </c>
      <c r="I305" s="5">
        <v>56</v>
      </c>
      <c r="J305" s="5">
        <v>0</v>
      </c>
      <c r="K305" s="8">
        <f t="shared" si="10"/>
        <v>100</v>
      </c>
      <c r="L305" s="8">
        <f t="shared" si="11"/>
        <v>0</v>
      </c>
      <c r="M305" t="s">
        <v>20</v>
      </c>
      <c r="N305" t="s">
        <v>21</v>
      </c>
    </row>
    <row r="306" spans="1:14" x14ac:dyDescent="0.3">
      <c r="A306" t="s">
        <v>1215</v>
      </c>
      <c r="B306" s="2">
        <v>46233</v>
      </c>
      <c r="C306" s="2">
        <v>46233</v>
      </c>
      <c r="D306" s="1" t="s">
        <v>198</v>
      </c>
      <c r="E306" t="s">
        <v>199</v>
      </c>
      <c r="F306" t="s">
        <v>19</v>
      </c>
      <c r="G306" s="5">
        <v>32</v>
      </c>
      <c r="H306" s="5">
        <v>32</v>
      </c>
      <c r="I306" s="5">
        <v>32</v>
      </c>
      <c r="J306" s="5">
        <v>0</v>
      </c>
      <c r="K306" s="8">
        <f t="shared" si="10"/>
        <v>100</v>
      </c>
      <c r="L306" s="8">
        <f t="shared" si="11"/>
        <v>0</v>
      </c>
      <c r="M306" t="s">
        <v>20</v>
      </c>
      <c r="N306" t="s">
        <v>21</v>
      </c>
    </row>
    <row r="307" spans="1:14" x14ac:dyDescent="0.3">
      <c r="A307" t="s">
        <v>270</v>
      </c>
      <c r="B307" s="2">
        <v>46232</v>
      </c>
      <c r="C307" s="2">
        <v>46233</v>
      </c>
      <c r="D307" s="1" t="s">
        <v>266</v>
      </c>
      <c r="E307" t="s">
        <v>267</v>
      </c>
      <c r="F307" t="s">
        <v>19</v>
      </c>
      <c r="G307" s="5">
        <v>150</v>
      </c>
      <c r="H307" s="5">
        <v>150</v>
      </c>
      <c r="I307" s="5">
        <v>150</v>
      </c>
      <c r="J307" s="5">
        <v>0</v>
      </c>
      <c r="K307" s="8">
        <f t="shared" si="10"/>
        <v>100</v>
      </c>
      <c r="L307" s="8">
        <f t="shared" si="11"/>
        <v>0</v>
      </c>
      <c r="M307" t="s">
        <v>20</v>
      </c>
      <c r="N307" t="s">
        <v>21</v>
      </c>
    </row>
    <row r="308" spans="1:14" x14ac:dyDescent="0.3">
      <c r="A308" t="s">
        <v>1216</v>
      </c>
      <c r="B308" s="2">
        <v>46233</v>
      </c>
      <c r="C308" s="2">
        <v>46233</v>
      </c>
      <c r="D308" s="1" t="s">
        <v>232</v>
      </c>
      <c r="E308" t="s">
        <v>233</v>
      </c>
      <c r="F308" t="s">
        <v>19</v>
      </c>
      <c r="G308" s="5">
        <v>40</v>
      </c>
      <c r="H308" s="5">
        <v>40</v>
      </c>
      <c r="I308" s="5">
        <v>40</v>
      </c>
      <c r="J308" s="5">
        <v>0</v>
      </c>
      <c r="K308" s="8">
        <f t="shared" si="10"/>
        <v>100</v>
      </c>
      <c r="L308" s="8">
        <f t="shared" si="11"/>
        <v>0</v>
      </c>
      <c r="M308" t="s">
        <v>20</v>
      </c>
      <c r="N308" t="s">
        <v>21</v>
      </c>
    </row>
    <row r="309" spans="1:14" x14ac:dyDescent="0.3">
      <c r="A309" t="s">
        <v>1217</v>
      </c>
      <c r="B309" s="2">
        <v>46233</v>
      </c>
      <c r="C309" s="2">
        <v>46233</v>
      </c>
      <c r="D309" s="1" t="s">
        <v>81</v>
      </c>
      <c r="E309" t="s">
        <v>82</v>
      </c>
      <c r="F309" t="s">
        <v>19</v>
      </c>
      <c r="G309" s="5">
        <v>2000</v>
      </c>
      <c r="H309" s="5">
        <v>2000</v>
      </c>
      <c r="I309" s="5">
        <v>2000</v>
      </c>
      <c r="J309" s="5">
        <v>0</v>
      </c>
      <c r="K309" s="8">
        <f t="shared" si="10"/>
        <v>100</v>
      </c>
      <c r="L309" s="8">
        <f t="shared" si="11"/>
        <v>0</v>
      </c>
      <c r="M309" t="s">
        <v>20</v>
      </c>
      <c r="N309" t="s">
        <v>21</v>
      </c>
    </row>
    <row r="310" spans="1:14" x14ac:dyDescent="0.3">
      <c r="A310" t="s">
        <v>1218</v>
      </c>
      <c r="B310" s="2">
        <v>46232</v>
      </c>
      <c r="C310" s="2">
        <v>46234</v>
      </c>
      <c r="D310" s="1" t="s">
        <v>355</v>
      </c>
      <c r="E310" t="s">
        <v>356</v>
      </c>
      <c r="F310" t="s">
        <v>97</v>
      </c>
      <c r="G310" s="5">
        <v>33</v>
      </c>
      <c r="H310" s="5">
        <v>33</v>
      </c>
      <c r="I310" s="5">
        <v>29</v>
      </c>
      <c r="J310" s="5">
        <v>4</v>
      </c>
      <c r="K310" s="8">
        <f t="shared" si="10"/>
        <v>100</v>
      </c>
      <c r="L310" s="8">
        <f t="shared" si="11"/>
        <v>13.793103448275861</v>
      </c>
      <c r="M310" t="s">
        <v>20</v>
      </c>
      <c r="N310" t="s">
        <v>21</v>
      </c>
    </row>
    <row r="311" spans="1:14" x14ac:dyDescent="0.3">
      <c r="A311" t="s">
        <v>1219</v>
      </c>
      <c r="B311" s="2">
        <v>46232</v>
      </c>
      <c r="C311" s="2">
        <v>46234</v>
      </c>
      <c r="D311" s="1" t="s">
        <v>1220</v>
      </c>
      <c r="E311" t="s">
        <v>1221</v>
      </c>
      <c r="F311" t="s">
        <v>97</v>
      </c>
      <c r="G311" s="5">
        <v>546</v>
      </c>
      <c r="H311" s="5">
        <v>546</v>
      </c>
      <c r="I311" s="5">
        <v>427</v>
      </c>
      <c r="J311" s="5">
        <v>119</v>
      </c>
      <c r="K311" s="8">
        <f t="shared" si="10"/>
        <v>100</v>
      </c>
      <c r="L311" s="8">
        <f t="shared" si="11"/>
        <v>27.868852459016392</v>
      </c>
      <c r="M311" t="s">
        <v>20</v>
      </c>
      <c r="N311" t="s">
        <v>21</v>
      </c>
    </row>
    <row r="312" spans="1:14" x14ac:dyDescent="0.3">
      <c r="A312" t="s">
        <v>1222</v>
      </c>
      <c r="B312" s="2">
        <v>46232</v>
      </c>
      <c r="C312" s="2">
        <v>46234</v>
      </c>
      <c r="D312" s="1" t="s">
        <v>316</v>
      </c>
      <c r="E312" t="s">
        <v>317</v>
      </c>
      <c r="F312" t="s">
        <v>97</v>
      </c>
      <c r="G312" s="5">
        <v>100</v>
      </c>
      <c r="H312" s="5">
        <v>108</v>
      </c>
      <c r="I312" s="5">
        <v>108</v>
      </c>
      <c r="J312" s="5">
        <v>0</v>
      </c>
      <c r="K312" s="8">
        <f t="shared" si="10"/>
        <v>108</v>
      </c>
      <c r="L312" s="8">
        <f t="shared" si="11"/>
        <v>0</v>
      </c>
      <c r="M312" t="s">
        <v>20</v>
      </c>
      <c r="N312" t="s">
        <v>21</v>
      </c>
    </row>
    <row r="313" spans="1:14" x14ac:dyDescent="0.3">
      <c r="A313" t="s">
        <v>1223</v>
      </c>
      <c r="B313" s="2">
        <v>46233</v>
      </c>
      <c r="C313" s="2">
        <v>46235</v>
      </c>
      <c r="D313" s="1" t="s">
        <v>48</v>
      </c>
      <c r="E313" t="s">
        <v>49</v>
      </c>
      <c r="F313" t="s">
        <v>39</v>
      </c>
      <c r="G313" s="5">
        <v>280</v>
      </c>
      <c r="H313" s="5">
        <v>257</v>
      </c>
      <c r="I313" s="5">
        <v>251</v>
      </c>
      <c r="J313" s="5">
        <v>6</v>
      </c>
      <c r="K313" s="8">
        <f t="shared" si="10"/>
        <v>91.785714285714278</v>
      </c>
      <c r="L313" s="8">
        <f t="shared" si="11"/>
        <v>2.3904382470119523</v>
      </c>
      <c r="M313" t="s">
        <v>20</v>
      </c>
      <c r="N313" t="s">
        <v>21</v>
      </c>
    </row>
    <row r="314" spans="1:14" x14ac:dyDescent="0.3">
      <c r="A314" t="s">
        <v>1224</v>
      </c>
      <c r="B314" s="2">
        <v>46233</v>
      </c>
      <c r="C314" s="2">
        <v>46235</v>
      </c>
      <c r="D314" s="1" t="s">
        <v>54</v>
      </c>
      <c r="E314" t="s">
        <v>55</v>
      </c>
      <c r="F314" t="s">
        <v>39</v>
      </c>
      <c r="G314" s="5">
        <v>621</v>
      </c>
      <c r="H314" s="5">
        <v>615</v>
      </c>
      <c r="I314" s="5">
        <v>610</v>
      </c>
      <c r="J314" s="5">
        <v>5</v>
      </c>
      <c r="K314" s="8">
        <f t="shared" si="10"/>
        <v>99.033816425120762</v>
      </c>
      <c r="L314" s="8">
        <f t="shared" si="11"/>
        <v>0.81967213114754101</v>
      </c>
      <c r="M314" t="s">
        <v>20</v>
      </c>
      <c r="N314" t="s">
        <v>21</v>
      </c>
    </row>
    <row r="315" spans="1:14" x14ac:dyDescent="0.3">
      <c r="A315" t="s">
        <v>1225</v>
      </c>
      <c r="B315" s="2">
        <v>46233</v>
      </c>
      <c r="C315" s="2">
        <v>46235</v>
      </c>
      <c r="D315" s="1" t="s">
        <v>95</v>
      </c>
      <c r="E315" t="s">
        <v>96</v>
      </c>
      <c r="F315" t="s">
        <v>97</v>
      </c>
      <c r="G315" s="5">
        <v>910</v>
      </c>
      <c r="H315" s="5">
        <v>945</v>
      </c>
      <c r="I315" s="5">
        <v>944</v>
      </c>
      <c r="J315" s="5">
        <v>1</v>
      </c>
      <c r="K315" s="8">
        <f t="shared" si="10"/>
        <v>103.84615384615385</v>
      </c>
      <c r="L315" s="8">
        <f t="shared" si="11"/>
        <v>0.1059322033898305</v>
      </c>
      <c r="M315" t="s">
        <v>20</v>
      </c>
      <c r="N315" t="s">
        <v>21</v>
      </c>
    </row>
    <row r="316" spans="1:14" x14ac:dyDescent="0.3">
      <c r="A316" t="s">
        <v>1226</v>
      </c>
      <c r="B316" s="2">
        <v>46233</v>
      </c>
      <c r="C316" s="2">
        <v>46235</v>
      </c>
      <c r="D316" s="1" t="s">
        <v>289</v>
      </c>
      <c r="E316" t="s">
        <v>290</v>
      </c>
      <c r="F316" t="s">
        <v>97</v>
      </c>
      <c r="G316" s="5">
        <v>624</v>
      </c>
      <c r="H316" s="5">
        <v>648</v>
      </c>
      <c r="I316" s="5">
        <v>646</v>
      </c>
      <c r="J316" s="5">
        <v>2</v>
      </c>
      <c r="K316" s="8">
        <f t="shared" si="10"/>
        <v>103.84615384615385</v>
      </c>
      <c r="L316" s="8">
        <f t="shared" si="11"/>
        <v>0.30959752321981426</v>
      </c>
      <c r="M316" t="s">
        <v>20</v>
      </c>
      <c r="N316" t="s">
        <v>21</v>
      </c>
    </row>
    <row r="317" spans="1:14" x14ac:dyDescent="0.3">
      <c r="A317" t="s">
        <v>1227</v>
      </c>
      <c r="B317" s="2">
        <v>46233</v>
      </c>
      <c r="C317" s="2">
        <v>46235</v>
      </c>
      <c r="D317" s="1" t="s">
        <v>284</v>
      </c>
      <c r="E317" t="s">
        <v>285</v>
      </c>
      <c r="F317" t="s">
        <v>97</v>
      </c>
      <c r="G317" s="5">
        <v>385</v>
      </c>
      <c r="H317" s="5">
        <v>420</v>
      </c>
      <c r="I317" s="5">
        <v>420</v>
      </c>
      <c r="J317" s="5">
        <v>0</v>
      </c>
      <c r="K317" s="8">
        <f t="shared" si="10"/>
        <v>109.09090909090908</v>
      </c>
      <c r="L317" s="8">
        <f t="shared" si="11"/>
        <v>0</v>
      </c>
      <c r="M317" t="s">
        <v>20</v>
      </c>
      <c r="N317" t="s">
        <v>21</v>
      </c>
    </row>
    <row r="318" spans="1:14" x14ac:dyDescent="0.3">
      <c r="A318" t="s">
        <v>1228</v>
      </c>
      <c r="B318" s="2">
        <v>46233</v>
      </c>
      <c r="C318" s="2">
        <v>46235</v>
      </c>
      <c r="D318" s="1" t="s">
        <v>412</v>
      </c>
      <c r="E318" t="s">
        <v>413</v>
      </c>
      <c r="F318" t="s">
        <v>97</v>
      </c>
      <c r="G318" s="5">
        <v>600</v>
      </c>
      <c r="H318" s="5">
        <v>624</v>
      </c>
      <c r="I318" s="5">
        <v>624</v>
      </c>
      <c r="J318" s="5">
        <v>0</v>
      </c>
      <c r="K318" s="8">
        <f t="shared" si="10"/>
        <v>104</v>
      </c>
      <c r="L318" s="8">
        <f t="shared" si="11"/>
        <v>0</v>
      </c>
      <c r="M318" t="s">
        <v>20</v>
      </c>
      <c r="N318" t="s">
        <v>21</v>
      </c>
    </row>
    <row r="319" spans="1:14" x14ac:dyDescent="0.3">
      <c r="A319" t="s">
        <v>1229</v>
      </c>
      <c r="B319" s="2">
        <v>46233</v>
      </c>
      <c r="C319" s="2">
        <v>46235</v>
      </c>
      <c r="D319" s="1" t="s">
        <v>367</v>
      </c>
      <c r="E319" t="s">
        <v>368</v>
      </c>
      <c r="F319" t="s">
        <v>97</v>
      </c>
      <c r="G319" s="5">
        <v>23</v>
      </c>
      <c r="H319" s="5">
        <v>25</v>
      </c>
      <c r="I319" s="5">
        <v>25</v>
      </c>
      <c r="J319" s="5">
        <v>0</v>
      </c>
      <c r="K319" s="8">
        <f t="shared" si="10"/>
        <v>108.69565217391303</v>
      </c>
      <c r="L319" s="8">
        <f t="shared" si="11"/>
        <v>0</v>
      </c>
      <c r="M319" t="s">
        <v>20</v>
      </c>
      <c r="N319" t="s">
        <v>21</v>
      </c>
    </row>
    <row r="320" spans="1:14" x14ac:dyDescent="0.3">
      <c r="A320" t="s">
        <v>1230</v>
      </c>
      <c r="B320" s="2">
        <v>46233</v>
      </c>
      <c r="C320" s="2">
        <v>46235</v>
      </c>
      <c r="D320" s="1" t="s">
        <v>66</v>
      </c>
      <c r="E320" t="s">
        <v>67</v>
      </c>
      <c r="F320" t="s">
        <v>61</v>
      </c>
      <c r="G320" s="5">
        <v>300</v>
      </c>
      <c r="H320" s="5">
        <v>312</v>
      </c>
      <c r="I320" s="5">
        <v>312</v>
      </c>
      <c r="J320" s="5">
        <v>0</v>
      </c>
      <c r="K320" s="8">
        <f t="shared" si="10"/>
        <v>104</v>
      </c>
      <c r="L320" s="8">
        <f t="shared" si="11"/>
        <v>0</v>
      </c>
      <c r="M320" t="s">
        <v>20</v>
      </c>
      <c r="N320" t="s">
        <v>21</v>
      </c>
    </row>
    <row r="321" spans="1:14" x14ac:dyDescent="0.3">
      <c r="A321" t="s">
        <v>1231</v>
      </c>
      <c r="B321" s="2">
        <v>46233</v>
      </c>
      <c r="C321" s="2">
        <v>46235</v>
      </c>
      <c r="D321" s="1" t="s">
        <v>129</v>
      </c>
      <c r="E321" t="s">
        <v>130</v>
      </c>
      <c r="F321" t="s">
        <v>61</v>
      </c>
      <c r="G321" s="5">
        <v>360</v>
      </c>
      <c r="H321" s="5">
        <v>362</v>
      </c>
      <c r="I321" s="5">
        <v>360</v>
      </c>
      <c r="J321" s="5">
        <v>2</v>
      </c>
      <c r="K321" s="8">
        <f t="shared" si="10"/>
        <v>100.55555555555556</v>
      </c>
      <c r="L321" s="8">
        <f t="shared" si="11"/>
        <v>0.55555555555555558</v>
      </c>
      <c r="M321" t="s">
        <v>20</v>
      </c>
      <c r="N321" t="s">
        <v>21</v>
      </c>
    </row>
    <row r="322" spans="1:14" x14ac:dyDescent="0.3">
      <c r="A322" t="s">
        <v>1232</v>
      </c>
      <c r="B322" s="2">
        <v>46233</v>
      </c>
      <c r="C322" s="2">
        <v>46235</v>
      </c>
      <c r="D322" s="1" t="s">
        <v>386</v>
      </c>
      <c r="E322" t="s">
        <v>387</v>
      </c>
      <c r="F322" t="s">
        <v>61</v>
      </c>
      <c r="G322" s="5">
        <v>300</v>
      </c>
      <c r="H322" s="5">
        <v>300</v>
      </c>
      <c r="I322" s="5">
        <v>300</v>
      </c>
      <c r="J322" s="5">
        <v>0</v>
      </c>
      <c r="K322" s="8">
        <f t="shared" si="10"/>
        <v>100</v>
      </c>
      <c r="L322" s="8">
        <f t="shared" si="11"/>
        <v>0</v>
      </c>
      <c r="M322" t="s">
        <v>20</v>
      </c>
      <c r="N322" t="s">
        <v>21</v>
      </c>
    </row>
    <row r="323" spans="1:14" x14ac:dyDescent="0.3">
      <c r="A323" t="s">
        <v>1233</v>
      </c>
      <c r="B323" s="2">
        <v>46234</v>
      </c>
      <c r="C323" s="2">
        <v>46235</v>
      </c>
      <c r="D323" s="1" t="s">
        <v>189</v>
      </c>
      <c r="E323" t="s">
        <v>190</v>
      </c>
      <c r="F323" t="s">
        <v>97</v>
      </c>
      <c r="G323" s="5">
        <v>150</v>
      </c>
      <c r="H323" s="5">
        <v>169</v>
      </c>
      <c r="I323" s="5">
        <v>169</v>
      </c>
      <c r="J323" s="5">
        <v>0</v>
      </c>
      <c r="K323" s="8">
        <f t="shared" si="10"/>
        <v>112.66666666666667</v>
      </c>
      <c r="L323" s="8">
        <f t="shared" si="11"/>
        <v>0</v>
      </c>
      <c r="M323" t="s">
        <v>20</v>
      </c>
      <c r="N323" t="s">
        <v>21</v>
      </c>
    </row>
    <row r="324" spans="1:14" x14ac:dyDescent="0.3">
      <c r="A324" t="s">
        <v>1234</v>
      </c>
      <c r="B324" s="2">
        <v>46234</v>
      </c>
      <c r="C324" s="2">
        <v>46235</v>
      </c>
      <c r="D324" s="1" t="s">
        <v>171</v>
      </c>
      <c r="E324" t="s">
        <v>172</v>
      </c>
      <c r="F324" t="s">
        <v>97</v>
      </c>
      <c r="G324" s="5">
        <v>150</v>
      </c>
      <c r="H324" s="5">
        <v>153</v>
      </c>
      <c r="I324" s="5">
        <v>153</v>
      </c>
      <c r="J324" s="5">
        <v>0</v>
      </c>
      <c r="K324" s="8">
        <f t="shared" si="10"/>
        <v>102</v>
      </c>
      <c r="L324" s="8">
        <f t="shared" si="11"/>
        <v>0</v>
      </c>
      <c r="M324" t="s">
        <v>20</v>
      </c>
      <c r="N324" t="s">
        <v>21</v>
      </c>
    </row>
    <row r="325" spans="1:14" x14ac:dyDescent="0.3">
      <c r="A325" t="s">
        <v>1235</v>
      </c>
      <c r="B325" s="2">
        <v>46234</v>
      </c>
      <c r="C325" s="2">
        <v>46235</v>
      </c>
      <c r="D325" s="1" t="s">
        <v>183</v>
      </c>
      <c r="E325" t="s">
        <v>184</v>
      </c>
      <c r="F325" t="s">
        <v>97</v>
      </c>
      <c r="G325" s="5">
        <v>150</v>
      </c>
      <c r="H325" s="5">
        <v>154</v>
      </c>
      <c r="I325" s="5">
        <v>154</v>
      </c>
      <c r="J325" s="5">
        <v>0</v>
      </c>
      <c r="K325" s="8">
        <f t="shared" si="10"/>
        <v>102.66666666666666</v>
      </c>
      <c r="L325" s="8">
        <f t="shared" si="11"/>
        <v>0</v>
      </c>
      <c r="M325" t="s">
        <v>20</v>
      </c>
      <c r="N325" t="s">
        <v>21</v>
      </c>
    </row>
    <row r="326" spans="1:14" x14ac:dyDescent="0.3">
      <c r="A326" t="s">
        <v>1236</v>
      </c>
      <c r="B326" s="2">
        <v>46234</v>
      </c>
      <c r="C326" s="2">
        <v>46235</v>
      </c>
      <c r="D326" s="1" t="s">
        <v>164</v>
      </c>
      <c r="E326" t="s">
        <v>165</v>
      </c>
      <c r="F326" t="s">
        <v>97</v>
      </c>
      <c r="G326" s="5">
        <v>225</v>
      </c>
      <c r="H326" s="5">
        <v>233</v>
      </c>
      <c r="I326" s="5">
        <v>233</v>
      </c>
      <c r="J326" s="5">
        <v>0</v>
      </c>
      <c r="K326" s="8">
        <f t="shared" si="10"/>
        <v>103.55555555555556</v>
      </c>
      <c r="L326" s="8">
        <f t="shared" si="11"/>
        <v>0</v>
      </c>
      <c r="M326" t="s">
        <v>20</v>
      </c>
      <c r="N326" t="s">
        <v>21</v>
      </c>
    </row>
    <row r="327" spans="1:14" x14ac:dyDescent="0.3">
      <c r="A327" t="s">
        <v>1237</v>
      </c>
      <c r="B327" s="2">
        <v>46234</v>
      </c>
      <c r="C327" s="2">
        <v>46235</v>
      </c>
      <c r="D327" s="1" t="s">
        <v>178</v>
      </c>
      <c r="E327" t="s">
        <v>179</v>
      </c>
      <c r="F327" t="s">
        <v>97</v>
      </c>
      <c r="G327" s="5">
        <v>150</v>
      </c>
      <c r="H327" s="5">
        <v>155</v>
      </c>
      <c r="I327" s="5">
        <v>154</v>
      </c>
      <c r="J327" s="5">
        <v>1</v>
      </c>
      <c r="K327" s="8">
        <f t="shared" si="10"/>
        <v>103.33333333333334</v>
      </c>
      <c r="L327" s="8">
        <f t="shared" si="11"/>
        <v>0.64935064935064934</v>
      </c>
      <c r="M327" t="s">
        <v>20</v>
      </c>
      <c r="N327" t="s">
        <v>21</v>
      </c>
    </row>
    <row r="328" spans="1:14" x14ac:dyDescent="0.3">
      <c r="A328" t="s">
        <v>1238</v>
      </c>
      <c r="B328" s="2">
        <v>46234</v>
      </c>
      <c r="C328" s="2">
        <v>46235</v>
      </c>
      <c r="D328" s="1" t="s">
        <v>1239</v>
      </c>
      <c r="E328" t="s">
        <v>1240</v>
      </c>
      <c r="F328" t="s">
        <v>97</v>
      </c>
      <c r="G328" s="5">
        <v>100</v>
      </c>
      <c r="H328" s="5">
        <v>100</v>
      </c>
      <c r="I328" s="5">
        <v>100</v>
      </c>
      <c r="J328" s="5">
        <v>0</v>
      </c>
      <c r="K328" s="8">
        <f t="shared" si="10"/>
        <v>100</v>
      </c>
      <c r="L328" s="8">
        <f t="shared" si="11"/>
        <v>0</v>
      </c>
      <c r="M328" t="s">
        <v>20</v>
      </c>
      <c r="N328" t="s">
        <v>21</v>
      </c>
    </row>
    <row r="329" spans="1:14" x14ac:dyDescent="0.3">
      <c r="A329" t="s">
        <v>1241</v>
      </c>
      <c r="B329" s="2">
        <v>46234</v>
      </c>
      <c r="C329" s="2">
        <v>46235</v>
      </c>
      <c r="D329" s="1" t="s">
        <v>66</v>
      </c>
      <c r="E329" t="s">
        <v>67</v>
      </c>
      <c r="F329" t="s">
        <v>61</v>
      </c>
      <c r="G329" s="5">
        <v>300</v>
      </c>
      <c r="H329" s="5">
        <v>304</v>
      </c>
      <c r="I329" s="5">
        <v>304</v>
      </c>
      <c r="J329" s="5">
        <v>0</v>
      </c>
      <c r="K329" s="8">
        <f t="shared" si="10"/>
        <v>101.33333333333334</v>
      </c>
      <c r="L329" s="8">
        <f t="shared" si="11"/>
        <v>0</v>
      </c>
      <c r="M329" t="s">
        <v>20</v>
      </c>
      <c r="N329" t="s">
        <v>21</v>
      </c>
    </row>
    <row r="330" spans="1:14" x14ac:dyDescent="0.3">
      <c r="A330" t="s">
        <v>1242</v>
      </c>
      <c r="B330" s="2">
        <v>46234</v>
      </c>
      <c r="C330" s="2">
        <v>46235</v>
      </c>
      <c r="D330" s="1" t="s">
        <v>129</v>
      </c>
      <c r="E330" t="s">
        <v>130</v>
      </c>
      <c r="F330" t="s">
        <v>61</v>
      </c>
      <c r="G330" s="5">
        <v>306</v>
      </c>
      <c r="H330" s="5">
        <v>326</v>
      </c>
      <c r="I330" s="5">
        <v>324</v>
      </c>
      <c r="J330" s="5">
        <v>2</v>
      </c>
      <c r="K330" s="8">
        <f t="shared" si="10"/>
        <v>106.53594771241831</v>
      </c>
      <c r="L330" s="8">
        <f t="shared" si="11"/>
        <v>0.61728395061728392</v>
      </c>
      <c r="M330" t="s">
        <v>20</v>
      </c>
      <c r="N330" t="s">
        <v>21</v>
      </c>
    </row>
    <row r="331" spans="1:14" x14ac:dyDescent="0.3">
      <c r="A331" t="s">
        <v>1243</v>
      </c>
      <c r="B331" s="2">
        <v>46234</v>
      </c>
      <c r="C331" s="2">
        <v>46235</v>
      </c>
      <c r="D331" s="1" t="s">
        <v>44</v>
      </c>
      <c r="E331" t="s">
        <v>45</v>
      </c>
      <c r="F331" t="s">
        <v>46</v>
      </c>
      <c r="G331" s="5">
        <v>78</v>
      </c>
      <c r="H331" s="5">
        <v>78</v>
      </c>
      <c r="I331" s="5">
        <v>77</v>
      </c>
      <c r="J331" s="5">
        <v>1</v>
      </c>
      <c r="K331" s="8">
        <f t="shared" si="10"/>
        <v>100</v>
      </c>
      <c r="L331" s="8">
        <f t="shared" si="11"/>
        <v>1.2987012987012987</v>
      </c>
      <c r="M331" t="s">
        <v>20</v>
      </c>
      <c r="N331" t="s">
        <v>21</v>
      </c>
    </row>
    <row r="332" spans="1:14" x14ac:dyDescent="0.3">
      <c r="A332" t="s">
        <v>1244</v>
      </c>
      <c r="B332" s="2">
        <v>46234</v>
      </c>
      <c r="C332" s="2">
        <v>46235</v>
      </c>
      <c r="D332" s="1" t="s">
        <v>1245</v>
      </c>
      <c r="E332" t="s">
        <v>1246</v>
      </c>
      <c r="F332" t="s">
        <v>46</v>
      </c>
      <c r="G332" s="5">
        <v>150</v>
      </c>
      <c r="H332" s="5">
        <v>151</v>
      </c>
      <c r="I332" s="5">
        <v>151</v>
      </c>
      <c r="J332" s="5">
        <v>0</v>
      </c>
      <c r="K332" s="8">
        <f t="shared" si="10"/>
        <v>100.66666666666666</v>
      </c>
      <c r="L332" s="8">
        <f t="shared" si="11"/>
        <v>0</v>
      </c>
      <c r="M332" t="s">
        <v>20</v>
      </c>
      <c r="N332" t="s">
        <v>21</v>
      </c>
    </row>
    <row r="333" spans="1:14" x14ac:dyDescent="0.3">
      <c r="A333" t="s">
        <v>1247</v>
      </c>
      <c r="B333" s="2">
        <v>46234</v>
      </c>
      <c r="C333" s="2">
        <v>46235</v>
      </c>
      <c r="D333" s="1" t="s">
        <v>85</v>
      </c>
      <c r="E333" t="s">
        <v>86</v>
      </c>
      <c r="F333" t="s">
        <v>19</v>
      </c>
      <c r="G333" s="5">
        <v>95</v>
      </c>
      <c r="H333" s="5">
        <v>95</v>
      </c>
      <c r="I333" s="5">
        <v>95</v>
      </c>
      <c r="J333" s="5">
        <v>0</v>
      </c>
      <c r="K333" s="8">
        <f t="shared" si="10"/>
        <v>100</v>
      </c>
      <c r="L333" s="8">
        <f t="shared" si="11"/>
        <v>0</v>
      </c>
      <c r="M333" t="s">
        <v>20</v>
      </c>
      <c r="N333" t="s">
        <v>21</v>
      </c>
    </row>
    <row r="334" spans="1:14" x14ac:dyDescent="0.3">
      <c r="A334" t="s">
        <v>1248</v>
      </c>
      <c r="B334" s="2">
        <v>46234</v>
      </c>
      <c r="C334" s="2">
        <v>46235</v>
      </c>
      <c r="D334" s="1" t="s">
        <v>198</v>
      </c>
      <c r="E334" t="s">
        <v>199</v>
      </c>
      <c r="F334" t="s">
        <v>19</v>
      </c>
      <c r="G334" s="5">
        <v>39</v>
      </c>
      <c r="H334" s="5">
        <v>39</v>
      </c>
      <c r="I334" s="5">
        <v>39</v>
      </c>
      <c r="J334" s="5">
        <v>0</v>
      </c>
      <c r="K334" s="8">
        <f t="shared" si="10"/>
        <v>100</v>
      </c>
      <c r="L334" s="8">
        <f t="shared" si="11"/>
        <v>0</v>
      </c>
      <c r="M334" t="s">
        <v>20</v>
      </c>
      <c r="N334" t="s">
        <v>21</v>
      </c>
    </row>
    <row r="335" spans="1:14" x14ac:dyDescent="0.3">
      <c r="A335" t="s">
        <v>1249</v>
      </c>
      <c r="B335" s="2">
        <v>46234</v>
      </c>
      <c r="C335" s="2">
        <v>46235</v>
      </c>
      <c r="D335" s="1" t="s">
        <v>198</v>
      </c>
      <c r="E335" t="s">
        <v>199</v>
      </c>
      <c r="F335" t="s">
        <v>19</v>
      </c>
      <c r="G335" s="5">
        <v>28</v>
      </c>
      <c r="H335" s="5">
        <v>28</v>
      </c>
      <c r="I335" s="5">
        <v>28</v>
      </c>
      <c r="J335" s="5">
        <v>0</v>
      </c>
      <c r="K335" s="8">
        <f t="shared" si="10"/>
        <v>100</v>
      </c>
      <c r="L335" s="8">
        <f t="shared" si="11"/>
        <v>0</v>
      </c>
      <c r="M335" t="s">
        <v>20</v>
      </c>
      <c r="N335" t="s">
        <v>21</v>
      </c>
    </row>
    <row r="336" spans="1:14" x14ac:dyDescent="0.3">
      <c r="A336" t="s">
        <v>1250</v>
      </c>
      <c r="B336" s="2">
        <v>46234</v>
      </c>
      <c r="C336" s="2">
        <v>46235</v>
      </c>
      <c r="D336" s="1" t="s">
        <v>256</v>
      </c>
      <c r="E336" t="s">
        <v>257</v>
      </c>
      <c r="F336" t="s">
        <v>19</v>
      </c>
      <c r="G336" s="5">
        <v>330</v>
      </c>
      <c r="H336" s="5">
        <v>330</v>
      </c>
      <c r="I336" s="5">
        <v>330</v>
      </c>
      <c r="J336" s="5">
        <v>0</v>
      </c>
      <c r="K336" s="8">
        <f t="shared" si="10"/>
        <v>100</v>
      </c>
      <c r="L336" s="8">
        <f t="shared" si="11"/>
        <v>0</v>
      </c>
      <c r="M336" t="s">
        <v>20</v>
      </c>
      <c r="N336" t="s">
        <v>21</v>
      </c>
    </row>
    <row r="337" spans="1:14" x14ac:dyDescent="0.3">
      <c r="A337" t="s">
        <v>1251</v>
      </c>
      <c r="B337" s="2">
        <v>46234</v>
      </c>
      <c r="C337" s="2">
        <v>46235</v>
      </c>
      <c r="D337" s="1" t="s">
        <v>27</v>
      </c>
      <c r="E337" t="s">
        <v>28</v>
      </c>
      <c r="F337" t="s">
        <v>19</v>
      </c>
      <c r="G337" s="5">
        <v>700</v>
      </c>
      <c r="H337" s="5">
        <v>700</v>
      </c>
      <c r="I337" s="5">
        <v>700</v>
      </c>
      <c r="J337" s="5">
        <v>0</v>
      </c>
      <c r="K337" s="8">
        <f t="shared" si="10"/>
        <v>100</v>
      </c>
      <c r="L337" s="8">
        <f t="shared" si="11"/>
        <v>0</v>
      </c>
      <c r="M337" t="s">
        <v>20</v>
      </c>
      <c r="N337" t="s">
        <v>21</v>
      </c>
    </row>
    <row r="338" spans="1:14" x14ac:dyDescent="0.3">
      <c r="A338" t="s">
        <v>1252</v>
      </c>
      <c r="B338" s="2">
        <v>46230</v>
      </c>
      <c r="C338" s="2">
        <v>46235</v>
      </c>
      <c r="D338" s="1" t="s">
        <v>352</v>
      </c>
      <c r="E338" t="s">
        <v>353</v>
      </c>
      <c r="F338" t="s">
        <v>19</v>
      </c>
      <c r="G338" s="5">
        <v>125</v>
      </c>
      <c r="H338" s="5">
        <v>125</v>
      </c>
      <c r="I338" s="5">
        <v>125</v>
      </c>
      <c r="J338" s="5">
        <v>0</v>
      </c>
      <c r="K338" s="8">
        <f t="shared" si="10"/>
        <v>100</v>
      </c>
      <c r="L338" s="8">
        <f t="shared" si="11"/>
        <v>0</v>
      </c>
      <c r="M338" t="s">
        <v>20</v>
      </c>
      <c r="N338" t="s">
        <v>21</v>
      </c>
    </row>
    <row r="339" spans="1:14" x14ac:dyDescent="0.3">
      <c r="A339" t="s">
        <v>1253</v>
      </c>
      <c r="B339" s="2">
        <v>46225</v>
      </c>
      <c r="C339" s="2">
        <v>46237</v>
      </c>
      <c r="D339" s="1" t="s">
        <v>1254</v>
      </c>
      <c r="E339" t="s">
        <v>1255</v>
      </c>
      <c r="F339" t="s">
        <v>97</v>
      </c>
      <c r="G339" s="5">
        <v>48</v>
      </c>
      <c r="H339" s="5">
        <v>35</v>
      </c>
      <c r="I339" s="5">
        <v>35</v>
      </c>
      <c r="J339" s="5">
        <v>0</v>
      </c>
      <c r="K339" s="8">
        <f t="shared" si="10"/>
        <v>72.916666666666657</v>
      </c>
      <c r="L339" s="8">
        <f t="shared" si="11"/>
        <v>0</v>
      </c>
      <c r="M339" t="s">
        <v>20</v>
      </c>
      <c r="N339" t="s">
        <v>21</v>
      </c>
    </row>
    <row r="340" spans="1:14" x14ac:dyDescent="0.3">
      <c r="A340" t="s">
        <v>1256</v>
      </c>
      <c r="B340" s="2">
        <v>46231</v>
      </c>
      <c r="C340" s="2">
        <v>46237</v>
      </c>
      <c r="D340" s="1" t="s">
        <v>272</v>
      </c>
      <c r="E340" t="s">
        <v>273</v>
      </c>
      <c r="F340" t="s">
        <v>61</v>
      </c>
      <c r="G340" s="5">
        <v>1729</v>
      </c>
      <c r="H340" s="5">
        <v>1734</v>
      </c>
      <c r="I340" s="5">
        <v>1729</v>
      </c>
      <c r="J340" s="5">
        <v>5</v>
      </c>
      <c r="K340" s="8">
        <f t="shared" si="10"/>
        <v>100.28918449971083</v>
      </c>
      <c r="L340" s="8">
        <f t="shared" si="11"/>
        <v>0.2891844997108155</v>
      </c>
      <c r="M340" t="s">
        <v>20</v>
      </c>
      <c r="N340" t="s">
        <v>21</v>
      </c>
    </row>
    <row r="341" spans="1:14" x14ac:dyDescent="0.3">
      <c r="A341" t="s">
        <v>1257</v>
      </c>
      <c r="B341" s="2">
        <v>46233</v>
      </c>
      <c r="C341" s="2">
        <v>46237</v>
      </c>
      <c r="D341" s="1" t="s">
        <v>272</v>
      </c>
      <c r="E341" t="s">
        <v>273</v>
      </c>
      <c r="F341" t="s">
        <v>61</v>
      </c>
      <c r="G341" s="5">
        <v>2086</v>
      </c>
      <c r="H341" s="5">
        <v>2157</v>
      </c>
      <c r="I341" s="5">
        <v>2149</v>
      </c>
      <c r="J341" s="5">
        <v>8</v>
      </c>
      <c r="K341" s="8">
        <f t="shared" si="10"/>
        <v>103.40364333652926</v>
      </c>
      <c r="L341" s="8">
        <f t="shared" si="11"/>
        <v>0.37226617031177295</v>
      </c>
      <c r="M341" t="s">
        <v>20</v>
      </c>
      <c r="N341" t="s">
        <v>21</v>
      </c>
    </row>
    <row r="342" spans="1:14" x14ac:dyDescent="0.3">
      <c r="A342" t="s">
        <v>1258</v>
      </c>
      <c r="B342" s="2">
        <v>46234</v>
      </c>
      <c r="C342" s="2">
        <v>46237</v>
      </c>
      <c r="D342" s="1" t="s">
        <v>54</v>
      </c>
      <c r="E342" t="s">
        <v>55</v>
      </c>
      <c r="F342" t="s">
        <v>39</v>
      </c>
      <c r="G342" s="5">
        <v>621</v>
      </c>
      <c r="H342" s="5">
        <v>573</v>
      </c>
      <c r="I342" s="5">
        <v>558</v>
      </c>
      <c r="J342" s="5">
        <v>15</v>
      </c>
      <c r="K342" s="8">
        <f t="shared" si="10"/>
        <v>92.270531400966178</v>
      </c>
      <c r="L342" s="8">
        <f t="shared" si="11"/>
        <v>2.6881720430107525</v>
      </c>
      <c r="M342" t="s">
        <v>20</v>
      </c>
      <c r="N342" t="s">
        <v>21</v>
      </c>
    </row>
    <row r="343" spans="1:14" x14ac:dyDescent="0.3">
      <c r="A343" t="s">
        <v>1259</v>
      </c>
      <c r="B343" s="2">
        <v>46234</v>
      </c>
      <c r="C343" s="2">
        <v>46237</v>
      </c>
      <c r="D343" s="1" t="s">
        <v>370</v>
      </c>
      <c r="E343" t="s">
        <v>371</v>
      </c>
      <c r="F343" t="s">
        <v>97</v>
      </c>
      <c r="G343" s="5">
        <v>22</v>
      </c>
      <c r="H343" s="5">
        <v>22</v>
      </c>
      <c r="I343" s="5">
        <v>21</v>
      </c>
      <c r="J343" s="5">
        <v>1</v>
      </c>
      <c r="K343" s="8">
        <f t="shared" si="10"/>
        <v>100</v>
      </c>
      <c r="L343" s="8">
        <f t="shared" si="11"/>
        <v>4.7619047619047619</v>
      </c>
      <c r="M343" t="s">
        <v>20</v>
      </c>
      <c r="N343" t="s">
        <v>21</v>
      </c>
    </row>
    <row r="344" spans="1:14" x14ac:dyDescent="0.3">
      <c r="A344" t="s">
        <v>1260</v>
      </c>
      <c r="B344" s="2">
        <v>46234</v>
      </c>
      <c r="C344" s="2">
        <v>46237</v>
      </c>
      <c r="D344" s="1" t="s">
        <v>281</v>
      </c>
      <c r="E344" t="s">
        <v>282</v>
      </c>
      <c r="F344" t="s">
        <v>97</v>
      </c>
      <c r="G344" s="5">
        <v>576</v>
      </c>
      <c r="H344" s="5">
        <v>624</v>
      </c>
      <c r="I344" s="5">
        <v>624</v>
      </c>
      <c r="J344" s="5">
        <v>0</v>
      </c>
      <c r="K344" s="8">
        <f t="shared" si="10"/>
        <v>108.33333333333333</v>
      </c>
      <c r="L344" s="8">
        <f t="shared" si="11"/>
        <v>0</v>
      </c>
      <c r="M344" t="s">
        <v>20</v>
      </c>
      <c r="N344" t="s">
        <v>21</v>
      </c>
    </row>
    <row r="345" spans="1:14" x14ac:dyDescent="0.3">
      <c r="A345" t="s">
        <v>1261</v>
      </c>
      <c r="B345" s="2">
        <v>46235</v>
      </c>
      <c r="C345" s="2">
        <v>46240</v>
      </c>
      <c r="D345" s="1" t="s">
        <v>272</v>
      </c>
      <c r="E345" t="s">
        <v>273</v>
      </c>
      <c r="F345" t="s">
        <v>61</v>
      </c>
      <c r="G345" s="5">
        <v>1820</v>
      </c>
      <c r="H345" s="5">
        <v>1830</v>
      </c>
      <c r="I345" s="5">
        <v>1820</v>
      </c>
      <c r="J345" s="5">
        <v>10</v>
      </c>
      <c r="K345" s="8">
        <f t="shared" si="10"/>
        <v>100.54945054945054</v>
      </c>
      <c r="L345" s="8">
        <f t="shared" si="11"/>
        <v>0.5494505494505495</v>
      </c>
      <c r="M345" t="s">
        <v>20</v>
      </c>
      <c r="N345" t="s">
        <v>21</v>
      </c>
    </row>
    <row r="346" spans="1:14" x14ac:dyDescent="0.3">
      <c r="A346" t="s">
        <v>1262</v>
      </c>
      <c r="B346" s="2">
        <v>46237</v>
      </c>
      <c r="C346" s="2">
        <v>46240</v>
      </c>
      <c r="D346" s="1" t="s">
        <v>152</v>
      </c>
      <c r="E346" t="s">
        <v>153</v>
      </c>
      <c r="F346" t="s">
        <v>39</v>
      </c>
      <c r="G346" s="5">
        <v>142</v>
      </c>
      <c r="H346" s="5">
        <v>153</v>
      </c>
      <c r="I346" s="5">
        <v>152</v>
      </c>
      <c r="J346" s="5">
        <v>1</v>
      </c>
      <c r="K346" s="8">
        <f t="shared" si="10"/>
        <v>107.74647887323943</v>
      </c>
      <c r="L346" s="8">
        <f t="shared" si="11"/>
        <v>0.6578947368421052</v>
      </c>
      <c r="M346" t="s">
        <v>20</v>
      </c>
      <c r="N346" t="s">
        <v>21</v>
      </c>
    </row>
    <row r="347" spans="1:14" x14ac:dyDescent="0.3">
      <c r="A347" t="s">
        <v>1263</v>
      </c>
      <c r="B347" s="2">
        <v>46237</v>
      </c>
      <c r="C347" s="2">
        <v>46240</v>
      </c>
      <c r="D347" s="1" t="s">
        <v>189</v>
      </c>
      <c r="E347" t="s">
        <v>190</v>
      </c>
      <c r="F347" t="s">
        <v>97</v>
      </c>
      <c r="G347" s="5">
        <v>150</v>
      </c>
      <c r="H347" s="5">
        <v>168</v>
      </c>
      <c r="I347" s="5">
        <v>164</v>
      </c>
      <c r="J347" s="5">
        <v>4</v>
      </c>
      <c r="K347" s="8">
        <f t="shared" si="10"/>
        <v>112.00000000000001</v>
      </c>
      <c r="L347" s="8">
        <f t="shared" si="11"/>
        <v>2.4390243902439024</v>
      </c>
      <c r="M347" t="s">
        <v>20</v>
      </c>
      <c r="N347" t="s">
        <v>21</v>
      </c>
    </row>
    <row r="348" spans="1:14" x14ac:dyDescent="0.3">
      <c r="A348" t="s">
        <v>1264</v>
      </c>
      <c r="B348" s="2">
        <v>46237</v>
      </c>
      <c r="C348" s="2">
        <v>46240</v>
      </c>
      <c r="D348" s="1" t="s">
        <v>171</v>
      </c>
      <c r="E348" t="s">
        <v>172</v>
      </c>
      <c r="F348" t="s">
        <v>97</v>
      </c>
      <c r="G348" s="5">
        <v>150</v>
      </c>
      <c r="H348" s="5">
        <v>155</v>
      </c>
      <c r="I348" s="5">
        <v>155</v>
      </c>
      <c r="J348" s="5">
        <v>0</v>
      </c>
      <c r="K348" s="8">
        <f t="shared" si="10"/>
        <v>103.33333333333334</v>
      </c>
      <c r="L348" s="8">
        <f t="shared" si="11"/>
        <v>0</v>
      </c>
      <c r="M348" t="s">
        <v>20</v>
      </c>
      <c r="N348" t="s">
        <v>21</v>
      </c>
    </row>
    <row r="349" spans="1:14" x14ac:dyDescent="0.3">
      <c r="A349" t="s">
        <v>1265</v>
      </c>
      <c r="B349" s="2">
        <v>46237</v>
      </c>
      <c r="C349" s="2">
        <v>46240</v>
      </c>
      <c r="D349" s="1" t="s">
        <v>183</v>
      </c>
      <c r="E349" t="s">
        <v>184</v>
      </c>
      <c r="F349" t="s">
        <v>97</v>
      </c>
      <c r="G349" s="5">
        <v>150</v>
      </c>
      <c r="H349" s="5">
        <v>154</v>
      </c>
      <c r="I349" s="5">
        <v>153</v>
      </c>
      <c r="J349" s="5">
        <v>1</v>
      </c>
      <c r="K349" s="8">
        <f t="shared" si="10"/>
        <v>102.66666666666666</v>
      </c>
      <c r="L349" s="8">
        <f t="shared" si="11"/>
        <v>0.65359477124183007</v>
      </c>
      <c r="M349" t="s">
        <v>20</v>
      </c>
      <c r="N349" t="s">
        <v>21</v>
      </c>
    </row>
    <row r="350" spans="1:14" x14ac:dyDescent="0.3">
      <c r="A350" t="s">
        <v>1266</v>
      </c>
      <c r="B350" s="2">
        <v>46237</v>
      </c>
      <c r="C350" s="2">
        <v>46240</v>
      </c>
      <c r="D350" s="1" t="s">
        <v>164</v>
      </c>
      <c r="E350" t="s">
        <v>165</v>
      </c>
      <c r="F350" t="s">
        <v>97</v>
      </c>
      <c r="G350" s="5">
        <v>150</v>
      </c>
      <c r="H350" s="5">
        <v>156</v>
      </c>
      <c r="I350" s="5">
        <v>156</v>
      </c>
      <c r="J350" s="5">
        <v>0</v>
      </c>
      <c r="K350" s="8">
        <f t="shared" si="10"/>
        <v>104</v>
      </c>
      <c r="L350" s="8">
        <f t="shared" si="11"/>
        <v>0</v>
      </c>
      <c r="M350" t="s">
        <v>20</v>
      </c>
      <c r="N350" t="s">
        <v>21</v>
      </c>
    </row>
    <row r="351" spans="1:14" x14ac:dyDescent="0.3">
      <c r="A351" t="s">
        <v>1267</v>
      </c>
      <c r="B351" s="2">
        <v>46237</v>
      </c>
      <c r="C351" s="2">
        <v>46240</v>
      </c>
      <c r="D351" s="1" t="s">
        <v>355</v>
      </c>
      <c r="E351" t="s">
        <v>356</v>
      </c>
      <c r="F351" t="s">
        <v>97</v>
      </c>
      <c r="G351" s="5">
        <v>33</v>
      </c>
      <c r="H351" s="5">
        <v>33</v>
      </c>
      <c r="I351" s="5">
        <v>28</v>
      </c>
      <c r="J351" s="5">
        <v>5</v>
      </c>
      <c r="K351" s="8">
        <f t="shared" si="10"/>
        <v>100</v>
      </c>
      <c r="L351" s="8">
        <f t="shared" si="11"/>
        <v>17.857142857142858</v>
      </c>
      <c r="M351" t="s">
        <v>20</v>
      </c>
      <c r="N351" t="s">
        <v>21</v>
      </c>
    </row>
    <row r="352" spans="1:14" x14ac:dyDescent="0.3">
      <c r="A352" t="s">
        <v>1268</v>
      </c>
      <c r="B352" s="2">
        <v>46237</v>
      </c>
      <c r="C352" s="2">
        <v>46240</v>
      </c>
      <c r="D352" s="1" t="s">
        <v>66</v>
      </c>
      <c r="E352" t="s">
        <v>67</v>
      </c>
      <c r="F352" t="s">
        <v>61</v>
      </c>
      <c r="G352" s="5">
        <v>300</v>
      </c>
      <c r="H352" s="5">
        <v>312</v>
      </c>
      <c r="I352" s="5">
        <v>312</v>
      </c>
      <c r="J352" s="5">
        <v>0</v>
      </c>
      <c r="K352" s="8">
        <f t="shared" si="10"/>
        <v>104</v>
      </c>
      <c r="L352" s="8">
        <f t="shared" si="11"/>
        <v>0</v>
      </c>
      <c r="M352" t="s">
        <v>20</v>
      </c>
      <c r="N352" t="s">
        <v>21</v>
      </c>
    </row>
    <row r="353" spans="1:14" x14ac:dyDescent="0.3">
      <c r="A353" t="s">
        <v>1269</v>
      </c>
      <c r="B353" s="2">
        <v>46237</v>
      </c>
      <c r="C353" s="2">
        <v>46240</v>
      </c>
      <c r="D353" s="1" t="s">
        <v>129</v>
      </c>
      <c r="E353" t="s">
        <v>130</v>
      </c>
      <c r="F353" t="s">
        <v>61</v>
      </c>
      <c r="G353" s="5">
        <v>300</v>
      </c>
      <c r="H353" s="5">
        <v>304</v>
      </c>
      <c r="I353" s="5">
        <v>300</v>
      </c>
      <c r="J353" s="5">
        <v>4</v>
      </c>
      <c r="K353" s="8">
        <f t="shared" si="10"/>
        <v>101.33333333333334</v>
      </c>
      <c r="L353" s="8">
        <f t="shared" si="11"/>
        <v>1.3333333333333335</v>
      </c>
      <c r="M353" t="s">
        <v>20</v>
      </c>
      <c r="N353" t="s">
        <v>21</v>
      </c>
    </row>
    <row r="354" spans="1:14" x14ac:dyDescent="0.3">
      <c r="A354" t="s">
        <v>1270</v>
      </c>
      <c r="B354" s="2">
        <v>46237</v>
      </c>
      <c r="C354" s="2">
        <v>46240</v>
      </c>
      <c r="D354" s="1" t="s">
        <v>386</v>
      </c>
      <c r="E354" t="s">
        <v>387</v>
      </c>
      <c r="F354" t="s">
        <v>61</v>
      </c>
      <c r="G354" s="5">
        <v>200</v>
      </c>
      <c r="H354" s="5">
        <v>204</v>
      </c>
      <c r="I354" s="5">
        <v>204</v>
      </c>
      <c r="J354" s="5">
        <v>0</v>
      </c>
      <c r="K354" s="8">
        <f t="shared" si="10"/>
        <v>102</v>
      </c>
      <c r="L354" s="8">
        <f t="shared" si="11"/>
        <v>0</v>
      </c>
      <c r="M354" t="s">
        <v>20</v>
      </c>
      <c r="N354" t="s">
        <v>21</v>
      </c>
    </row>
    <row r="355" spans="1:14" x14ac:dyDescent="0.3">
      <c r="A355" t="s">
        <v>1271</v>
      </c>
      <c r="B355" s="2">
        <v>46237</v>
      </c>
      <c r="C355" s="2">
        <v>46240</v>
      </c>
      <c r="D355" s="1" t="s">
        <v>316</v>
      </c>
      <c r="E355" t="s">
        <v>317</v>
      </c>
      <c r="F355" t="s">
        <v>97</v>
      </c>
      <c r="G355" s="5">
        <v>100</v>
      </c>
      <c r="H355" s="5">
        <v>106</v>
      </c>
      <c r="I355" s="5">
        <v>106</v>
      </c>
      <c r="J355" s="5">
        <v>0</v>
      </c>
      <c r="K355" s="8">
        <f t="shared" ref="K355:K392" si="12">(H355/G355)*100</f>
        <v>106</v>
      </c>
      <c r="L355" s="8">
        <f t="shared" ref="L355:L392" si="13">((H355-I355)/I355)*100</f>
        <v>0</v>
      </c>
      <c r="M355" t="s">
        <v>20</v>
      </c>
      <c r="N355" t="s">
        <v>21</v>
      </c>
    </row>
    <row r="356" spans="1:14" x14ac:dyDescent="0.3">
      <c r="A356" t="s">
        <v>1272</v>
      </c>
      <c r="B356" s="2">
        <v>46237</v>
      </c>
      <c r="C356" s="2">
        <v>46240</v>
      </c>
      <c r="D356" s="1" t="s">
        <v>316</v>
      </c>
      <c r="E356" t="s">
        <v>317</v>
      </c>
      <c r="F356" t="s">
        <v>97</v>
      </c>
      <c r="G356" s="5">
        <v>100</v>
      </c>
      <c r="H356" s="5">
        <v>101</v>
      </c>
      <c r="I356" s="5">
        <v>101</v>
      </c>
      <c r="J356" s="5">
        <v>0</v>
      </c>
      <c r="K356" s="8">
        <f t="shared" si="12"/>
        <v>101</v>
      </c>
      <c r="L356" s="8">
        <f t="shared" si="13"/>
        <v>0</v>
      </c>
      <c r="M356" t="s">
        <v>20</v>
      </c>
      <c r="N356" t="s">
        <v>21</v>
      </c>
    </row>
    <row r="357" spans="1:14" x14ac:dyDescent="0.3">
      <c r="A357" t="s">
        <v>1273</v>
      </c>
      <c r="B357" s="2">
        <v>46235</v>
      </c>
      <c r="C357" s="2">
        <v>46240</v>
      </c>
      <c r="D357" s="1" t="s">
        <v>129</v>
      </c>
      <c r="E357" t="s">
        <v>130</v>
      </c>
      <c r="F357" t="s">
        <v>61</v>
      </c>
      <c r="G357" s="5">
        <v>300</v>
      </c>
      <c r="H357" s="5">
        <v>318</v>
      </c>
      <c r="I357" s="5">
        <v>318</v>
      </c>
      <c r="J357" s="5">
        <v>0</v>
      </c>
      <c r="K357" s="8">
        <f t="shared" si="12"/>
        <v>106</v>
      </c>
      <c r="L357" s="8">
        <f t="shared" si="13"/>
        <v>0</v>
      </c>
      <c r="M357" t="s">
        <v>20</v>
      </c>
      <c r="N357" t="s">
        <v>21</v>
      </c>
    </row>
    <row r="358" spans="1:14" x14ac:dyDescent="0.3">
      <c r="A358" t="s">
        <v>1274</v>
      </c>
      <c r="B358" s="2">
        <v>46238</v>
      </c>
      <c r="C358" s="2">
        <v>46240</v>
      </c>
      <c r="D358" s="1" t="s">
        <v>48</v>
      </c>
      <c r="E358" t="s">
        <v>49</v>
      </c>
      <c r="F358" t="s">
        <v>39</v>
      </c>
      <c r="G358" s="5">
        <v>280</v>
      </c>
      <c r="H358" s="5">
        <v>220</v>
      </c>
      <c r="I358" s="5">
        <v>218</v>
      </c>
      <c r="J358" s="5">
        <v>2</v>
      </c>
      <c r="K358" s="8">
        <f t="shared" si="12"/>
        <v>78.571428571428569</v>
      </c>
      <c r="L358" s="8">
        <f t="shared" si="13"/>
        <v>0.91743119266055051</v>
      </c>
      <c r="M358" t="s">
        <v>20</v>
      </c>
      <c r="N358" t="s">
        <v>21</v>
      </c>
    </row>
    <row r="359" spans="1:14" x14ac:dyDescent="0.3">
      <c r="A359" t="s">
        <v>1275</v>
      </c>
      <c r="B359" s="2">
        <v>46238</v>
      </c>
      <c r="C359" s="2">
        <v>46240</v>
      </c>
      <c r="D359" s="1" t="s">
        <v>95</v>
      </c>
      <c r="E359" t="s">
        <v>96</v>
      </c>
      <c r="F359" t="s">
        <v>97</v>
      </c>
      <c r="G359" s="5">
        <v>910</v>
      </c>
      <c r="H359" s="5">
        <v>980</v>
      </c>
      <c r="I359" s="5">
        <v>976</v>
      </c>
      <c r="J359" s="5">
        <v>4</v>
      </c>
      <c r="K359" s="8">
        <f t="shared" si="12"/>
        <v>107.69230769230769</v>
      </c>
      <c r="L359" s="8">
        <f t="shared" si="13"/>
        <v>0.4098360655737705</v>
      </c>
      <c r="M359" t="s">
        <v>20</v>
      </c>
      <c r="N359" t="s">
        <v>21</v>
      </c>
    </row>
    <row r="360" spans="1:14" x14ac:dyDescent="0.3">
      <c r="A360" t="s">
        <v>1276</v>
      </c>
      <c r="B360" s="2">
        <v>46238</v>
      </c>
      <c r="C360" s="2">
        <v>46240</v>
      </c>
      <c r="D360" s="1" t="s">
        <v>289</v>
      </c>
      <c r="E360" t="s">
        <v>290</v>
      </c>
      <c r="F360" t="s">
        <v>97</v>
      </c>
      <c r="G360" s="5">
        <v>624</v>
      </c>
      <c r="H360" s="5">
        <v>624</v>
      </c>
      <c r="I360" s="5">
        <v>620</v>
      </c>
      <c r="J360" s="5">
        <v>4</v>
      </c>
      <c r="K360" s="8">
        <f t="shared" si="12"/>
        <v>100</v>
      </c>
      <c r="L360" s="8">
        <f t="shared" si="13"/>
        <v>0.64516129032258063</v>
      </c>
      <c r="M360" t="s">
        <v>20</v>
      </c>
      <c r="N360" t="s">
        <v>21</v>
      </c>
    </row>
    <row r="361" spans="1:14" x14ac:dyDescent="0.3">
      <c r="A361" t="s">
        <v>1277</v>
      </c>
      <c r="B361" s="2">
        <v>46238</v>
      </c>
      <c r="C361" s="2">
        <v>46240</v>
      </c>
      <c r="D361" s="1" t="s">
        <v>284</v>
      </c>
      <c r="E361" t="s">
        <v>285</v>
      </c>
      <c r="F361" t="s">
        <v>97</v>
      </c>
      <c r="G361" s="5">
        <v>385</v>
      </c>
      <c r="H361" s="5">
        <v>419</v>
      </c>
      <c r="I361" s="5">
        <v>419</v>
      </c>
      <c r="J361" s="5">
        <v>0</v>
      </c>
      <c r="K361" s="8">
        <f t="shared" si="12"/>
        <v>108.83116883116884</v>
      </c>
      <c r="L361" s="8">
        <f t="shared" si="13"/>
        <v>0</v>
      </c>
      <c r="M361" t="s">
        <v>20</v>
      </c>
      <c r="N361" t="s">
        <v>21</v>
      </c>
    </row>
    <row r="362" spans="1:14" x14ac:dyDescent="0.3">
      <c r="A362" t="s">
        <v>1278</v>
      </c>
      <c r="B362" s="2">
        <v>46238</v>
      </c>
      <c r="C362" s="2">
        <v>46240</v>
      </c>
      <c r="D362" s="1" t="s">
        <v>412</v>
      </c>
      <c r="E362" t="s">
        <v>413</v>
      </c>
      <c r="F362" t="s">
        <v>97</v>
      </c>
      <c r="G362" s="5">
        <v>600</v>
      </c>
      <c r="H362" s="5">
        <v>626</v>
      </c>
      <c r="I362" s="5">
        <v>624</v>
      </c>
      <c r="J362" s="5">
        <v>2</v>
      </c>
      <c r="K362" s="8">
        <f t="shared" si="12"/>
        <v>104.33333333333333</v>
      </c>
      <c r="L362" s="8">
        <f t="shared" si="13"/>
        <v>0.32051282051282048</v>
      </c>
      <c r="M362" t="s">
        <v>20</v>
      </c>
      <c r="N362" t="s">
        <v>21</v>
      </c>
    </row>
    <row r="363" spans="1:14" x14ac:dyDescent="0.3">
      <c r="A363" t="s">
        <v>1279</v>
      </c>
      <c r="B363" s="2">
        <v>46238</v>
      </c>
      <c r="C363" s="2">
        <v>46240</v>
      </c>
      <c r="D363" s="1" t="s">
        <v>355</v>
      </c>
      <c r="E363" t="s">
        <v>356</v>
      </c>
      <c r="F363" t="s">
        <v>97</v>
      </c>
      <c r="G363" s="5">
        <v>33</v>
      </c>
      <c r="H363" s="5">
        <v>33</v>
      </c>
      <c r="I363" s="5">
        <v>28</v>
      </c>
      <c r="J363" s="5">
        <v>5</v>
      </c>
      <c r="K363" s="8">
        <f t="shared" si="12"/>
        <v>100</v>
      </c>
      <c r="L363" s="8">
        <f t="shared" si="13"/>
        <v>17.857142857142858</v>
      </c>
      <c r="M363" t="s">
        <v>20</v>
      </c>
      <c r="N363" t="s">
        <v>21</v>
      </c>
    </row>
    <row r="364" spans="1:14" x14ac:dyDescent="0.3">
      <c r="A364" t="s">
        <v>1280</v>
      </c>
      <c r="B364" s="2">
        <v>46238</v>
      </c>
      <c r="C364" s="2">
        <v>46240</v>
      </c>
      <c r="D364" s="1" t="s">
        <v>370</v>
      </c>
      <c r="E364" t="s">
        <v>371</v>
      </c>
      <c r="F364" t="s">
        <v>97</v>
      </c>
      <c r="G364" s="5">
        <v>22</v>
      </c>
      <c r="H364" s="5">
        <v>22</v>
      </c>
      <c r="I364" s="5">
        <v>20</v>
      </c>
      <c r="J364" s="5">
        <v>2</v>
      </c>
      <c r="K364" s="8">
        <f t="shared" si="12"/>
        <v>100</v>
      </c>
      <c r="L364" s="8">
        <f t="shared" si="13"/>
        <v>10</v>
      </c>
      <c r="M364" t="s">
        <v>20</v>
      </c>
      <c r="N364" t="s">
        <v>21</v>
      </c>
    </row>
    <row r="365" spans="1:14" x14ac:dyDescent="0.3">
      <c r="A365" t="s">
        <v>1281</v>
      </c>
      <c r="B365" s="2">
        <v>46238</v>
      </c>
      <c r="C365" s="2">
        <v>46240</v>
      </c>
      <c r="D365" s="1" t="s">
        <v>367</v>
      </c>
      <c r="E365" t="s">
        <v>368</v>
      </c>
      <c r="F365" t="s">
        <v>97</v>
      </c>
      <c r="G365" s="5">
        <v>23</v>
      </c>
      <c r="H365" s="5">
        <v>25</v>
      </c>
      <c r="I365" s="5">
        <v>25</v>
      </c>
      <c r="J365" s="5">
        <v>0</v>
      </c>
      <c r="K365" s="8">
        <f t="shared" si="12"/>
        <v>108.69565217391303</v>
      </c>
      <c r="L365" s="8">
        <f t="shared" si="13"/>
        <v>0</v>
      </c>
      <c r="M365" t="s">
        <v>20</v>
      </c>
      <c r="N365" t="s">
        <v>21</v>
      </c>
    </row>
    <row r="366" spans="1:14" x14ac:dyDescent="0.3">
      <c r="A366" t="s">
        <v>1282</v>
      </c>
      <c r="B366" s="2">
        <v>46238</v>
      </c>
      <c r="C366" s="2">
        <v>46240</v>
      </c>
      <c r="D366" s="1" t="s">
        <v>281</v>
      </c>
      <c r="E366" t="s">
        <v>282</v>
      </c>
      <c r="F366" t="s">
        <v>97</v>
      </c>
      <c r="G366" s="5">
        <v>528</v>
      </c>
      <c r="H366" s="5">
        <v>583</v>
      </c>
      <c r="I366" s="5">
        <v>580</v>
      </c>
      <c r="J366" s="5">
        <v>3</v>
      </c>
      <c r="K366" s="8">
        <f t="shared" si="12"/>
        <v>110.41666666666667</v>
      </c>
      <c r="L366" s="8">
        <f t="shared" si="13"/>
        <v>0.51724137931034486</v>
      </c>
      <c r="M366" t="s">
        <v>20</v>
      </c>
      <c r="N366" t="s">
        <v>21</v>
      </c>
    </row>
    <row r="367" spans="1:14" x14ac:dyDescent="0.3">
      <c r="A367" t="s">
        <v>1283</v>
      </c>
      <c r="B367" s="2">
        <v>46238</v>
      </c>
      <c r="C367" s="2">
        <v>46240</v>
      </c>
      <c r="D367" s="1" t="s">
        <v>316</v>
      </c>
      <c r="E367" t="s">
        <v>317</v>
      </c>
      <c r="F367" t="s">
        <v>97</v>
      </c>
      <c r="G367" s="5">
        <v>100</v>
      </c>
      <c r="H367" s="5">
        <v>101</v>
      </c>
      <c r="I367" s="5">
        <v>101</v>
      </c>
      <c r="J367" s="5">
        <v>0</v>
      </c>
      <c r="K367" s="8">
        <f t="shared" si="12"/>
        <v>101</v>
      </c>
      <c r="L367" s="8">
        <f t="shared" si="13"/>
        <v>0</v>
      </c>
      <c r="M367" t="s">
        <v>20</v>
      </c>
      <c r="N367" t="s">
        <v>21</v>
      </c>
    </row>
    <row r="368" spans="1:14" x14ac:dyDescent="0.3">
      <c r="A368" t="s">
        <v>1284</v>
      </c>
      <c r="B368" s="2">
        <v>46238</v>
      </c>
      <c r="C368" s="2">
        <v>46240</v>
      </c>
      <c r="D368" s="1" t="s">
        <v>66</v>
      </c>
      <c r="E368" t="s">
        <v>67</v>
      </c>
      <c r="F368" t="s">
        <v>61</v>
      </c>
      <c r="G368" s="5">
        <v>300</v>
      </c>
      <c r="H368" s="5">
        <v>320</v>
      </c>
      <c r="I368" s="5">
        <v>320</v>
      </c>
      <c r="J368" s="5">
        <v>0</v>
      </c>
      <c r="K368" s="8">
        <f t="shared" si="12"/>
        <v>106.66666666666667</v>
      </c>
      <c r="L368" s="8">
        <f t="shared" si="13"/>
        <v>0</v>
      </c>
      <c r="M368" t="s">
        <v>20</v>
      </c>
      <c r="N368" t="s">
        <v>21</v>
      </c>
    </row>
    <row r="369" spans="1:14" x14ac:dyDescent="0.3">
      <c r="A369" t="s">
        <v>1285</v>
      </c>
      <c r="B369" s="2">
        <v>46238</v>
      </c>
      <c r="C369" s="2">
        <v>46240</v>
      </c>
      <c r="D369" s="1" t="s">
        <v>129</v>
      </c>
      <c r="E369" t="s">
        <v>130</v>
      </c>
      <c r="F369" t="s">
        <v>61</v>
      </c>
      <c r="G369" s="5">
        <v>318</v>
      </c>
      <c r="H369" s="5">
        <v>318</v>
      </c>
      <c r="I369" s="5">
        <v>318</v>
      </c>
      <c r="J369" s="5">
        <v>0</v>
      </c>
      <c r="K369" s="8">
        <f t="shared" si="12"/>
        <v>100</v>
      </c>
      <c r="L369" s="8">
        <f t="shared" si="13"/>
        <v>0</v>
      </c>
      <c r="M369" t="s">
        <v>20</v>
      </c>
      <c r="N369" t="s">
        <v>21</v>
      </c>
    </row>
    <row r="370" spans="1:14" x14ac:dyDescent="0.3">
      <c r="A370" t="s">
        <v>1286</v>
      </c>
      <c r="B370" s="2">
        <v>46238</v>
      </c>
      <c r="C370" s="2">
        <v>46240</v>
      </c>
      <c r="D370" s="1" t="s">
        <v>311</v>
      </c>
      <c r="E370" t="s">
        <v>312</v>
      </c>
      <c r="F370" t="s">
        <v>61</v>
      </c>
      <c r="G370" s="5">
        <v>150</v>
      </c>
      <c r="H370" s="5">
        <v>189</v>
      </c>
      <c r="I370" s="5">
        <v>184</v>
      </c>
      <c r="J370" s="5">
        <v>5</v>
      </c>
      <c r="K370" s="8">
        <f t="shared" si="12"/>
        <v>126</v>
      </c>
      <c r="L370" s="8">
        <f t="shared" si="13"/>
        <v>2.7173913043478262</v>
      </c>
      <c r="M370" t="s">
        <v>20</v>
      </c>
      <c r="N370" t="s">
        <v>21</v>
      </c>
    </row>
    <row r="371" spans="1:14" x14ac:dyDescent="0.3">
      <c r="A371" t="s">
        <v>1287</v>
      </c>
      <c r="B371" s="2">
        <v>46239</v>
      </c>
      <c r="C371" s="2">
        <v>46240</v>
      </c>
      <c r="D371" s="1" t="s">
        <v>189</v>
      </c>
      <c r="E371" t="s">
        <v>190</v>
      </c>
      <c r="F371" t="s">
        <v>97</v>
      </c>
      <c r="G371" s="5">
        <v>150</v>
      </c>
      <c r="H371" s="5">
        <v>162</v>
      </c>
      <c r="I371" s="5">
        <v>162</v>
      </c>
      <c r="J371" s="5">
        <v>0</v>
      </c>
      <c r="K371" s="8">
        <f t="shared" si="12"/>
        <v>108</v>
      </c>
      <c r="L371" s="8">
        <f t="shared" si="13"/>
        <v>0</v>
      </c>
      <c r="M371" t="s">
        <v>20</v>
      </c>
      <c r="N371" t="s">
        <v>21</v>
      </c>
    </row>
    <row r="372" spans="1:14" x14ac:dyDescent="0.3">
      <c r="A372" t="s">
        <v>1288</v>
      </c>
      <c r="B372" s="2">
        <v>46239</v>
      </c>
      <c r="C372" s="2">
        <v>46240</v>
      </c>
      <c r="D372" s="1" t="s">
        <v>183</v>
      </c>
      <c r="E372" t="s">
        <v>184</v>
      </c>
      <c r="F372" t="s">
        <v>97</v>
      </c>
      <c r="G372" s="5">
        <v>150</v>
      </c>
      <c r="H372" s="5">
        <v>153</v>
      </c>
      <c r="I372" s="5">
        <v>153</v>
      </c>
      <c r="J372" s="5">
        <v>0</v>
      </c>
      <c r="K372" s="8">
        <f t="shared" si="12"/>
        <v>102</v>
      </c>
      <c r="L372" s="8">
        <f t="shared" si="13"/>
        <v>0</v>
      </c>
      <c r="M372" t="s">
        <v>20</v>
      </c>
      <c r="N372" t="s">
        <v>21</v>
      </c>
    </row>
    <row r="373" spans="1:14" x14ac:dyDescent="0.3">
      <c r="A373" t="s">
        <v>1289</v>
      </c>
      <c r="B373" s="2">
        <v>46239</v>
      </c>
      <c r="C373" s="2">
        <v>46240</v>
      </c>
      <c r="D373" s="1" t="s">
        <v>178</v>
      </c>
      <c r="E373" t="s">
        <v>179</v>
      </c>
      <c r="F373" t="s">
        <v>97</v>
      </c>
      <c r="G373" s="5">
        <v>150</v>
      </c>
      <c r="H373" s="5">
        <v>155</v>
      </c>
      <c r="I373" s="5">
        <v>153</v>
      </c>
      <c r="J373" s="5">
        <v>2</v>
      </c>
      <c r="K373" s="8">
        <f t="shared" si="12"/>
        <v>103.33333333333334</v>
      </c>
      <c r="L373" s="8">
        <f t="shared" si="13"/>
        <v>1.3071895424836601</v>
      </c>
      <c r="M373" t="s">
        <v>20</v>
      </c>
      <c r="N373" t="s">
        <v>21</v>
      </c>
    </row>
    <row r="374" spans="1:14" x14ac:dyDescent="0.3">
      <c r="A374" t="s">
        <v>1290</v>
      </c>
      <c r="B374" s="2">
        <v>46239</v>
      </c>
      <c r="C374" s="2">
        <v>46240</v>
      </c>
      <c r="D374" s="1" t="s">
        <v>316</v>
      </c>
      <c r="E374" t="s">
        <v>317</v>
      </c>
      <c r="F374" t="s">
        <v>97</v>
      </c>
      <c r="G374" s="5">
        <v>100</v>
      </c>
      <c r="H374" s="5">
        <v>106</v>
      </c>
      <c r="I374" s="5">
        <v>106</v>
      </c>
      <c r="J374" s="5">
        <v>0</v>
      </c>
      <c r="K374" s="8">
        <f t="shared" si="12"/>
        <v>106</v>
      </c>
      <c r="L374" s="8">
        <f t="shared" si="13"/>
        <v>0</v>
      </c>
      <c r="M374" t="s">
        <v>20</v>
      </c>
      <c r="N374" t="s">
        <v>21</v>
      </c>
    </row>
    <row r="375" spans="1:14" x14ac:dyDescent="0.3">
      <c r="A375" t="s">
        <v>1291</v>
      </c>
      <c r="B375" s="2">
        <v>46239</v>
      </c>
      <c r="C375" s="2">
        <v>46240</v>
      </c>
      <c r="D375" s="1" t="s">
        <v>129</v>
      </c>
      <c r="E375" t="s">
        <v>130</v>
      </c>
      <c r="F375" t="s">
        <v>61</v>
      </c>
      <c r="G375" s="5">
        <v>282</v>
      </c>
      <c r="H375" s="5">
        <v>306</v>
      </c>
      <c r="I375" s="5">
        <v>306</v>
      </c>
      <c r="J375" s="5">
        <v>0</v>
      </c>
      <c r="K375" s="8">
        <f t="shared" si="12"/>
        <v>108.51063829787233</v>
      </c>
      <c r="L375" s="8">
        <f t="shared" si="13"/>
        <v>0</v>
      </c>
      <c r="M375" t="s">
        <v>20</v>
      </c>
      <c r="N375" t="s">
        <v>21</v>
      </c>
    </row>
    <row r="376" spans="1:14" x14ac:dyDescent="0.3">
      <c r="A376" t="s">
        <v>1292</v>
      </c>
      <c r="B376" s="2">
        <v>46239</v>
      </c>
      <c r="C376" s="2">
        <v>46240</v>
      </c>
      <c r="D376" s="1" t="s">
        <v>1293</v>
      </c>
      <c r="E376" t="s">
        <v>1294</v>
      </c>
      <c r="F376" t="s">
        <v>61</v>
      </c>
      <c r="G376" s="5">
        <v>500</v>
      </c>
      <c r="H376" s="5">
        <v>475</v>
      </c>
      <c r="I376" s="5">
        <v>471</v>
      </c>
      <c r="J376" s="5">
        <v>4</v>
      </c>
      <c r="K376" s="8">
        <f t="shared" si="12"/>
        <v>95</v>
      </c>
      <c r="L376" s="8">
        <f t="shared" si="13"/>
        <v>0.84925690021231426</v>
      </c>
      <c r="M376" t="s">
        <v>20</v>
      </c>
      <c r="N376" t="s">
        <v>21</v>
      </c>
    </row>
    <row r="377" spans="1:14" x14ac:dyDescent="0.3">
      <c r="A377" t="s">
        <v>1295</v>
      </c>
      <c r="B377" s="2">
        <v>46239</v>
      </c>
      <c r="C377" s="2">
        <v>46240</v>
      </c>
      <c r="D377" s="1" t="s">
        <v>1296</v>
      </c>
      <c r="E377" t="s">
        <v>1297</v>
      </c>
      <c r="F377" t="s">
        <v>39</v>
      </c>
      <c r="G377" s="5">
        <v>180</v>
      </c>
      <c r="H377" s="5">
        <v>195</v>
      </c>
      <c r="I377" s="5">
        <v>195</v>
      </c>
      <c r="J377" s="5">
        <v>0</v>
      </c>
      <c r="K377" s="8">
        <f t="shared" si="12"/>
        <v>108.33333333333333</v>
      </c>
      <c r="L377" s="8">
        <f t="shared" si="13"/>
        <v>0</v>
      </c>
      <c r="M377" t="s">
        <v>20</v>
      </c>
      <c r="N377" t="s">
        <v>21</v>
      </c>
    </row>
    <row r="378" spans="1:14" x14ac:dyDescent="0.3">
      <c r="A378" t="s">
        <v>1298</v>
      </c>
      <c r="B378" s="2">
        <v>46239</v>
      </c>
      <c r="C378" s="2">
        <v>46240</v>
      </c>
      <c r="D378" s="1" t="s">
        <v>152</v>
      </c>
      <c r="E378" t="s">
        <v>153</v>
      </c>
      <c r="F378" t="s">
        <v>39</v>
      </c>
      <c r="G378" s="5">
        <v>142</v>
      </c>
      <c r="H378" s="5">
        <v>154</v>
      </c>
      <c r="I378" s="5">
        <v>154</v>
      </c>
      <c r="J378" s="5">
        <v>0</v>
      </c>
      <c r="K378" s="8">
        <f t="shared" si="12"/>
        <v>108.45070422535213</v>
      </c>
      <c r="L378" s="8">
        <f t="shared" si="13"/>
        <v>0</v>
      </c>
      <c r="M378" t="s">
        <v>20</v>
      </c>
      <c r="N378" t="s">
        <v>21</v>
      </c>
    </row>
    <row r="379" spans="1:14" x14ac:dyDescent="0.3">
      <c r="A379" t="s">
        <v>1299</v>
      </c>
      <c r="B379" s="2">
        <v>46239</v>
      </c>
      <c r="C379" s="2">
        <v>46240</v>
      </c>
      <c r="D379" s="1" t="s">
        <v>158</v>
      </c>
      <c r="E379" t="s">
        <v>159</v>
      </c>
      <c r="F379" t="s">
        <v>39</v>
      </c>
      <c r="G379" s="5">
        <v>180</v>
      </c>
      <c r="H379" s="5">
        <v>182</v>
      </c>
      <c r="I379" s="5">
        <v>181</v>
      </c>
      <c r="J379" s="5">
        <v>1</v>
      </c>
      <c r="K379" s="8">
        <f t="shared" si="12"/>
        <v>101.11111111111111</v>
      </c>
      <c r="L379" s="8">
        <f t="shared" si="13"/>
        <v>0.55248618784530379</v>
      </c>
      <c r="M379" t="s">
        <v>20</v>
      </c>
      <c r="N379" t="s">
        <v>21</v>
      </c>
    </row>
    <row r="380" spans="1:14" x14ac:dyDescent="0.3">
      <c r="A380" t="s">
        <v>1300</v>
      </c>
      <c r="B380" s="2">
        <v>46239</v>
      </c>
      <c r="C380" s="2">
        <v>46240</v>
      </c>
      <c r="D380" s="1" t="s">
        <v>164</v>
      </c>
      <c r="E380" t="s">
        <v>165</v>
      </c>
      <c r="F380" t="s">
        <v>97</v>
      </c>
      <c r="G380" s="5">
        <v>75</v>
      </c>
      <c r="H380" s="5">
        <v>77</v>
      </c>
      <c r="I380" s="5">
        <v>77</v>
      </c>
      <c r="J380" s="5">
        <v>0</v>
      </c>
      <c r="K380" s="8">
        <f t="shared" si="12"/>
        <v>102.66666666666666</v>
      </c>
      <c r="L380" s="8">
        <f t="shared" si="13"/>
        <v>0</v>
      </c>
      <c r="M380" t="s">
        <v>20</v>
      </c>
      <c r="N380" t="s">
        <v>21</v>
      </c>
    </row>
    <row r="381" spans="1:14" x14ac:dyDescent="0.3">
      <c r="A381" t="s">
        <v>1301</v>
      </c>
      <c r="B381" s="2">
        <v>46239</v>
      </c>
      <c r="C381" s="2">
        <v>46240</v>
      </c>
      <c r="D381" s="1" t="s">
        <v>1302</v>
      </c>
      <c r="E381" t="s">
        <v>1303</v>
      </c>
      <c r="F381" t="s">
        <v>1304</v>
      </c>
      <c r="G381" s="5">
        <v>224</v>
      </c>
      <c r="H381" s="5">
        <v>224</v>
      </c>
      <c r="I381" s="5">
        <v>224</v>
      </c>
      <c r="J381" s="5">
        <v>0</v>
      </c>
      <c r="K381" s="8">
        <f t="shared" si="12"/>
        <v>100</v>
      </c>
      <c r="L381" s="8">
        <f t="shared" si="13"/>
        <v>0</v>
      </c>
      <c r="M381" t="s">
        <v>20</v>
      </c>
      <c r="N381" t="s">
        <v>21</v>
      </c>
    </row>
    <row r="382" spans="1:14" x14ac:dyDescent="0.3">
      <c r="A382" t="s">
        <v>1305</v>
      </c>
      <c r="B382" s="2">
        <v>46238</v>
      </c>
      <c r="C382" s="2">
        <v>46240</v>
      </c>
      <c r="D382" s="1" t="s">
        <v>1302</v>
      </c>
      <c r="E382" t="s">
        <v>1303</v>
      </c>
      <c r="F382" t="s">
        <v>1304</v>
      </c>
      <c r="G382" s="5">
        <v>1559</v>
      </c>
      <c r="H382" s="5">
        <v>1559</v>
      </c>
      <c r="I382" s="5">
        <v>1559</v>
      </c>
      <c r="J382" s="5">
        <v>0</v>
      </c>
      <c r="K382" s="8">
        <f t="shared" si="12"/>
        <v>100</v>
      </c>
      <c r="L382" s="8">
        <f t="shared" si="13"/>
        <v>0</v>
      </c>
      <c r="M382" t="s">
        <v>20</v>
      </c>
      <c r="N382" t="s">
        <v>21</v>
      </c>
    </row>
    <row r="383" spans="1:14" x14ac:dyDescent="0.3">
      <c r="A383" t="s">
        <v>1306</v>
      </c>
      <c r="B383" s="2">
        <v>46237</v>
      </c>
      <c r="C383" s="2">
        <v>46240</v>
      </c>
      <c r="D383" s="1" t="s">
        <v>85</v>
      </c>
      <c r="E383" t="s">
        <v>86</v>
      </c>
      <c r="F383" t="s">
        <v>19</v>
      </c>
      <c r="G383" s="5">
        <v>94</v>
      </c>
      <c r="H383" s="5">
        <v>94</v>
      </c>
      <c r="I383" s="5">
        <v>94</v>
      </c>
      <c r="J383" s="5">
        <v>0</v>
      </c>
      <c r="K383" s="8">
        <f t="shared" si="12"/>
        <v>100</v>
      </c>
      <c r="L383" s="8">
        <f t="shared" si="13"/>
        <v>0</v>
      </c>
      <c r="M383" t="s">
        <v>20</v>
      </c>
      <c r="N383" t="s">
        <v>21</v>
      </c>
    </row>
    <row r="384" spans="1:14" x14ac:dyDescent="0.3">
      <c r="A384" t="s">
        <v>1307</v>
      </c>
      <c r="B384" s="2">
        <v>46237</v>
      </c>
      <c r="C384" s="2">
        <v>46240</v>
      </c>
      <c r="D384" s="1" t="s">
        <v>198</v>
      </c>
      <c r="E384" t="s">
        <v>199</v>
      </c>
      <c r="F384" t="s">
        <v>19</v>
      </c>
      <c r="G384" s="5">
        <v>32</v>
      </c>
      <c r="H384" s="5">
        <v>32</v>
      </c>
      <c r="I384" s="5">
        <v>32</v>
      </c>
      <c r="J384" s="5">
        <v>0</v>
      </c>
      <c r="K384" s="8">
        <f t="shared" si="12"/>
        <v>100</v>
      </c>
      <c r="L384" s="8">
        <f t="shared" si="13"/>
        <v>0</v>
      </c>
      <c r="M384" t="s">
        <v>20</v>
      </c>
      <c r="N384" t="s">
        <v>21</v>
      </c>
    </row>
    <row r="385" spans="1:14" x14ac:dyDescent="0.3">
      <c r="A385" t="s">
        <v>1308</v>
      </c>
      <c r="B385" s="2">
        <v>46237</v>
      </c>
      <c r="C385" s="2">
        <v>46240</v>
      </c>
      <c r="D385" s="1" t="s">
        <v>198</v>
      </c>
      <c r="E385" t="s">
        <v>199</v>
      </c>
      <c r="F385" t="s">
        <v>19</v>
      </c>
      <c r="G385" s="5">
        <v>27</v>
      </c>
      <c r="H385" s="5">
        <v>27</v>
      </c>
      <c r="I385" s="5">
        <v>27</v>
      </c>
      <c r="J385" s="5">
        <v>0</v>
      </c>
      <c r="K385" s="8">
        <f t="shared" si="12"/>
        <v>100</v>
      </c>
      <c r="L385" s="8">
        <f t="shared" si="13"/>
        <v>0</v>
      </c>
      <c r="M385" t="s">
        <v>20</v>
      </c>
      <c r="N385" t="s">
        <v>21</v>
      </c>
    </row>
    <row r="386" spans="1:14" x14ac:dyDescent="0.3">
      <c r="A386" t="s">
        <v>1309</v>
      </c>
      <c r="B386" s="2">
        <v>46238</v>
      </c>
      <c r="C386" s="2">
        <v>46240</v>
      </c>
      <c r="D386" s="1" t="s">
        <v>198</v>
      </c>
      <c r="E386" t="s">
        <v>199</v>
      </c>
      <c r="F386" t="s">
        <v>19</v>
      </c>
      <c r="G386" s="5">
        <v>28</v>
      </c>
      <c r="H386" s="5">
        <v>28</v>
      </c>
      <c r="I386" s="5">
        <v>28</v>
      </c>
      <c r="J386" s="5">
        <v>0</v>
      </c>
      <c r="K386" s="8">
        <f t="shared" si="12"/>
        <v>100</v>
      </c>
      <c r="L386" s="8">
        <f t="shared" si="13"/>
        <v>0</v>
      </c>
      <c r="M386" t="s">
        <v>20</v>
      </c>
      <c r="N386" t="s">
        <v>21</v>
      </c>
    </row>
    <row r="387" spans="1:14" x14ac:dyDescent="0.3">
      <c r="A387" t="s">
        <v>1310</v>
      </c>
      <c r="B387" s="2">
        <v>46239</v>
      </c>
      <c r="C387" s="2">
        <v>46240</v>
      </c>
      <c r="D387" s="1" t="s">
        <v>85</v>
      </c>
      <c r="E387" t="s">
        <v>86</v>
      </c>
      <c r="F387" t="s">
        <v>19</v>
      </c>
      <c r="G387" s="5">
        <v>116</v>
      </c>
      <c r="H387" s="5">
        <v>116</v>
      </c>
      <c r="I387" s="5">
        <v>116</v>
      </c>
      <c r="J387" s="5">
        <v>0</v>
      </c>
      <c r="K387" s="8">
        <f t="shared" si="12"/>
        <v>100</v>
      </c>
      <c r="L387" s="8">
        <f t="shared" si="13"/>
        <v>0</v>
      </c>
      <c r="M387" t="s">
        <v>20</v>
      </c>
      <c r="N387" t="s">
        <v>21</v>
      </c>
    </row>
    <row r="388" spans="1:14" x14ac:dyDescent="0.3">
      <c r="A388" t="s">
        <v>1311</v>
      </c>
      <c r="B388" s="2">
        <v>46237</v>
      </c>
      <c r="C388" s="2">
        <v>46240</v>
      </c>
      <c r="D388" s="1" t="s">
        <v>1312</v>
      </c>
      <c r="E388" t="s">
        <v>1313</v>
      </c>
      <c r="F388" t="s">
        <v>19</v>
      </c>
      <c r="G388" s="5">
        <v>240</v>
      </c>
      <c r="H388" s="5">
        <v>240</v>
      </c>
      <c r="I388" s="5">
        <v>240</v>
      </c>
      <c r="J388" s="5">
        <v>0</v>
      </c>
      <c r="K388" s="8">
        <f t="shared" si="12"/>
        <v>100</v>
      </c>
      <c r="L388" s="8">
        <f t="shared" si="13"/>
        <v>0</v>
      </c>
      <c r="M388" t="s">
        <v>20</v>
      </c>
      <c r="N388" t="s">
        <v>21</v>
      </c>
    </row>
    <row r="389" spans="1:14" x14ac:dyDescent="0.3">
      <c r="A389" t="s">
        <v>1314</v>
      </c>
      <c r="B389" s="2">
        <v>46237</v>
      </c>
      <c r="C389" s="2">
        <v>46240</v>
      </c>
      <c r="D389" s="1" t="s">
        <v>256</v>
      </c>
      <c r="E389" t="s">
        <v>257</v>
      </c>
      <c r="F389" t="s">
        <v>19</v>
      </c>
      <c r="G389" s="5">
        <v>315</v>
      </c>
      <c r="H389" s="5">
        <v>315</v>
      </c>
      <c r="I389" s="5">
        <v>315</v>
      </c>
      <c r="J389" s="5">
        <v>0</v>
      </c>
      <c r="K389" s="8">
        <f t="shared" si="12"/>
        <v>100</v>
      </c>
      <c r="L389" s="8">
        <f t="shared" si="13"/>
        <v>0</v>
      </c>
      <c r="M389" t="s">
        <v>20</v>
      </c>
      <c r="N389" t="s">
        <v>21</v>
      </c>
    </row>
    <row r="390" spans="1:14" x14ac:dyDescent="0.3">
      <c r="A390" t="s">
        <v>1315</v>
      </c>
      <c r="B390" s="2">
        <v>46239</v>
      </c>
      <c r="C390" s="2">
        <v>46240</v>
      </c>
      <c r="D390" s="1" t="s">
        <v>1312</v>
      </c>
      <c r="E390" t="s">
        <v>1313</v>
      </c>
      <c r="F390" t="s">
        <v>19</v>
      </c>
      <c r="G390" s="5">
        <v>120</v>
      </c>
      <c r="H390" s="5">
        <v>120</v>
      </c>
      <c r="I390" s="5">
        <v>120</v>
      </c>
      <c r="J390" s="5">
        <v>0</v>
      </c>
      <c r="K390" s="8">
        <f t="shared" si="12"/>
        <v>100</v>
      </c>
      <c r="L390" s="8">
        <f t="shared" si="13"/>
        <v>0</v>
      </c>
      <c r="M390" t="s">
        <v>20</v>
      </c>
      <c r="N390" t="s">
        <v>21</v>
      </c>
    </row>
    <row r="391" spans="1:14" x14ac:dyDescent="0.3">
      <c r="A391" t="s">
        <v>1316</v>
      </c>
      <c r="B391" s="2">
        <v>46239</v>
      </c>
      <c r="C391" s="2">
        <v>46240</v>
      </c>
      <c r="D391" s="1" t="s">
        <v>256</v>
      </c>
      <c r="E391" t="s">
        <v>257</v>
      </c>
      <c r="F391" t="s">
        <v>19</v>
      </c>
      <c r="G391" s="5">
        <v>387</v>
      </c>
      <c r="H391" s="5">
        <v>387</v>
      </c>
      <c r="I391" s="5">
        <v>387</v>
      </c>
      <c r="J391" s="5">
        <v>0</v>
      </c>
      <c r="K391" s="8">
        <f t="shared" si="12"/>
        <v>100</v>
      </c>
      <c r="L391" s="8">
        <f t="shared" si="13"/>
        <v>0</v>
      </c>
      <c r="M391" t="s">
        <v>20</v>
      </c>
      <c r="N391" t="s">
        <v>21</v>
      </c>
    </row>
    <row r="392" spans="1:14" x14ac:dyDescent="0.3">
      <c r="A392" t="s">
        <v>1317</v>
      </c>
      <c r="B392" s="2">
        <v>46239</v>
      </c>
      <c r="C392" s="2">
        <v>46240</v>
      </c>
      <c r="D392" s="1" t="s">
        <v>27</v>
      </c>
      <c r="E392" t="s">
        <v>28</v>
      </c>
      <c r="F392" t="s">
        <v>19</v>
      </c>
      <c r="G392" s="5">
        <v>500</v>
      </c>
      <c r="H392" s="5">
        <v>500</v>
      </c>
      <c r="I392" s="5">
        <v>500</v>
      </c>
      <c r="J392" s="5">
        <v>0</v>
      </c>
      <c r="K392" s="8">
        <f t="shared" si="12"/>
        <v>100</v>
      </c>
      <c r="L392" s="8">
        <f t="shared" si="13"/>
        <v>0</v>
      </c>
      <c r="M392" t="s">
        <v>20</v>
      </c>
      <c r="N392" t="s">
        <v>21</v>
      </c>
    </row>
    <row r="393" spans="1:14" x14ac:dyDescent="0.3">
      <c r="A393" t="s">
        <v>1471</v>
      </c>
      <c r="B393" s="2">
        <v>46246</v>
      </c>
      <c r="C393" s="2">
        <v>46246</v>
      </c>
      <c r="D393" s="1" t="s">
        <v>17</v>
      </c>
      <c r="E393" t="s">
        <v>18</v>
      </c>
      <c r="F393" t="s">
        <v>19</v>
      </c>
      <c r="G393" s="5">
        <v>33</v>
      </c>
      <c r="H393" s="5">
        <v>33</v>
      </c>
      <c r="I393" s="5">
        <v>33</v>
      </c>
      <c r="J393" s="5">
        <v>0</v>
      </c>
      <c r="K393" s="8">
        <f>(H393/G393)*100</f>
        <v>100</v>
      </c>
      <c r="L393" s="8">
        <f>((H393-I393)/I393)*100</f>
        <v>0</v>
      </c>
      <c r="M393" t="s">
        <v>20</v>
      </c>
      <c r="N393" t="s">
        <v>21</v>
      </c>
    </row>
    <row r="394" spans="1:14" x14ac:dyDescent="0.3">
      <c r="A394" t="s">
        <v>1472</v>
      </c>
      <c r="B394" s="2">
        <v>46245</v>
      </c>
      <c r="C394" s="2">
        <v>46246</v>
      </c>
      <c r="D394" s="1" t="s">
        <v>17</v>
      </c>
      <c r="E394" t="s">
        <v>18</v>
      </c>
      <c r="F394" t="s">
        <v>19</v>
      </c>
      <c r="G394" s="5">
        <v>22</v>
      </c>
      <c r="H394" s="5">
        <v>22</v>
      </c>
      <c r="I394" s="5">
        <v>22</v>
      </c>
      <c r="J394" s="5">
        <v>0</v>
      </c>
      <c r="K394" s="8">
        <f t="shared" ref="K394:K457" si="14">(H394/G394)*100</f>
        <v>100</v>
      </c>
      <c r="L394" s="8">
        <f t="shared" ref="L394:L457" si="15">((H394-I394)/I394)*100</f>
        <v>0</v>
      </c>
      <c r="M394" t="s">
        <v>20</v>
      </c>
      <c r="N394" t="s">
        <v>21</v>
      </c>
    </row>
    <row r="395" spans="1:14" x14ac:dyDescent="0.3">
      <c r="A395" t="s">
        <v>1317</v>
      </c>
      <c r="B395" s="2">
        <v>46239</v>
      </c>
      <c r="C395" s="2">
        <v>46240</v>
      </c>
      <c r="D395" s="1" t="s">
        <v>27</v>
      </c>
      <c r="E395" t="s">
        <v>28</v>
      </c>
      <c r="F395" t="s">
        <v>19</v>
      </c>
      <c r="G395" s="5">
        <v>500</v>
      </c>
      <c r="H395" s="5">
        <v>500</v>
      </c>
      <c r="I395" s="5">
        <v>500</v>
      </c>
      <c r="J395" s="5">
        <v>0</v>
      </c>
      <c r="K395" s="8">
        <f t="shared" si="14"/>
        <v>100</v>
      </c>
      <c r="L395" s="8">
        <f t="shared" si="15"/>
        <v>0</v>
      </c>
      <c r="M395" t="s">
        <v>20</v>
      </c>
      <c r="N395" t="s">
        <v>21</v>
      </c>
    </row>
    <row r="396" spans="1:14" x14ac:dyDescent="0.3">
      <c r="A396" t="s">
        <v>1473</v>
      </c>
      <c r="B396" s="2">
        <v>46244</v>
      </c>
      <c r="C396" s="2">
        <v>46244</v>
      </c>
      <c r="D396" s="1" t="s">
        <v>27</v>
      </c>
      <c r="E396" t="s">
        <v>28</v>
      </c>
      <c r="F396" t="s">
        <v>19</v>
      </c>
      <c r="G396" s="5">
        <v>500</v>
      </c>
      <c r="H396" s="5">
        <v>500</v>
      </c>
      <c r="I396" s="5">
        <v>500</v>
      </c>
      <c r="J396" s="5">
        <v>0</v>
      </c>
      <c r="K396" s="8">
        <f t="shared" si="14"/>
        <v>100</v>
      </c>
      <c r="L396" s="8">
        <f t="shared" si="15"/>
        <v>0</v>
      </c>
      <c r="M396" t="s">
        <v>20</v>
      </c>
      <c r="N396" t="s">
        <v>21</v>
      </c>
    </row>
    <row r="397" spans="1:14" x14ac:dyDescent="0.3">
      <c r="A397" t="s">
        <v>1474</v>
      </c>
      <c r="B397" s="2">
        <v>46246</v>
      </c>
      <c r="C397" s="2">
        <v>46246</v>
      </c>
      <c r="D397" s="1" t="s">
        <v>27</v>
      </c>
      <c r="E397" t="s">
        <v>28</v>
      </c>
      <c r="F397" t="s">
        <v>19</v>
      </c>
      <c r="G397" s="5">
        <v>500</v>
      </c>
      <c r="H397" s="5">
        <v>500</v>
      </c>
      <c r="I397" s="5">
        <v>500</v>
      </c>
      <c r="J397" s="5">
        <v>0</v>
      </c>
      <c r="K397" s="8">
        <f t="shared" si="14"/>
        <v>100</v>
      </c>
      <c r="L397" s="8">
        <f t="shared" si="15"/>
        <v>0</v>
      </c>
      <c r="M397" t="s">
        <v>20</v>
      </c>
      <c r="N397" t="s">
        <v>21</v>
      </c>
    </row>
    <row r="398" spans="1:14" x14ac:dyDescent="0.3">
      <c r="A398" t="s">
        <v>1475</v>
      </c>
      <c r="B398" s="2">
        <v>46248</v>
      </c>
      <c r="C398" s="2">
        <v>46248</v>
      </c>
      <c r="D398" s="1" t="s">
        <v>27</v>
      </c>
      <c r="E398" t="s">
        <v>28</v>
      </c>
      <c r="F398" t="s">
        <v>19</v>
      </c>
      <c r="G398" s="5">
        <v>500</v>
      </c>
      <c r="H398" s="5">
        <v>500</v>
      </c>
      <c r="I398" s="5">
        <v>500</v>
      </c>
      <c r="J398" s="5">
        <v>0</v>
      </c>
      <c r="K398" s="8">
        <f t="shared" si="14"/>
        <v>100</v>
      </c>
      <c r="L398" s="8">
        <f t="shared" si="15"/>
        <v>0</v>
      </c>
      <c r="M398" t="s">
        <v>20</v>
      </c>
      <c r="N398" t="s">
        <v>21</v>
      </c>
    </row>
    <row r="399" spans="1:14" x14ac:dyDescent="0.3">
      <c r="A399" t="s">
        <v>1476</v>
      </c>
      <c r="B399" s="2">
        <v>46240</v>
      </c>
      <c r="C399" s="2">
        <v>46241</v>
      </c>
      <c r="D399" s="1" t="s">
        <v>37</v>
      </c>
      <c r="E399" t="s">
        <v>38</v>
      </c>
      <c r="F399" t="s">
        <v>39</v>
      </c>
      <c r="G399" s="5">
        <v>100</v>
      </c>
      <c r="H399" s="5">
        <v>109</v>
      </c>
      <c r="I399" s="5">
        <v>101</v>
      </c>
      <c r="J399" s="5">
        <v>8</v>
      </c>
      <c r="K399" s="8">
        <f t="shared" si="14"/>
        <v>109.00000000000001</v>
      </c>
      <c r="L399" s="8">
        <f t="shared" si="15"/>
        <v>7.9207920792079207</v>
      </c>
      <c r="M399" t="s">
        <v>20</v>
      </c>
      <c r="N399" t="s">
        <v>21</v>
      </c>
    </row>
    <row r="400" spans="1:14" x14ac:dyDescent="0.3">
      <c r="A400" t="s">
        <v>1477</v>
      </c>
      <c r="B400" s="2">
        <v>46241</v>
      </c>
      <c r="C400" s="2">
        <v>46241</v>
      </c>
      <c r="D400" s="1" t="s">
        <v>37</v>
      </c>
      <c r="E400" t="s">
        <v>38</v>
      </c>
      <c r="F400" t="s">
        <v>39</v>
      </c>
      <c r="G400" s="5">
        <v>100</v>
      </c>
      <c r="H400" s="5">
        <v>110</v>
      </c>
      <c r="I400" s="5">
        <v>106</v>
      </c>
      <c r="J400" s="5">
        <v>4</v>
      </c>
      <c r="K400" s="8">
        <f t="shared" si="14"/>
        <v>110.00000000000001</v>
      </c>
      <c r="L400" s="8">
        <f t="shared" si="15"/>
        <v>3.7735849056603774</v>
      </c>
      <c r="M400" t="s">
        <v>20</v>
      </c>
      <c r="N400" t="s">
        <v>21</v>
      </c>
    </row>
    <row r="401" spans="1:14" x14ac:dyDescent="0.3">
      <c r="A401" t="s">
        <v>1478</v>
      </c>
      <c r="B401" s="2">
        <v>46246</v>
      </c>
      <c r="C401" s="2">
        <v>46247</v>
      </c>
      <c r="D401" s="1" t="s">
        <v>37</v>
      </c>
      <c r="E401" t="s">
        <v>38</v>
      </c>
      <c r="F401" t="s">
        <v>39</v>
      </c>
      <c r="G401" s="5">
        <v>88</v>
      </c>
      <c r="H401" s="5">
        <v>93</v>
      </c>
      <c r="I401" s="5">
        <v>85</v>
      </c>
      <c r="J401" s="5">
        <v>8</v>
      </c>
      <c r="K401" s="8">
        <f t="shared" si="14"/>
        <v>105.68181818181819</v>
      </c>
      <c r="L401" s="8">
        <f t="shared" si="15"/>
        <v>9.4117647058823533</v>
      </c>
      <c r="M401" t="s">
        <v>20</v>
      </c>
      <c r="N401" t="s">
        <v>21</v>
      </c>
    </row>
    <row r="402" spans="1:14" x14ac:dyDescent="0.3">
      <c r="A402" t="s">
        <v>1479</v>
      </c>
      <c r="B402" s="2">
        <v>46247</v>
      </c>
      <c r="C402" s="2">
        <v>46248</v>
      </c>
      <c r="D402" s="1" t="s">
        <v>37</v>
      </c>
      <c r="E402" t="s">
        <v>38</v>
      </c>
      <c r="F402" t="s">
        <v>39</v>
      </c>
      <c r="G402" s="5">
        <v>88</v>
      </c>
      <c r="H402" s="5">
        <v>94</v>
      </c>
      <c r="I402" s="5">
        <v>93</v>
      </c>
      <c r="J402" s="5">
        <v>1</v>
      </c>
      <c r="K402" s="8">
        <f t="shared" si="14"/>
        <v>106.81818181818181</v>
      </c>
      <c r="L402" s="8">
        <f t="shared" si="15"/>
        <v>1.0752688172043012</v>
      </c>
      <c r="M402" t="s">
        <v>20</v>
      </c>
      <c r="N402" t="s">
        <v>21</v>
      </c>
    </row>
    <row r="403" spans="1:14" x14ac:dyDescent="0.3">
      <c r="A403" t="s">
        <v>1480</v>
      </c>
      <c r="B403" s="2">
        <v>46253</v>
      </c>
      <c r="C403" s="2">
        <v>46253</v>
      </c>
      <c r="D403" s="1" t="s">
        <v>37</v>
      </c>
      <c r="E403" t="s">
        <v>38</v>
      </c>
      <c r="F403" t="s">
        <v>39</v>
      </c>
      <c r="G403" s="5">
        <v>88</v>
      </c>
      <c r="H403" s="5">
        <v>93</v>
      </c>
      <c r="I403" s="5">
        <v>88</v>
      </c>
      <c r="J403" s="5">
        <v>5</v>
      </c>
      <c r="K403" s="8">
        <f t="shared" si="14"/>
        <v>105.68181818181819</v>
      </c>
      <c r="L403" s="8">
        <f t="shared" si="15"/>
        <v>5.6818181818181817</v>
      </c>
      <c r="M403" t="s">
        <v>20</v>
      </c>
      <c r="N403" t="s">
        <v>21</v>
      </c>
    </row>
    <row r="404" spans="1:14" x14ac:dyDescent="0.3">
      <c r="A404" t="s">
        <v>1481</v>
      </c>
      <c r="B404" s="2">
        <v>46245</v>
      </c>
      <c r="C404" s="2">
        <v>46246</v>
      </c>
      <c r="D404" s="1" t="s">
        <v>1482</v>
      </c>
      <c r="E404" t="s">
        <v>1483</v>
      </c>
      <c r="F404" t="s">
        <v>39</v>
      </c>
      <c r="G404" s="5">
        <v>100</v>
      </c>
      <c r="H404" s="5">
        <v>100</v>
      </c>
      <c r="I404" s="5">
        <v>97</v>
      </c>
      <c r="J404" s="5">
        <v>3</v>
      </c>
      <c r="K404" s="8">
        <f t="shared" si="14"/>
        <v>100</v>
      </c>
      <c r="L404" s="8">
        <f t="shared" si="15"/>
        <v>3.0927835051546393</v>
      </c>
      <c r="M404" t="s">
        <v>20</v>
      </c>
      <c r="N404" t="s">
        <v>21</v>
      </c>
    </row>
    <row r="405" spans="1:14" x14ac:dyDescent="0.3">
      <c r="A405" t="s">
        <v>1484</v>
      </c>
      <c r="B405" s="2">
        <v>46246</v>
      </c>
      <c r="C405" s="2">
        <v>46247</v>
      </c>
      <c r="D405" s="1" t="s">
        <v>1482</v>
      </c>
      <c r="E405" t="s">
        <v>1483</v>
      </c>
      <c r="F405" t="s">
        <v>39</v>
      </c>
      <c r="G405" s="5">
        <v>100</v>
      </c>
      <c r="H405" s="5">
        <v>109</v>
      </c>
      <c r="I405" s="5">
        <v>102</v>
      </c>
      <c r="J405" s="5">
        <v>7</v>
      </c>
      <c r="K405" s="8">
        <f t="shared" si="14"/>
        <v>109.00000000000001</v>
      </c>
      <c r="L405" s="8">
        <f t="shared" si="15"/>
        <v>6.8627450980392162</v>
      </c>
      <c r="M405" t="s">
        <v>20</v>
      </c>
      <c r="N405" t="s">
        <v>21</v>
      </c>
    </row>
    <row r="406" spans="1:14" x14ac:dyDescent="0.3">
      <c r="A406" t="s">
        <v>1485</v>
      </c>
      <c r="B406" s="2">
        <v>46247</v>
      </c>
      <c r="C406" s="2">
        <v>46248</v>
      </c>
      <c r="D406" s="1" t="s">
        <v>1482</v>
      </c>
      <c r="E406" t="s">
        <v>1483</v>
      </c>
      <c r="F406" t="s">
        <v>39</v>
      </c>
      <c r="G406" s="5">
        <v>100</v>
      </c>
      <c r="H406" s="5">
        <v>108</v>
      </c>
      <c r="I406" s="5">
        <v>107</v>
      </c>
      <c r="J406" s="5">
        <v>1</v>
      </c>
      <c r="K406" s="8">
        <f t="shared" si="14"/>
        <v>108</v>
      </c>
      <c r="L406" s="8">
        <f t="shared" si="15"/>
        <v>0.93457943925233633</v>
      </c>
      <c r="M406" t="s">
        <v>20</v>
      </c>
      <c r="N406" t="s">
        <v>21</v>
      </c>
    </row>
    <row r="407" spans="1:14" x14ac:dyDescent="0.3">
      <c r="A407" t="s">
        <v>1486</v>
      </c>
      <c r="B407" s="2">
        <v>46252</v>
      </c>
      <c r="C407" s="2">
        <v>46253</v>
      </c>
      <c r="D407" s="1" t="s">
        <v>1482</v>
      </c>
      <c r="E407" t="s">
        <v>1483</v>
      </c>
      <c r="F407" t="s">
        <v>39</v>
      </c>
      <c r="G407" s="5">
        <v>100</v>
      </c>
      <c r="H407" s="5">
        <v>93</v>
      </c>
      <c r="I407" s="5">
        <v>91</v>
      </c>
      <c r="J407" s="5">
        <v>2</v>
      </c>
      <c r="K407" s="8">
        <f t="shared" si="14"/>
        <v>93</v>
      </c>
      <c r="L407" s="8">
        <f t="shared" si="15"/>
        <v>2.197802197802198</v>
      </c>
      <c r="M407" t="s">
        <v>20</v>
      </c>
      <c r="N407" t="s">
        <v>21</v>
      </c>
    </row>
    <row r="408" spans="1:14" x14ac:dyDescent="0.3">
      <c r="A408" t="s">
        <v>1487</v>
      </c>
      <c r="B408" s="2">
        <v>46241</v>
      </c>
      <c r="C408" s="2">
        <v>46241</v>
      </c>
      <c r="D408" s="1" t="s">
        <v>44</v>
      </c>
      <c r="E408" t="s">
        <v>45</v>
      </c>
      <c r="F408" t="s">
        <v>46</v>
      </c>
      <c r="G408" s="5">
        <v>78</v>
      </c>
      <c r="H408" s="5">
        <v>75</v>
      </c>
      <c r="I408" s="5">
        <v>74</v>
      </c>
      <c r="J408" s="5">
        <v>1</v>
      </c>
      <c r="K408" s="8">
        <f t="shared" si="14"/>
        <v>96.15384615384616</v>
      </c>
      <c r="L408" s="8">
        <f t="shared" si="15"/>
        <v>1.3513513513513513</v>
      </c>
      <c r="M408" t="s">
        <v>20</v>
      </c>
      <c r="N408" t="s">
        <v>21</v>
      </c>
    </row>
    <row r="409" spans="1:14" x14ac:dyDescent="0.3">
      <c r="A409" t="s">
        <v>1488</v>
      </c>
      <c r="B409" s="2">
        <v>46246</v>
      </c>
      <c r="C409" s="2">
        <v>46246</v>
      </c>
      <c r="D409" s="1" t="s">
        <v>44</v>
      </c>
      <c r="E409" t="s">
        <v>45</v>
      </c>
      <c r="F409" t="s">
        <v>46</v>
      </c>
      <c r="G409" s="5">
        <v>39</v>
      </c>
      <c r="H409" s="5">
        <v>39</v>
      </c>
      <c r="I409" s="5">
        <v>38</v>
      </c>
      <c r="J409" s="5">
        <v>1</v>
      </c>
      <c r="K409" s="8">
        <f t="shared" si="14"/>
        <v>100</v>
      </c>
      <c r="L409" s="8">
        <f t="shared" si="15"/>
        <v>2.6315789473684208</v>
      </c>
      <c r="M409" t="s">
        <v>20</v>
      </c>
      <c r="N409" t="s">
        <v>21</v>
      </c>
    </row>
    <row r="410" spans="1:14" x14ac:dyDescent="0.3">
      <c r="A410" t="s">
        <v>1489</v>
      </c>
      <c r="B410" s="2">
        <v>46251</v>
      </c>
      <c r="C410" s="2">
        <v>46252</v>
      </c>
      <c r="D410" s="1" t="s">
        <v>44</v>
      </c>
      <c r="E410" t="s">
        <v>45</v>
      </c>
      <c r="F410" t="s">
        <v>46</v>
      </c>
      <c r="G410" s="5">
        <v>39</v>
      </c>
      <c r="H410" s="5">
        <v>38</v>
      </c>
      <c r="I410" s="5">
        <v>37</v>
      </c>
      <c r="J410" s="5">
        <v>1</v>
      </c>
      <c r="K410" s="8">
        <f t="shared" si="14"/>
        <v>97.435897435897431</v>
      </c>
      <c r="L410" s="8">
        <f t="shared" si="15"/>
        <v>2.7027027027027026</v>
      </c>
      <c r="M410" t="s">
        <v>20</v>
      </c>
      <c r="N410" t="s">
        <v>21</v>
      </c>
    </row>
    <row r="411" spans="1:14" x14ac:dyDescent="0.3">
      <c r="A411" t="s">
        <v>1490</v>
      </c>
      <c r="B411" s="2">
        <v>46253</v>
      </c>
      <c r="C411" s="2">
        <v>46253</v>
      </c>
      <c r="D411" s="1" t="s">
        <v>44</v>
      </c>
      <c r="E411" t="s">
        <v>45</v>
      </c>
      <c r="F411" t="s">
        <v>46</v>
      </c>
      <c r="G411" s="5">
        <v>39</v>
      </c>
      <c r="H411" s="5">
        <v>37</v>
      </c>
      <c r="I411" s="5">
        <v>37</v>
      </c>
      <c r="J411" s="5">
        <v>0</v>
      </c>
      <c r="K411" s="8">
        <f t="shared" si="14"/>
        <v>94.871794871794862</v>
      </c>
      <c r="L411" s="8">
        <f t="shared" si="15"/>
        <v>0</v>
      </c>
      <c r="M411" t="s">
        <v>20</v>
      </c>
      <c r="N411" t="s">
        <v>21</v>
      </c>
    </row>
    <row r="412" spans="1:14" x14ac:dyDescent="0.3">
      <c r="A412" t="s">
        <v>1274</v>
      </c>
      <c r="B412" s="2">
        <v>46238</v>
      </c>
      <c r="C412" s="2">
        <v>46240</v>
      </c>
      <c r="D412" s="1" t="s">
        <v>48</v>
      </c>
      <c r="E412" t="s">
        <v>49</v>
      </c>
      <c r="F412" t="s">
        <v>39</v>
      </c>
      <c r="G412" s="5">
        <v>280</v>
      </c>
      <c r="H412" s="5">
        <v>220</v>
      </c>
      <c r="I412" s="5">
        <v>218</v>
      </c>
      <c r="J412" s="5">
        <v>2</v>
      </c>
      <c r="K412" s="8">
        <f t="shared" si="14"/>
        <v>78.571428571428569</v>
      </c>
      <c r="L412" s="8">
        <f t="shared" si="15"/>
        <v>0.91743119266055051</v>
      </c>
      <c r="M412" t="s">
        <v>20</v>
      </c>
      <c r="N412" t="s">
        <v>21</v>
      </c>
    </row>
    <row r="413" spans="1:14" x14ac:dyDescent="0.3">
      <c r="A413" t="s">
        <v>1268</v>
      </c>
      <c r="B413" s="2">
        <v>46237</v>
      </c>
      <c r="C413" s="2">
        <v>46240</v>
      </c>
      <c r="D413" s="1" t="s">
        <v>66</v>
      </c>
      <c r="E413" t="s">
        <v>67</v>
      </c>
      <c r="F413" t="s">
        <v>61</v>
      </c>
      <c r="G413" s="5">
        <v>300</v>
      </c>
      <c r="H413" s="5">
        <v>312</v>
      </c>
      <c r="I413" s="5">
        <v>312</v>
      </c>
      <c r="J413" s="5">
        <v>0</v>
      </c>
      <c r="K413" s="8">
        <f t="shared" si="14"/>
        <v>104</v>
      </c>
      <c r="L413" s="8">
        <f t="shared" si="15"/>
        <v>0</v>
      </c>
      <c r="M413" t="s">
        <v>20</v>
      </c>
      <c r="N413" t="s">
        <v>21</v>
      </c>
    </row>
    <row r="414" spans="1:14" x14ac:dyDescent="0.3">
      <c r="A414" t="s">
        <v>1284</v>
      </c>
      <c r="B414" s="2">
        <v>46238</v>
      </c>
      <c r="C414" s="2">
        <v>46240</v>
      </c>
      <c r="D414" s="1" t="s">
        <v>66</v>
      </c>
      <c r="E414" t="s">
        <v>67</v>
      </c>
      <c r="F414" t="s">
        <v>61</v>
      </c>
      <c r="G414" s="5">
        <v>300</v>
      </c>
      <c r="H414" s="5">
        <v>320</v>
      </c>
      <c r="I414" s="5">
        <v>320</v>
      </c>
      <c r="J414" s="5">
        <v>0</v>
      </c>
      <c r="K414" s="8">
        <f t="shared" si="14"/>
        <v>106.66666666666667</v>
      </c>
      <c r="L414" s="8">
        <f t="shared" si="15"/>
        <v>0</v>
      </c>
      <c r="M414" t="s">
        <v>20</v>
      </c>
      <c r="N414" t="s">
        <v>21</v>
      </c>
    </row>
    <row r="415" spans="1:14" x14ac:dyDescent="0.3">
      <c r="A415" t="s">
        <v>1491</v>
      </c>
      <c r="B415" s="2">
        <v>46241</v>
      </c>
      <c r="C415" s="2">
        <v>46241</v>
      </c>
      <c r="D415" s="1" t="s">
        <v>66</v>
      </c>
      <c r="E415" t="s">
        <v>67</v>
      </c>
      <c r="F415" t="s">
        <v>61</v>
      </c>
      <c r="G415" s="5">
        <v>300</v>
      </c>
      <c r="H415" s="5">
        <v>300</v>
      </c>
      <c r="I415" s="5">
        <v>300</v>
      </c>
      <c r="J415" s="5">
        <v>0</v>
      </c>
      <c r="K415" s="8">
        <f t="shared" si="14"/>
        <v>100</v>
      </c>
      <c r="L415" s="8">
        <f t="shared" si="15"/>
        <v>0</v>
      </c>
      <c r="M415" t="s">
        <v>20</v>
      </c>
      <c r="N415" t="s">
        <v>21</v>
      </c>
    </row>
    <row r="416" spans="1:14" x14ac:dyDescent="0.3">
      <c r="A416" t="s">
        <v>1492</v>
      </c>
      <c r="B416" s="2">
        <v>46244</v>
      </c>
      <c r="C416" s="2">
        <v>46244</v>
      </c>
      <c r="D416" s="1" t="s">
        <v>66</v>
      </c>
      <c r="E416" t="s">
        <v>67</v>
      </c>
      <c r="F416" t="s">
        <v>61</v>
      </c>
      <c r="G416" s="5">
        <v>400</v>
      </c>
      <c r="H416" s="5">
        <v>400</v>
      </c>
      <c r="I416" s="5">
        <v>396</v>
      </c>
      <c r="J416" s="5">
        <v>4</v>
      </c>
      <c r="K416" s="8">
        <f t="shared" si="14"/>
        <v>100</v>
      </c>
      <c r="L416" s="8">
        <f t="shared" si="15"/>
        <v>1.0101010101010102</v>
      </c>
      <c r="M416" t="s">
        <v>20</v>
      </c>
      <c r="N416" t="s">
        <v>21</v>
      </c>
    </row>
    <row r="417" spans="1:14" x14ac:dyDescent="0.3">
      <c r="A417" t="s">
        <v>1493</v>
      </c>
      <c r="B417" s="2">
        <v>46246</v>
      </c>
      <c r="C417" s="2">
        <v>46246</v>
      </c>
      <c r="D417" s="1" t="s">
        <v>66</v>
      </c>
      <c r="E417" t="s">
        <v>67</v>
      </c>
      <c r="F417" t="s">
        <v>61</v>
      </c>
      <c r="G417" s="5">
        <v>400</v>
      </c>
      <c r="H417" s="5">
        <v>408</v>
      </c>
      <c r="I417" s="5">
        <v>396</v>
      </c>
      <c r="J417" s="5">
        <v>12</v>
      </c>
      <c r="K417" s="8">
        <f t="shared" si="14"/>
        <v>102</v>
      </c>
      <c r="L417" s="8">
        <f t="shared" si="15"/>
        <v>3.0303030303030303</v>
      </c>
      <c r="M417" t="s">
        <v>20</v>
      </c>
      <c r="N417" t="s">
        <v>21</v>
      </c>
    </row>
    <row r="418" spans="1:14" x14ac:dyDescent="0.3">
      <c r="A418" t="s">
        <v>1494</v>
      </c>
      <c r="B418" s="2">
        <v>46248</v>
      </c>
      <c r="C418" s="2">
        <v>46248</v>
      </c>
      <c r="D418" s="1" t="s">
        <v>66</v>
      </c>
      <c r="E418" t="s">
        <v>67</v>
      </c>
      <c r="F418" t="s">
        <v>61</v>
      </c>
      <c r="G418" s="5">
        <v>500</v>
      </c>
      <c r="H418" s="5">
        <v>504</v>
      </c>
      <c r="I418" s="5">
        <v>504</v>
      </c>
      <c r="J418" s="5">
        <v>0</v>
      </c>
      <c r="K418" s="8">
        <f t="shared" si="14"/>
        <v>100.8</v>
      </c>
      <c r="L418" s="8">
        <f t="shared" si="15"/>
        <v>0</v>
      </c>
      <c r="M418" t="s">
        <v>20</v>
      </c>
      <c r="N418" t="s">
        <v>21</v>
      </c>
    </row>
    <row r="419" spans="1:14" x14ac:dyDescent="0.3">
      <c r="A419" t="s">
        <v>1495</v>
      </c>
      <c r="B419" s="2">
        <v>46253</v>
      </c>
      <c r="C419" s="2">
        <v>46253</v>
      </c>
      <c r="D419" s="1" t="s">
        <v>66</v>
      </c>
      <c r="E419" t="s">
        <v>67</v>
      </c>
      <c r="F419" t="s">
        <v>61</v>
      </c>
      <c r="G419" s="5">
        <v>400</v>
      </c>
      <c r="H419" s="5">
        <v>408</v>
      </c>
      <c r="I419" s="5">
        <v>408</v>
      </c>
      <c r="J419" s="5">
        <v>0</v>
      </c>
      <c r="K419" s="8">
        <f t="shared" si="14"/>
        <v>102</v>
      </c>
      <c r="L419" s="8">
        <f t="shared" si="15"/>
        <v>0</v>
      </c>
      <c r="M419" t="s">
        <v>20</v>
      </c>
      <c r="N419" t="s">
        <v>21</v>
      </c>
    </row>
    <row r="420" spans="1:14" x14ac:dyDescent="0.3">
      <c r="A420" t="s">
        <v>1496</v>
      </c>
      <c r="B420" s="2">
        <v>46245</v>
      </c>
      <c r="C420" s="2">
        <v>46245</v>
      </c>
      <c r="D420" s="1" t="s">
        <v>81</v>
      </c>
      <c r="E420" t="s">
        <v>82</v>
      </c>
      <c r="F420" t="s">
        <v>19</v>
      </c>
      <c r="G420" s="5">
        <v>2000</v>
      </c>
      <c r="H420" s="5">
        <v>2000</v>
      </c>
      <c r="I420" s="5">
        <v>2000</v>
      </c>
      <c r="J420" s="5">
        <v>0</v>
      </c>
      <c r="K420" s="8">
        <f t="shared" si="14"/>
        <v>100</v>
      </c>
      <c r="L420" s="8">
        <f t="shared" si="15"/>
        <v>0</v>
      </c>
      <c r="M420" t="s">
        <v>20</v>
      </c>
      <c r="N420" t="s">
        <v>21</v>
      </c>
    </row>
    <row r="421" spans="1:14" x14ac:dyDescent="0.3">
      <c r="A421" t="s">
        <v>1306</v>
      </c>
      <c r="B421" s="2">
        <v>46237</v>
      </c>
      <c r="C421" s="2">
        <v>46240</v>
      </c>
      <c r="D421" s="1" t="s">
        <v>85</v>
      </c>
      <c r="E421" t="s">
        <v>86</v>
      </c>
      <c r="F421" t="s">
        <v>19</v>
      </c>
      <c r="G421" s="5">
        <v>94</v>
      </c>
      <c r="H421" s="5">
        <v>94</v>
      </c>
      <c r="I421" s="5">
        <v>94</v>
      </c>
      <c r="J421" s="5">
        <v>0</v>
      </c>
      <c r="K421" s="8">
        <f t="shared" si="14"/>
        <v>100</v>
      </c>
      <c r="L421" s="8">
        <f t="shared" si="15"/>
        <v>0</v>
      </c>
      <c r="M421" t="s">
        <v>20</v>
      </c>
      <c r="N421" t="s">
        <v>21</v>
      </c>
    </row>
    <row r="422" spans="1:14" x14ac:dyDescent="0.3">
      <c r="A422" t="s">
        <v>1310</v>
      </c>
      <c r="B422" s="2">
        <v>46239</v>
      </c>
      <c r="C422" s="2">
        <v>46240</v>
      </c>
      <c r="D422" s="1" t="s">
        <v>85</v>
      </c>
      <c r="E422" t="s">
        <v>86</v>
      </c>
      <c r="F422" t="s">
        <v>19</v>
      </c>
      <c r="G422" s="5">
        <v>116</v>
      </c>
      <c r="H422" s="5">
        <v>116</v>
      </c>
      <c r="I422" s="5">
        <v>116</v>
      </c>
      <c r="J422" s="5">
        <v>0</v>
      </c>
      <c r="K422" s="8">
        <f t="shared" si="14"/>
        <v>100</v>
      </c>
      <c r="L422" s="8">
        <f t="shared" si="15"/>
        <v>0</v>
      </c>
      <c r="M422" t="s">
        <v>20</v>
      </c>
      <c r="N422" t="s">
        <v>21</v>
      </c>
    </row>
    <row r="423" spans="1:14" x14ac:dyDescent="0.3">
      <c r="A423" t="s">
        <v>1497</v>
      </c>
      <c r="B423" s="2">
        <v>46241</v>
      </c>
      <c r="C423" s="2">
        <v>46241</v>
      </c>
      <c r="D423" s="1" t="s">
        <v>85</v>
      </c>
      <c r="E423" t="s">
        <v>86</v>
      </c>
      <c r="F423" t="s">
        <v>19</v>
      </c>
      <c r="G423" s="5">
        <v>105</v>
      </c>
      <c r="H423" s="5">
        <v>105</v>
      </c>
      <c r="I423" s="5">
        <v>105</v>
      </c>
      <c r="J423" s="5">
        <v>0</v>
      </c>
      <c r="K423" s="8">
        <f t="shared" si="14"/>
        <v>100</v>
      </c>
      <c r="L423" s="8">
        <f t="shared" si="15"/>
        <v>0</v>
      </c>
      <c r="M423" t="s">
        <v>20</v>
      </c>
      <c r="N423" t="s">
        <v>21</v>
      </c>
    </row>
    <row r="424" spans="1:14" x14ac:dyDescent="0.3">
      <c r="A424" t="s">
        <v>1498</v>
      </c>
      <c r="B424" s="2">
        <v>46244</v>
      </c>
      <c r="C424" s="2">
        <v>46244</v>
      </c>
      <c r="D424" s="1" t="s">
        <v>85</v>
      </c>
      <c r="E424" t="s">
        <v>86</v>
      </c>
      <c r="F424" t="s">
        <v>19</v>
      </c>
      <c r="G424" s="5">
        <v>105</v>
      </c>
      <c r="H424" s="5">
        <v>105</v>
      </c>
      <c r="I424" s="5">
        <v>105</v>
      </c>
      <c r="J424" s="5">
        <v>0</v>
      </c>
      <c r="K424" s="8">
        <f t="shared" si="14"/>
        <v>100</v>
      </c>
      <c r="L424" s="8">
        <f t="shared" si="15"/>
        <v>0</v>
      </c>
      <c r="M424" t="s">
        <v>20</v>
      </c>
      <c r="N424" t="s">
        <v>21</v>
      </c>
    </row>
    <row r="425" spans="1:14" x14ac:dyDescent="0.3">
      <c r="A425" t="s">
        <v>1499</v>
      </c>
      <c r="B425" s="2">
        <v>46246</v>
      </c>
      <c r="C425" s="2">
        <v>46246</v>
      </c>
      <c r="D425" s="1" t="s">
        <v>85</v>
      </c>
      <c r="E425" t="s">
        <v>86</v>
      </c>
      <c r="F425" t="s">
        <v>19</v>
      </c>
      <c r="G425" s="5">
        <v>135</v>
      </c>
      <c r="H425" s="5">
        <v>135</v>
      </c>
      <c r="I425" s="5">
        <v>135</v>
      </c>
      <c r="J425" s="5">
        <v>0</v>
      </c>
      <c r="K425" s="8">
        <f t="shared" si="14"/>
        <v>100</v>
      </c>
      <c r="L425" s="8">
        <f t="shared" si="15"/>
        <v>0</v>
      </c>
      <c r="M425" t="s">
        <v>20</v>
      </c>
      <c r="N425" t="s">
        <v>21</v>
      </c>
    </row>
    <row r="426" spans="1:14" x14ac:dyDescent="0.3">
      <c r="A426" t="s">
        <v>1500</v>
      </c>
      <c r="B426" s="2">
        <v>46248</v>
      </c>
      <c r="C426" s="2">
        <v>46248</v>
      </c>
      <c r="D426" s="1" t="s">
        <v>85</v>
      </c>
      <c r="E426" t="s">
        <v>86</v>
      </c>
      <c r="F426" t="s">
        <v>19</v>
      </c>
      <c r="G426" s="5">
        <v>100</v>
      </c>
      <c r="H426" s="5">
        <v>100</v>
      </c>
      <c r="I426" s="5">
        <v>100</v>
      </c>
      <c r="J426" s="5">
        <v>0</v>
      </c>
      <c r="K426" s="8">
        <f t="shared" si="14"/>
        <v>100</v>
      </c>
      <c r="L426" s="8">
        <f t="shared" si="15"/>
        <v>0</v>
      </c>
      <c r="M426" t="s">
        <v>20</v>
      </c>
      <c r="N426" t="s">
        <v>21</v>
      </c>
    </row>
    <row r="427" spans="1:14" x14ac:dyDescent="0.3">
      <c r="A427" t="s">
        <v>1501</v>
      </c>
      <c r="B427" s="2">
        <v>46251</v>
      </c>
      <c r="C427" s="2">
        <v>46252</v>
      </c>
      <c r="D427" s="1" t="s">
        <v>85</v>
      </c>
      <c r="E427" t="s">
        <v>86</v>
      </c>
      <c r="F427" t="s">
        <v>19</v>
      </c>
      <c r="G427" s="5">
        <v>105</v>
      </c>
      <c r="H427" s="5">
        <v>105</v>
      </c>
      <c r="I427" s="5">
        <v>105</v>
      </c>
      <c r="J427" s="5">
        <v>0</v>
      </c>
      <c r="K427" s="8">
        <f t="shared" si="14"/>
        <v>100</v>
      </c>
      <c r="L427" s="8">
        <f t="shared" si="15"/>
        <v>0</v>
      </c>
      <c r="M427" t="s">
        <v>20</v>
      </c>
      <c r="N427" t="s">
        <v>21</v>
      </c>
    </row>
    <row r="428" spans="1:14" x14ac:dyDescent="0.3">
      <c r="A428" t="s">
        <v>1502</v>
      </c>
      <c r="B428" s="2">
        <v>46253</v>
      </c>
      <c r="C428" s="2">
        <v>46253</v>
      </c>
      <c r="D428" s="1" t="s">
        <v>85</v>
      </c>
      <c r="E428" t="s">
        <v>86</v>
      </c>
      <c r="F428" t="s">
        <v>19</v>
      </c>
      <c r="G428" s="5">
        <v>84</v>
      </c>
      <c r="H428" s="5">
        <v>84</v>
      </c>
      <c r="I428" s="5">
        <v>84</v>
      </c>
      <c r="J428" s="5">
        <v>0</v>
      </c>
      <c r="K428" s="8">
        <f t="shared" si="14"/>
        <v>100</v>
      </c>
      <c r="L428" s="8">
        <f t="shared" si="15"/>
        <v>0</v>
      </c>
      <c r="M428" t="s">
        <v>20</v>
      </c>
      <c r="N428" t="s">
        <v>21</v>
      </c>
    </row>
    <row r="429" spans="1:14" x14ac:dyDescent="0.3">
      <c r="A429" t="s">
        <v>1275</v>
      </c>
      <c r="B429" s="2">
        <v>46238</v>
      </c>
      <c r="C429" s="2">
        <v>46240</v>
      </c>
      <c r="D429" s="1" t="s">
        <v>95</v>
      </c>
      <c r="E429" t="s">
        <v>96</v>
      </c>
      <c r="F429" t="s">
        <v>97</v>
      </c>
      <c r="G429" s="5">
        <v>910</v>
      </c>
      <c r="H429" s="5">
        <v>980</v>
      </c>
      <c r="I429" s="5">
        <v>976</v>
      </c>
      <c r="J429" s="5">
        <v>4</v>
      </c>
      <c r="K429" s="8">
        <f t="shared" si="14"/>
        <v>107.69230769230769</v>
      </c>
      <c r="L429" s="8">
        <f t="shared" si="15"/>
        <v>0.4098360655737705</v>
      </c>
      <c r="M429" t="s">
        <v>20</v>
      </c>
      <c r="N429" t="s">
        <v>21</v>
      </c>
    </row>
    <row r="430" spans="1:14" x14ac:dyDescent="0.3">
      <c r="A430" t="s">
        <v>1503</v>
      </c>
      <c r="B430" s="2">
        <v>46240</v>
      </c>
      <c r="C430" s="2">
        <v>46241</v>
      </c>
      <c r="D430" s="1" t="s">
        <v>95</v>
      </c>
      <c r="E430" t="s">
        <v>96</v>
      </c>
      <c r="F430" t="s">
        <v>97</v>
      </c>
      <c r="G430" s="5">
        <v>910</v>
      </c>
      <c r="H430" s="5">
        <v>976</v>
      </c>
      <c r="I430" s="5">
        <v>974</v>
      </c>
      <c r="J430" s="5">
        <v>2</v>
      </c>
      <c r="K430" s="8">
        <f t="shared" si="14"/>
        <v>107.25274725274726</v>
      </c>
      <c r="L430" s="8">
        <f t="shared" si="15"/>
        <v>0.20533880903490762</v>
      </c>
      <c r="M430" t="s">
        <v>20</v>
      </c>
      <c r="N430" t="s">
        <v>21</v>
      </c>
    </row>
    <row r="431" spans="1:14" x14ac:dyDescent="0.3">
      <c r="A431" t="s">
        <v>1504</v>
      </c>
      <c r="B431" s="2">
        <v>46245</v>
      </c>
      <c r="C431" s="2">
        <v>46246</v>
      </c>
      <c r="D431" s="1" t="s">
        <v>95</v>
      </c>
      <c r="E431" t="s">
        <v>96</v>
      </c>
      <c r="F431" t="s">
        <v>97</v>
      </c>
      <c r="G431" s="5">
        <v>600</v>
      </c>
      <c r="H431" s="5">
        <v>630</v>
      </c>
      <c r="I431" s="5">
        <v>624</v>
      </c>
      <c r="J431" s="5">
        <v>6</v>
      </c>
      <c r="K431" s="8">
        <f t="shared" si="14"/>
        <v>105</v>
      </c>
      <c r="L431" s="8">
        <f t="shared" si="15"/>
        <v>0.96153846153846156</v>
      </c>
      <c r="M431" t="s">
        <v>20</v>
      </c>
      <c r="N431" t="s">
        <v>21</v>
      </c>
    </row>
    <row r="432" spans="1:14" x14ac:dyDescent="0.3">
      <c r="A432" t="s">
        <v>1505</v>
      </c>
      <c r="B432" s="2">
        <v>46247</v>
      </c>
      <c r="C432" s="2">
        <v>46248</v>
      </c>
      <c r="D432" s="1" t="s">
        <v>95</v>
      </c>
      <c r="E432" t="s">
        <v>96</v>
      </c>
      <c r="F432" t="s">
        <v>97</v>
      </c>
      <c r="G432" s="5">
        <v>600</v>
      </c>
      <c r="H432" s="5">
        <v>700</v>
      </c>
      <c r="I432" s="5">
        <v>700</v>
      </c>
      <c r="J432" s="5">
        <v>0</v>
      </c>
      <c r="K432" s="8">
        <f t="shared" si="14"/>
        <v>116.66666666666667</v>
      </c>
      <c r="L432" s="8">
        <f t="shared" si="15"/>
        <v>0</v>
      </c>
      <c r="M432" t="s">
        <v>20</v>
      </c>
      <c r="N432" t="s">
        <v>21</v>
      </c>
    </row>
    <row r="433" spans="1:14" x14ac:dyDescent="0.3">
      <c r="A433" t="s">
        <v>1506</v>
      </c>
      <c r="B433" s="2">
        <v>46252</v>
      </c>
      <c r="C433" s="2">
        <v>46253</v>
      </c>
      <c r="D433" s="1" t="s">
        <v>95</v>
      </c>
      <c r="E433" t="s">
        <v>96</v>
      </c>
      <c r="F433" t="s">
        <v>97</v>
      </c>
      <c r="G433" s="5">
        <v>600</v>
      </c>
      <c r="H433" s="5">
        <v>665</v>
      </c>
      <c r="I433" s="5">
        <v>665</v>
      </c>
      <c r="J433" s="5">
        <v>0</v>
      </c>
      <c r="K433" s="8">
        <f t="shared" si="14"/>
        <v>110.83333333333334</v>
      </c>
      <c r="L433" s="8">
        <f t="shared" si="15"/>
        <v>0</v>
      </c>
      <c r="M433" t="s">
        <v>20</v>
      </c>
      <c r="N433" t="s">
        <v>21</v>
      </c>
    </row>
    <row r="434" spans="1:14" x14ac:dyDescent="0.3">
      <c r="A434" t="s">
        <v>1507</v>
      </c>
      <c r="B434" s="2">
        <v>46241</v>
      </c>
      <c r="C434" s="2">
        <v>46241</v>
      </c>
      <c r="D434" s="1" t="s">
        <v>102</v>
      </c>
      <c r="E434" t="s">
        <v>103</v>
      </c>
      <c r="F434" t="s">
        <v>61</v>
      </c>
      <c r="G434" s="5">
        <v>144</v>
      </c>
      <c r="H434" s="5">
        <v>144</v>
      </c>
      <c r="I434" s="5">
        <v>144</v>
      </c>
      <c r="J434" s="5">
        <v>0</v>
      </c>
      <c r="K434" s="8">
        <f t="shared" si="14"/>
        <v>100</v>
      </c>
      <c r="L434" s="8">
        <f t="shared" si="15"/>
        <v>0</v>
      </c>
      <c r="M434" t="s">
        <v>20</v>
      </c>
      <c r="N434" t="s">
        <v>21</v>
      </c>
    </row>
    <row r="435" spans="1:14" x14ac:dyDescent="0.3">
      <c r="A435" t="s">
        <v>1508</v>
      </c>
      <c r="B435" s="2">
        <v>46241</v>
      </c>
      <c r="C435" s="2">
        <v>46241</v>
      </c>
      <c r="D435" s="1" t="s">
        <v>102</v>
      </c>
      <c r="E435" t="s">
        <v>103</v>
      </c>
      <c r="F435" t="s">
        <v>61</v>
      </c>
      <c r="G435" s="5">
        <v>288</v>
      </c>
      <c r="H435" s="5">
        <v>306</v>
      </c>
      <c r="I435" s="5">
        <v>306</v>
      </c>
      <c r="J435" s="5">
        <v>0</v>
      </c>
      <c r="K435" s="8">
        <f t="shared" si="14"/>
        <v>106.25</v>
      </c>
      <c r="L435" s="8">
        <f t="shared" si="15"/>
        <v>0</v>
      </c>
      <c r="M435" t="s">
        <v>20</v>
      </c>
      <c r="N435" t="s">
        <v>21</v>
      </c>
    </row>
    <row r="436" spans="1:14" x14ac:dyDescent="0.3">
      <c r="A436" t="s">
        <v>1509</v>
      </c>
      <c r="B436" s="2">
        <v>46242</v>
      </c>
      <c r="C436" s="2">
        <v>46242</v>
      </c>
      <c r="D436" s="1" t="s">
        <v>102</v>
      </c>
      <c r="E436" t="s">
        <v>103</v>
      </c>
      <c r="F436" t="s">
        <v>61</v>
      </c>
      <c r="G436" s="5">
        <v>136</v>
      </c>
      <c r="H436" s="5">
        <v>139</v>
      </c>
      <c r="I436" s="5">
        <v>139</v>
      </c>
      <c r="J436" s="5">
        <v>0</v>
      </c>
      <c r="K436" s="8">
        <f t="shared" si="14"/>
        <v>102.20588235294117</v>
      </c>
      <c r="L436" s="8">
        <f t="shared" si="15"/>
        <v>0</v>
      </c>
      <c r="M436" t="s">
        <v>20</v>
      </c>
      <c r="N436" t="s">
        <v>21</v>
      </c>
    </row>
    <row r="437" spans="1:14" x14ac:dyDescent="0.3">
      <c r="A437" t="s">
        <v>1510</v>
      </c>
      <c r="B437" s="2">
        <v>46242</v>
      </c>
      <c r="C437" s="2">
        <v>46242</v>
      </c>
      <c r="D437" s="1" t="s">
        <v>102</v>
      </c>
      <c r="E437" t="s">
        <v>103</v>
      </c>
      <c r="F437" t="s">
        <v>61</v>
      </c>
      <c r="G437" s="5">
        <v>272</v>
      </c>
      <c r="H437" s="5">
        <v>275</v>
      </c>
      <c r="I437" s="5">
        <v>275</v>
      </c>
      <c r="J437" s="5">
        <v>0</v>
      </c>
      <c r="K437" s="8">
        <f t="shared" si="14"/>
        <v>101.10294117647058</v>
      </c>
      <c r="L437" s="8">
        <f t="shared" si="15"/>
        <v>0</v>
      </c>
      <c r="M437" t="s">
        <v>20</v>
      </c>
      <c r="N437" t="s">
        <v>21</v>
      </c>
    </row>
    <row r="438" spans="1:14" x14ac:dyDescent="0.3">
      <c r="A438" t="s">
        <v>1511</v>
      </c>
      <c r="B438" s="2">
        <v>46244</v>
      </c>
      <c r="C438" s="2">
        <v>46244</v>
      </c>
      <c r="D438" s="1" t="s">
        <v>102</v>
      </c>
      <c r="E438" t="s">
        <v>103</v>
      </c>
      <c r="F438" t="s">
        <v>61</v>
      </c>
      <c r="G438" s="5">
        <v>132</v>
      </c>
      <c r="H438" s="5">
        <v>134</v>
      </c>
      <c r="I438" s="5">
        <v>134</v>
      </c>
      <c r="J438" s="5">
        <v>0</v>
      </c>
      <c r="K438" s="8">
        <f t="shared" si="14"/>
        <v>101.51515151515152</v>
      </c>
      <c r="L438" s="8">
        <f t="shared" si="15"/>
        <v>0</v>
      </c>
      <c r="M438" t="s">
        <v>20</v>
      </c>
      <c r="N438" t="s">
        <v>21</v>
      </c>
    </row>
    <row r="439" spans="1:14" x14ac:dyDescent="0.3">
      <c r="A439" t="s">
        <v>1512</v>
      </c>
      <c r="B439" s="2">
        <v>46244</v>
      </c>
      <c r="C439" s="2">
        <v>46244</v>
      </c>
      <c r="D439" s="1" t="s">
        <v>102</v>
      </c>
      <c r="E439" t="s">
        <v>103</v>
      </c>
      <c r="F439" t="s">
        <v>61</v>
      </c>
      <c r="G439" s="5">
        <v>264</v>
      </c>
      <c r="H439" s="5">
        <v>268</v>
      </c>
      <c r="I439" s="5">
        <v>268</v>
      </c>
      <c r="J439" s="5">
        <v>0</v>
      </c>
      <c r="K439" s="8">
        <f t="shared" si="14"/>
        <v>101.51515151515152</v>
      </c>
      <c r="L439" s="8">
        <f t="shared" si="15"/>
        <v>0</v>
      </c>
      <c r="M439" t="s">
        <v>20</v>
      </c>
      <c r="N439" t="s">
        <v>21</v>
      </c>
    </row>
    <row r="440" spans="1:14" x14ac:dyDescent="0.3">
      <c r="A440" t="s">
        <v>1513</v>
      </c>
      <c r="B440" s="2">
        <v>46245</v>
      </c>
      <c r="C440" s="2">
        <v>46246</v>
      </c>
      <c r="D440" s="1" t="s">
        <v>102</v>
      </c>
      <c r="E440" t="s">
        <v>103</v>
      </c>
      <c r="F440" t="s">
        <v>61</v>
      </c>
      <c r="G440" s="5">
        <v>136</v>
      </c>
      <c r="H440" s="5">
        <v>136</v>
      </c>
      <c r="I440" s="5">
        <v>136</v>
      </c>
      <c r="J440" s="5">
        <v>0</v>
      </c>
      <c r="K440" s="8">
        <f t="shared" si="14"/>
        <v>100</v>
      </c>
      <c r="L440" s="8">
        <f t="shared" si="15"/>
        <v>0</v>
      </c>
      <c r="M440" t="s">
        <v>20</v>
      </c>
      <c r="N440" t="s">
        <v>21</v>
      </c>
    </row>
    <row r="441" spans="1:14" x14ac:dyDescent="0.3">
      <c r="A441" t="s">
        <v>1514</v>
      </c>
      <c r="B441" s="2">
        <v>46245</v>
      </c>
      <c r="C441" s="2">
        <v>46246</v>
      </c>
      <c r="D441" s="1" t="s">
        <v>102</v>
      </c>
      <c r="E441" t="s">
        <v>103</v>
      </c>
      <c r="F441" t="s">
        <v>61</v>
      </c>
      <c r="G441" s="5">
        <v>272</v>
      </c>
      <c r="H441" s="5">
        <v>278</v>
      </c>
      <c r="I441" s="5">
        <v>278</v>
      </c>
      <c r="J441" s="5">
        <v>0</v>
      </c>
      <c r="K441" s="8">
        <f t="shared" si="14"/>
        <v>102.20588235294117</v>
      </c>
      <c r="L441" s="8">
        <f t="shared" si="15"/>
        <v>0</v>
      </c>
      <c r="M441" t="s">
        <v>20</v>
      </c>
      <c r="N441" t="s">
        <v>21</v>
      </c>
    </row>
    <row r="442" spans="1:14" x14ac:dyDescent="0.3">
      <c r="A442" t="s">
        <v>1515</v>
      </c>
      <c r="B442" s="2">
        <v>46246</v>
      </c>
      <c r="C442" s="2">
        <v>46246</v>
      </c>
      <c r="D442" s="1" t="s">
        <v>102</v>
      </c>
      <c r="E442" t="s">
        <v>103</v>
      </c>
      <c r="F442" t="s">
        <v>61</v>
      </c>
      <c r="G442" s="5">
        <v>134</v>
      </c>
      <c r="H442" s="5">
        <v>134</v>
      </c>
      <c r="I442" s="5">
        <v>134</v>
      </c>
      <c r="J442" s="5">
        <v>0</v>
      </c>
      <c r="K442" s="8">
        <f t="shared" si="14"/>
        <v>100</v>
      </c>
      <c r="L442" s="8">
        <f t="shared" si="15"/>
        <v>0</v>
      </c>
      <c r="M442" t="s">
        <v>20</v>
      </c>
      <c r="N442" t="s">
        <v>21</v>
      </c>
    </row>
    <row r="443" spans="1:14" x14ac:dyDescent="0.3">
      <c r="A443" t="s">
        <v>1516</v>
      </c>
      <c r="B443" s="2">
        <v>46246</v>
      </c>
      <c r="C443" s="2">
        <v>46246</v>
      </c>
      <c r="D443" s="1" t="s">
        <v>102</v>
      </c>
      <c r="E443" t="s">
        <v>103</v>
      </c>
      <c r="F443" t="s">
        <v>61</v>
      </c>
      <c r="G443" s="5">
        <v>268</v>
      </c>
      <c r="H443" s="5">
        <v>280</v>
      </c>
      <c r="I443" s="5">
        <v>280</v>
      </c>
      <c r="J443" s="5">
        <v>0</v>
      </c>
      <c r="K443" s="8">
        <f t="shared" si="14"/>
        <v>104.4776119402985</v>
      </c>
      <c r="L443" s="8">
        <f t="shared" si="15"/>
        <v>0</v>
      </c>
      <c r="M443" t="s">
        <v>20</v>
      </c>
      <c r="N443" t="s">
        <v>21</v>
      </c>
    </row>
    <row r="444" spans="1:14" x14ac:dyDescent="0.3">
      <c r="A444" t="s">
        <v>1517</v>
      </c>
      <c r="B444" s="2">
        <v>46247</v>
      </c>
      <c r="C444" s="2">
        <v>46248</v>
      </c>
      <c r="D444" s="1" t="s">
        <v>102</v>
      </c>
      <c r="E444" t="s">
        <v>103</v>
      </c>
      <c r="F444" t="s">
        <v>61</v>
      </c>
      <c r="G444" s="5">
        <v>144</v>
      </c>
      <c r="H444" s="5">
        <v>144</v>
      </c>
      <c r="I444" s="5">
        <v>144</v>
      </c>
      <c r="J444" s="5">
        <v>0</v>
      </c>
      <c r="K444" s="8">
        <f t="shared" si="14"/>
        <v>100</v>
      </c>
      <c r="L444" s="8">
        <f t="shared" si="15"/>
        <v>0</v>
      </c>
      <c r="M444" t="s">
        <v>20</v>
      </c>
      <c r="N444" t="s">
        <v>21</v>
      </c>
    </row>
    <row r="445" spans="1:14" x14ac:dyDescent="0.3">
      <c r="A445" t="s">
        <v>1518</v>
      </c>
      <c r="B445" s="2">
        <v>46247</v>
      </c>
      <c r="C445" s="2">
        <v>46248</v>
      </c>
      <c r="D445" s="1" t="s">
        <v>102</v>
      </c>
      <c r="E445" t="s">
        <v>103</v>
      </c>
      <c r="F445" t="s">
        <v>61</v>
      </c>
      <c r="G445" s="5">
        <v>288</v>
      </c>
      <c r="H445" s="5">
        <v>294</v>
      </c>
      <c r="I445" s="5">
        <v>294</v>
      </c>
      <c r="J445" s="5">
        <v>0</v>
      </c>
      <c r="K445" s="8">
        <f t="shared" si="14"/>
        <v>102.08333333333333</v>
      </c>
      <c r="L445" s="8">
        <f t="shared" si="15"/>
        <v>0</v>
      </c>
      <c r="M445" t="s">
        <v>20</v>
      </c>
      <c r="N445" t="s">
        <v>21</v>
      </c>
    </row>
    <row r="446" spans="1:14" x14ac:dyDescent="0.3">
      <c r="A446" t="s">
        <v>1519</v>
      </c>
      <c r="B446" s="2">
        <v>46248</v>
      </c>
      <c r="C446" s="2">
        <v>46248</v>
      </c>
      <c r="D446" s="1" t="s">
        <v>102</v>
      </c>
      <c r="E446" t="s">
        <v>103</v>
      </c>
      <c r="F446" t="s">
        <v>61</v>
      </c>
      <c r="G446" s="5">
        <v>142</v>
      </c>
      <c r="H446" s="5">
        <v>142</v>
      </c>
      <c r="I446" s="5">
        <v>142</v>
      </c>
      <c r="J446" s="5">
        <v>0</v>
      </c>
      <c r="K446" s="8">
        <f t="shared" si="14"/>
        <v>100</v>
      </c>
      <c r="L446" s="8">
        <f t="shared" si="15"/>
        <v>0</v>
      </c>
      <c r="M446" t="s">
        <v>20</v>
      </c>
      <c r="N446" t="s">
        <v>21</v>
      </c>
    </row>
    <row r="447" spans="1:14" x14ac:dyDescent="0.3">
      <c r="A447" t="s">
        <v>1520</v>
      </c>
      <c r="B447" s="2">
        <v>46248</v>
      </c>
      <c r="C447" s="2">
        <v>46248</v>
      </c>
      <c r="D447" s="1" t="s">
        <v>102</v>
      </c>
      <c r="E447" t="s">
        <v>103</v>
      </c>
      <c r="F447" t="s">
        <v>61</v>
      </c>
      <c r="G447" s="5">
        <v>284</v>
      </c>
      <c r="H447" s="5">
        <v>272</v>
      </c>
      <c r="I447" s="5">
        <v>272</v>
      </c>
      <c r="J447" s="5">
        <v>0</v>
      </c>
      <c r="K447" s="8">
        <f t="shared" si="14"/>
        <v>95.774647887323937</v>
      </c>
      <c r="L447" s="8">
        <f t="shared" si="15"/>
        <v>0</v>
      </c>
      <c r="M447" t="s">
        <v>20</v>
      </c>
      <c r="N447" t="s">
        <v>21</v>
      </c>
    </row>
    <row r="448" spans="1:14" x14ac:dyDescent="0.3">
      <c r="A448" t="s">
        <v>1269</v>
      </c>
      <c r="B448" s="2">
        <v>46237</v>
      </c>
      <c r="C448" s="2">
        <v>46240</v>
      </c>
      <c r="D448" s="1" t="s">
        <v>129</v>
      </c>
      <c r="E448" t="s">
        <v>130</v>
      </c>
      <c r="F448" t="s">
        <v>61</v>
      </c>
      <c r="G448" s="5">
        <v>300</v>
      </c>
      <c r="H448" s="5">
        <v>304</v>
      </c>
      <c r="I448" s="5">
        <v>300</v>
      </c>
      <c r="J448" s="5">
        <v>4</v>
      </c>
      <c r="K448" s="8">
        <f t="shared" si="14"/>
        <v>101.33333333333334</v>
      </c>
      <c r="L448" s="8">
        <f t="shared" si="15"/>
        <v>1.3333333333333335</v>
      </c>
      <c r="M448" t="s">
        <v>20</v>
      </c>
      <c r="N448" t="s">
        <v>21</v>
      </c>
    </row>
    <row r="449" spans="1:14" x14ac:dyDescent="0.3">
      <c r="A449" t="s">
        <v>1273</v>
      </c>
      <c r="B449" s="2">
        <v>46235</v>
      </c>
      <c r="C449" s="2">
        <v>46240</v>
      </c>
      <c r="D449" s="1" t="s">
        <v>129</v>
      </c>
      <c r="E449" t="s">
        <v>130</v>
      </c>
      <c r="F449" t="s">
        <v>61</v>
      </c>
      <c r="G449" s="5">
        <v>300</v>
      </c>
      <c r="H449" s="5">
        <v>318</v>
      </c>
      <c r="I449" s="5">
        <v>318</v>
      </c>
      <c r="J449" s="5">
        <v>0</v>
      </c>
      <c r="K449" s="8">
        <f t="shared" si="14"/>
        <v>106</v>
      </c>
      <c r="L449" s="8">
        <f t="shared" si="15"/>
        <v>0</v>
      </c>
      <c r="M449" t="s">
        <v>20</v>
      </c>
      <c r="N449" t="s">
        <v>21</v>
      </c>
    </row>
    <row r="450" spans="1:14" x14ac:dyDescent="0.3">
      <c r="A450" t="s">
        <v>1285</v>
      </c>
      <c r="B450" s="2">
        <v>46238</v>
      </c>
      <c r="C450" s="2">
        <v>46240</v>
      </c>
      <c r="D450" s="1" t="s">
        <v>129</v>
      </c>
      <c r="E450" t="s">
        <v>130</v>
      </c>
      <c r="F450" t="s">
        <v>61</v>
      </c>
      <c r="G450" s="5">
        <v>318</v>
      </c>
      <c r="H450" s="5">
        <v>318</v>
      </c>
      <c r="I450" s="5">
        <v>318</v>
      </c>
      <c r="J450" s="5">
        <v>0</v>
      </c>
      <c r="K450" s="8">
        <f t="shared" si="14"/>
        <v>100</v>
      </c>
      <c r="L450" s="8">
        <f t="shared" si="15"/>
        <v>0</v>
      </c>
      <c r="M450" t="s">
        <v>20</v>
      </c>
      <c r="N450" t="s">
        <v>21</v>
      </c>
    </row>
    <row r="451" spans="1:14" x14ac:dyDescent="0.3">
      <c r="A451" t="s">
        <v>1291</v>
      </c>
      <c r="B451" s="2">
        <v>46239</v>
      </c>
      <c r="C451" s="2">
        <v>46240</v>
      </c>
      <c r="D451" s="1" t="s">
        <v>129</v>
      </c>
      <c r="E451" t="s">
        <v>130</v>
      </c>
      <c r="F451" t="s">
        <v>61</v>
      </c>
      <c r="G451" s="5">
        <v>282</v>
      </c>
      <c r="H451" s="5">
        <v>306</v>
      </c>
      <c r="I451" s="5">
        <v>306</v>
      </c>
      <c r="J451" s="5">
        <v>0</v>
      </c>
      <c r="K451" s="8">
        <f t="shared" si="14"/>
        <v>108.51063829787233</v>
      </c>
      <c r="L451" s="8">
        <f t="shared" si="15"/>
        <v>0</v>
      </c>
      <c r="M451" t="s">
        <v>20</v>
      </c>
      <c r="N451" t="s">
        <v>21</v>
      </c>
    </row>
    <row r="452" spans="1:14" x14ac:dyDescent="0.3">
      <c r="A452" t="s">
        <v>1521</v>
      </c>
      <c r="B452" s="2">
        <v>46240</v>
      </c>
      <c r="C452" s="2">
        <v>46245</v>
      </c>
      <c r="D452" s="1" t="s">
        <v>129</v>
      </c>
      <c r="E452" t="s">
        <v>130</v>
      </c>
      <c r="F452" t="s">
        <v>61</v>
      </c>
      <c r="G452" s="5">
        <v>366</v>
      </c>
      <c r="H452" s="5">
        <v>318</v>
      </c>
      <c r="I452" s="5">
        <v>318</v>
      </c>
      <c r="J452" s="5">
        <v>0</v>
      </c>
      <c r="K452" s="8">
        <f t="shared" si="14"/>
        <v>86.885245901639337</v>
      </c>
      <c r="L452" s="8">
        <f t="shared" si="15"/>
        <v>0</v>
      </c>
      <c r="M452" t="s">
        <v>20</v>
      </c>
      <c r="N452" t="s">
        <v>21</v>
      </c>
    </row>
    <row r="453" spans="1:14" x14ac:dyDescent="0.3">
      <c r="A453" t="s">
        <v>1522</v>
      </c>
      <c r="B453" s="2">
        <v>46240</v>
      </c>
      <c r="C453" s="2">
        <v>46241</v>
      </c>
      <c r="D453" s="1" t="s">
        <v>129</v>
      </c>
      <c r="E453" t="s">
        <v>130</v>
      </c>
      <c r="F453" t="s">
        <v>61</v>
      </c>
      <c r="G453" s="5">
        <v>284</v>
      </c>
      <c r="H453" s="5">
        <v>296</v>
      </c>
      <c r="I453" s="5">
        <v>294</v>
      </c>
      <c r="J453" s="5">
        <v>2</v>
      </c>
      <c r="K453" s="8">
        <f t="shared" si="14"/>
        <v>104.22535211267605</v>
      </c>
      <c r="L453" s="8">
        <f t="shared" si="15"/>
        <v>0.68027210884353739</v>
      </c>
      <c r="M453" t="s">
        <v>20</v>
      </c>
      <c r="N453" t="s">
        <v>21</v>
      </c>
    </row>
    <row r="454" spans="1:14" x14ac:dyDescent="0.3">
      <c r="A454" t="s">
        <v>1523</v>
      </c>
      <c r="B454" s="2">
        <v>46241</v>
      </c>
      <c r="C454" s="2">
        <v>46241</v>
      </c>
      <c r="D454" s="1" t="s">
        <v>129</v>
      </c>
      <c r="E454" t="s">
        <v>130</v>
      </c>
      <c r="F454" t="s">
        <v>61</v>
      </c>
      <c r="G454" s="5">
        <v>312</v>
      </c>
      <c r="H454" s="5">
        <v>300</v>
      </c>
      <c r="I454" s="5">
        <v>300</v>
      </c>
      <c r="J454" s="5">
        <v>0</v>
      </c>
      <c r="K454" s="8">
        <f t="shared" si="14"/>
        <v>96.15384615384616</v>
      </c>
      <c r="L454" s="8">
        <f t="shared" si="15"/>
        <v>0</v>
      </c>
      <c r="M454" t="s">
        <v>20</v>
      </c>
      <c r="N454" t="s">
        <v>21</v>
      </c>
    </row>
    <row r="455" spans="1:14" x14ac:dyDescent="0.3">
      <c r="A455" t="s">
        <v>1524</v>
      </c>
      <c r="B455" s="2">
        <v>46242</v>
      </c>
      <c r="C455" s="2">
        <v>46242</v>
      </c>
      <c r="D455" s="1" t="s">
        <v>129</v>
      </c>
      <c r="E455" t="s">
        <v>130</v>
      </c>
      <c r="F455" t="s">
        <v>61</v>
      </c>
      <c r="G455" s="5">
        <v>312</v>
      </c>
      <c r="H455" s="5">
        <v>320</v>
      </c>
      <c r="I455" s="5">
        <v>318</v>
      </c>
      <c r="J455" s="5">
        <v>2</v>
      </c>
      <c r="K455" s="8">
        <f t="shared" si="14"/>
        <v>102.56410256410255</v>
      </c>
      <c r="L455" s="8">
        <f t="shared" si="15"/>
        <v>0.62893081761006298</v>
      </c>
      <c r="M455" t="s">
        <v>20</v>
      </c>
      <c r="N455" t="s">
        <v>21</v>
      </c>
    </row>
    <row r="456" spans="1:14" x14ac:dyDescent="0.3">
      <c r="A456" t="s">
        <v>1525</v>
      </c>
      <c r="B456" s="2">
        <v>46244</v>
      </c>
      <c r="C456" s="2">
        <v>46246</v>
      </c>
      <c r="D456" s="1" t="s">
        <v>129</v>
      </c>
      <c r="E456" t="s">
        <v>130</v>
      </c>
      <c r="F456" t="s">
        <v>61</v>
      </c>
      <c r="G456" s="5">
        <v>294</v>
      </c>
      <c r="H456" s="5">
        <v>303</v>
      </c>
      <c r="I456" s="5">
        <v>294</v>
      </c>
      <c r="J456" s="5">
        <v>9</v>
      </c>
      <c r="K456" s="8">
        <f t="shared" si="14"/>
        <v>103.0612244897959</v>
      </c>
      <c r="L456" s="8">
        <f t="shared" si="15"/>
        <v>3.0612244897959182</v>
      </c>
      <c r="M456" t="s">
        <v>20</v>
      </c>
      <c r="N456" t="s">
        <v>21</v>
      </c>
    </row>
    <row r="457" spans="1:14" x14ac:dyDescent="0.3">
      <c r="A457" t="s">
        <v>1526</v>
      </c>
      <c r="B457" s="2">
        <v>46245</v>
      </c>
      <c r="C457" s="2">
        <v>46246</v>
      </c>
      <c r="D457" s="1" t="s">
        <v>129</v>
      </c>
      <c r="E457" t="s">
        <v>130</v>
      </c>
      <c r="F457" t="s">
        <v>61</v>
      </c>
      <c r="G457" s="5">
        <v>294</v>
      </c>
      <c r="H457" s="5">
        <v>300</v>
      </c>
      <c r="I457" s="5">
        <v>300</v>
      </c>
      <c r="J457" s="5">
        <v>0</v>
      </c>
      <c r="K457" s="8">
        <f t="shared" si="14"/>
        <v>102.04081632653062</v>
      </c>
      <c r="L457" s="8">
        <f t="shared" si="15"/>
        <v>0</v>
      </c>
      <c r="M457" t="s">
        <v>20</v>
      </c>
      <c r="N457" t="s">
        <v>21</v>
      </c>
    </row>
    <row r="458" spans="1:14" x14ac:dyDescent="0.3">
      <c r="A458" t="s">
        <v>1527</v>
      </c>
      <c r="B458" s="2">
        <v>46246</v>
      </c>
      <c r="C458" s="2">
        <v>46248</v>
      </c>
      <c r="D458" s="1" t="s">
        <v>129</v>
      </c>
      <c r="E458" t="s">
        <v>130</v>
      </c>
      <c r="F458" t="s">
        <v>61</v>
      </c>
      <c r="G458" s="5">
        <v>312</v>
      </c>
      <c r="H458" s="5">
        <v>318</v>
      </c>
      <c r="I458" s="5">
        <v>318</v>
      </c>
      <c r="J458" s="5">
        <v>0</v>
      </c>
      <c r="K458" s="8">
        <f t="shared" ref="K458:K521" si="16">(H458/G458)*100</f>
        <v>101.92307692307692</v>
      </c>
      <c r="L458" s="8">
        <f t="shared" ref="L458:L521" si="17">((H458-I458)/I458)*100</f>
        <v>0</v>
      </c>
      <c r="M458" t="s">
        <v>20</v>
      </c>
      <c r="N458" t="s">
        <v>21</v>
      </c>
    </row>
    <row r="459" spans="1:14" x14ac:dyDescent="0.3">
      <c r="A459" t="s">
        <v>1528</v>
      </c>
      <c r="B459" s="2">
        <v>46247</v>
      </c>
      <c r="C459" s="2">
        <v>46248</v>
      </c>
      <c r="D459" s="1" t="s">
        <v>129</v>
      </c>
      <c r="E459" t="s">
        <v>130</v>
      </c>
      <c r="F459" t="s">
        <v>61</v>
      </c>
      <c r="G459" s="5">
        <v>348</v>
      </c>
      <c r="H459" s="5">
        <v>348</v>
      </c>
      <c r="I459" s="5">
        <v>348</v>
      </c>
      <c r="J459" s="5">
        <v>0</v>
      </c>
      <c r="K459" s="8">
        <f t="shared" si="16"/>
        <v>100</v>
      </c>
      <c r="L459" s="8">
        <f t="shared" si="17"/>
        <v>0</v>
      </c>
      <c r="M459" t="s">
        <v>20</v>
      </c>
      <c r="N459" t="s">
        <v>21</v>
      </c>
    </row>
    <row r="460" spans="1:14" x14ac:dyDescent="0.3">
      <c r="A460" t="s">
        <v>1529</v>
      </c>
      <c r="B460" s="2">
        <v>46248</v>
      </c>
      <c r="C460" s="2">
        <v>46251</v>
      </c>
      <c r="D460" s="1" t="s">
        <v>129</v>
      </c>
      <c r="E460" t="s">
        <v>130</v>
      </c>
      <c r="F460" t="s">
        <v>61</v>
      </c>
      <c r="G460" s="5">
        <v>288</v>
      </c>
      <c r="H460" s="5">
        <v>300</v>
      </c>
      <c r="I460" s="5">
        <v>300</v>
      </c>
      <c r="J460" s="5">
        <v>0</v>
      </c>
      <c r="K460" s="8">
        <f t="shared" si="16"/>
        <v>104.16666666666667</v>
      </c>
      <c r="L460" s="8">
        <f t="shared" si="17"/>
        <v>0</v>
      </c>
      <c r="M460" t="s">
        <v>20</v>
      </c>
      <c r="N460" t="s">
        <v>21</v>
      </c>
    </row>
    <row r="461" spans="1:14" x14ac:dyDescent="0.3">
      <c r="A461" t="s">
        <v>1530</v>
      </c>
      <c r="B461" s="2">
        <v>46251</v>
      </c>
      <c r="C461" s="2">
        <v>46253</v>
      </c>
      <c r="D461" s="1" t="s">
        <v>129</v>
      </c>
      <c r="E461" t="s">
        <v>130</v>
      </c>
      <c r="F461" t="s">
        <v>61</v>
      </c>
      <c r="G461" s="5">
        <v>294</v>
      </c>
      <c r="H461" s="5">
        <v>299</v>
      </c>
      <c r="I461" s="5">
        <v>299</v>
      </c>
      <c r="J461" s="5">
        <v>0</v>
      </c>
      <c r="K461" s="8">
        <f t="shared" si="16"/>
        <v>101.70068027210884</v>
      </c>
      <c r="L461" s="8">
        <f t="shared" si="17"/>
        <v>0</v>
      </c>
      <c r="M461" t="s">
        <v>20</v>
      </c>
      <c r="N461" t="s">
        <v>21</v>
      </c>
    </row>
    <row r="462" spans="1:14" x14ac:dyDescent="0.3">
      <c r="A462" t="s">
        <v>1531</v>
      </c>
      <c r="B462" s="2">
        <v>46252</v>
      </c>
      <c r="C462" s="2">
        <v>46253</v>
      </c>
      <c r="D462" s="1" t="s">
        <v>129</v>
      </c>
      <c r="E462" t="s">
        <v>130</v>
      </c>
      <c r="F462" t="s">
        <v>61</v>
      </c>
      <c r="G462" s="5">
        <v>294</v>
      </c>
      <c r="H462" s="5">
        <v>305</v>
      </c>
      <c r="I462" s="5">
        <v>305</v>
      </c>
      <c r="J462" s="5">
        <v>0</v>
      </c>
      <c r="K462" s="8">
        <f t="shared" si="16"/>
        <v>103.74149659863944</v>
      </c>
      <c r="L462" s="8">
        <f t="shared" si="17"/>
        <v>0</v>
      </c>
      <c r="M462" t="s">
        <v>20</v>
      </c>
      <c r="N462" t="s">
        <v>21</v>
      </c>
    </row>
    <row r="463" spans="1:14" x14ac:dyDescent="0.3">
      <c r="A463" t="s">
        <v>1295</v>
      </c>
      <c r="B463" s="2">
        <v>46239</v>
      </c>
      <c r="C463" s="2">
        <v>46240</v>
      </c>
      <c r="D463" s="1" t="s">
        <v>1296</v>
      </c>
      <c r="E463" t="s">
        <v>1297</v>
      </c>
      <c r="F463" t="s">
        <v>39</v>
      </c>
      <c r="G463" s="5">
        <v>180</v>
      </c>
      <c r="H463" s="5">
        <v>195</v>
      </c>
      <c r="I463" s="5">
        <v>195</v>
      </c>
      <c r="J463" s="5">
        <v>0</v>
      </c>
      <c r="K463" s="8">
        <f t="shared" si="16"/>
        <v>108.33333333333333</v>
      </c>
      <c r="L463" s="8">
        <f t="shared" si="17"/>
        <v>0</v>
      </c>
      <c r="M463" t="s">
        <v>20</v>
      </c>
      <c r="N463" t="s">
        <v>21</v>
      </c>
    </row>
    <row r="464" spans="1:14" x14ac:dyDescent="0.3">
      <c r="A464" t="s">
        <v>1532</v>
      </c>
      <c r="B464" s="2">
        <v>46240</v>
      </c>
      <c r="C464" s="2">
        <v>46241</v>
      </c>
      <c r="D464" s="1" t="s">
        <v>1533</v>
      </c>
      <c r="E464" t="s">
        <v>1534</v>
      </c>
      <c r="F464" t="s">
        <v>1304</v>
      </c>
      <c r="G464" s="5">
        <v>2008</v>
      </c>
      <c r="H464" s="5">
        <v>2006</v>
      </c>
      <c r="I464" s="5">
        <v>2006</v>
      </c>
      <c r="J464" s="5">
        <v>0</v>
      </c>
      <c r="K464" s="8">
        <f t="shared" si="16"/>
        <v>99.900398406374507</v>
      </c>
      <c r="L464" s="8">
        <f t="shared" si="17"/>
        <v>0</v>
      </c>
      <c r="M464" t="s">
        <v>20</v>
      </c>
      <c r="N464" t="s">
        <v>21</v>
      </c>
    </row>
    <row r="465" spans="1:14" x14ac:dyDescent="0.3">
      <c r="A465" t="s">
        <v>1535</v>
      </c>
      <c r="B465" s="2">
        <v>46244</v>
      </c>
      <c r="C465" s="2">
        <v>46246</v>
      </c>
      <c r="D465" s="1" t="s">
        <v>1533</v>
      </c>
      <c r="E465" t="s">
        <v>1534</v>
      </c>
      <c r="F465" t="s">
        <v>1304</v>
      </c>
      <c r="G465" s="5">
        <v>266</v>
      </c>
      <c r="H465" s="5">
        <v>266</v>
      </c>
      <c r="I465" s="5">
        <v>266</v>
      </c>
      <c r="J465" s="5">
        <v>0</v>
      </c>
      <c r="K465" s="8">
        <f t="shared" si="16"/>
        <v>100</v>
      </c>
      <c r="L465" s="8">
        <f t="shared" si="17"/>
        <v>0</v>
      </c>
      <c r="M465" t="s">
        <v>20</v>
      </c>
      <c r="N465" t="s">
        <v>21</v>
      </c>
    </row>
    <row r="466" spans="1:14" x14ac:dyDescent="0.3">
      <c r="A466" t="s">
        <v>1536</v>
      </c>
      <c r="B466" s="2">
        <v>46245</v>
      </c>
      <c r="C466" s="2">
        <v>46248</v>
      </c>
      <c r="D466" s="1" t="s">
        <v>1533</v>
      </c>
      <c r="E466" t="s">
        <v>1534</v>
      </c>
      <c r="F466" t="s">
        <v>1304</v>
      </c>
      <c r="G466" s="5">
        <v>266</v>
      </c>
      <c r="H466" s="5">
        <v>266</v>
      </c>
      <c r="I466" s="5">
        <v>266</v>
      </c>
      <c r="J466" s="5">
        <v>0</v>
      </c>
      <c r="K466" s="8">
        <f t="shared" si="16"/>
        <v>100</v>
      </c>
      <c r="L466" s="8">
        <f t="shared" si="17"/>
        <v>0</v>
      </c>
      <c r="M466" t="s">
        <v>20</v>
      </c>
      <c r="N466" t="s">
        <v>21</v>
      </c>
    </row>
    <row r="467" spans="1:14" x14ac:dyDescent="0.3">
      <c r="A467" t="s">
        <v>1537</v>
      </c>
      <c r="B467" s="2">
        <v>46248</v>
      </c>
      <c r="C467" s="2">
        <v>46248</v>
      </c>
      <c r="D467" s="1" t="s">
        <v>1533</v>
      </c>
      <c r="E467" t="s">
        <v>1534</v>
      </c>
      <c r="F467" t="s">
        <v>1304</v>
      </c>
      <c r="G467" s="5">
        <v>784</v>
      </c>
      <c r="H467" s="5">
        <v>784</v>
      </c>
      <c r="I467" s="5">
        <v>784</v>
      </c>
      <c r="J467" s="5">
        <v>0</v>
      </c>
      <c r="K467" s="8">
        <f t="shared" si="16"/>
        <v>100</v>
      </c>
      <c r="L467" s="8">
        <f t="shared" si="17"/>
        <v>0</v>
      </c>
      <c r="M467" t="s">
        <v>20</v>
      </c>
      <c r="N467" t="s">
        <v>21</v>
      </c>
    </row>
    <row r="468" spans="1:14" x14ac:dyDescent="0.3">
      <c r="A468" t="s">
        <v>1538</v>
      </c>
      <c r="B468" s="2">
        <v>46252</v>
      </c>
      <c r="C468" s="2">
        <v>46253</v>
      </c>
      <c r="D468" s="1" t="s">
        <v>1539</v>
      </c>
      <c r="E468" t="s">
        <v>1540</v>
      </c>
      <c r="F468" t="s">
        <v>39</v>
      </c>
      <c r="G468" s="5">
        <v>65</v>
      </c>
      <c r="H468" s="5">
        <v>53</v>
      </c>
      <c r="I468" s="5">
        <v>53</v>
      </c>
      <c r="J468" s="5">
        <v>0</v>
      </c>
      <c r="K468" s="8">
        <f t="shared" si="16"/>
        <v>81.538461538461533</v>
      </c>
      <c r="L468" s="8">
        <f t="shared" si="17"/>
        <v>0</v>
      </c>
      <c r="M468" t="s">
        <v>20</v>
      </c>
      <c r="N468" t="s">
        <v>21</v>
      </c>
    </row>
    <row r="469" spans="1:14" x14ac:dyDescent="0.3">
      <c r="A469" t="s">
        <v>1541</v>
      </c>
      <c r="B469" s="2">
        <v>46244</v>
      </c>
      <c r="C469" s="2">
        <v>46244</v>
      </c>
      <c r="D469" s="1" t="s">
        <v>147</v>
      </c>
      <c r="E469" t="s">
        <v>148</v>
      </c>
      <c r="F469" t="s">
        <v>39</v>
      </c>
      <c r="G469" s="5">
        <v>142</v>
      </c>
      <c r="H469" s="5">
        <v>179</v>
      </c>
      <c r="I469" s="5">
        <v>179</v>
      </c>
      <c r="J469" s="5">
        <v>0</v>
      </c>
      <c r="K469" s="8">
        <f t="shared" si="16"/>
        <v>126.05633802816902</v>
      </c>
      <c r="L469" s="8">
        <f t="shared" si="17"/>
        <v>0</v>
      </c>
      <c r="M469" t="s">
        <v>20</v>
      </c>
      <c r="N469" t="s">
        <v>21</v>
      </c>
    </row>
    <row r="470" spans="1:14" x14ac:dyDescent="0.3">
      <c r="A470" t="s">
        <v>1542</v>
      </c>
      <c r="B470" s="2">
        <v>46246</v>
      </c>
      <c r="C470" s="2">
        <v>46246</v>
      </c>
      <c r="D470" s="1" t="s">
        <v>147</v>
      </c>
      <c r="E470" t="s">
        <v>148</v>
      </c>
      <c r="F470" t="s">
        <v>39</v>
      </c>
      <c r="G470" s="5">
        <v>142</v>
      </c>
      <c r="H470" s="5">
        <v>161</v>
      </c>
      <c r="I470" s="5">
        <v>161</v>
      </c>
      <c r="J470" s="5">
        <v>0</v>
      </c>
      <c r="K470" s="8">
        <f t="shared" si="16"/>
        <v>113.38028169014085</v>
      </c>
      <c r="L470" s="8">
        <f t="shared" si="17"/>
        <v>0</v>
      </c>
      <c r="M470" t="s">
        <v>20</v>
      </c>
      <c r="N470" t="s">
        <v>21</v>
      </c>
    </row>
    <row r="471" spans="1:14" x14ac:dyDescent="0.3">
      <c r="A471" t="s">
        <v>1543</v>
      </c>
      <c r="B471" s="2">
        <v>46248</v>
      </c>
      <c r="C471" s="2">
        <v>46248</v>
      </c>
      <c r="D471" s="1" t="s">
        <v>147</v>
      </c>
      <c r="E471" t="s">
        <v>148</v>
      </c>
      <c r="F471" t="s">
        <v>39</v>
      </c>
      <c r="G471" s="5">
        <v>142</v>
      </c>
      <c r="H471" s="5">
        <v>156</v>
      </c>
      <c r="I471" s="5">
        <v>156</v>
      </c>
      <c r="J471" s="5">
        <v>0</v>
      </c>
      <c r="K471" s="8">
        <f t="shared" si="16"/>
        <v>109.85915492957747</v>
      </c>
      <c r="L471" s="8">
        <f t="shared" si="17"/>
        <v>0</v>
      </c>
      <c r="M471" t="s">
        <v>20</v>
      </c>
      <c r="N471" t="s">
        <v>21</v>
      </c>
    </row>
    <row r="472" spans="1:14" x14ac:dyDescent="0.3">
      <c r="A472" t="s">
        <v>1544</v>
      </c>
      <c r="B472" s="2">
        <v>46253</v>
      </c>
      <c r="C472" s="2">
        <v>46253</v>
      </c>
      <c r="D472" s="1" t="s">
        <v>147</v>
      </c>
      <c r="E472" t="s">
        <v>148</v>
      </c>
      <c r="F472" t="s">
        <v>39</v>
      </c>
      <c r="G472" s="5">
        <v>142</v>
      </c>
      <c r="H472" s="5">
        <v>168</v>
      </c>
      <c r="I472" s="5">
        <v>168</v>
      </c>
      <c r="J472" s="5">
        <v>0</v>
      </c>
      <c r="K472" s="8">
        <f t="shared" si="16"/>
        <v>118.30985915492957</v>
      </c>
      <c r="L472" s="8">
        <f t="shared" si="17"/>
        <v>0</v>
      </c>
      <c r="M472" t="s">
        <v>20</v>
      </c>
      <c r="N472" t="s">
        <v>21</v>
      </c>
    </row>
    <row r="473" spans="1:14" x14ac:dyDescent="0.3">
      <c r="A473" t="s">
        <v>1545</v>
      </c>
      <c r="B473" s="2">
        <v>46253</v>
      </c>
      <c r="C473" s="2">
        <v>46253</v>
      </c>
      <c r="D473" s="1" t="s">
        <v>147</v>
      </c>
      <c r="E473" t="s">
        <v>148</v>
      </c>
      <c r="F473" t="s">
        <v>39</v>
      </c>
      <c r="G473" s="5">
        <v>142</v>
      </c>
      <c r="H473" s="5">
        <v>168</v>
      </c>
      <c r="I473" s="5">
        <v>168</v>
      </c>
      <c r="J473" s="5">
        <v>0</v>
      </c>
      <c r="K473" s="8">
        <f t="shared" si="16"/>
        <v>118.30985915492957</v>
      </c>
      <c r="L473" s="8">
        <f t="shared" si="17"/>
        <v>0</v>
      </c>
      <c r="M473" t="s">
        <v>20</v>
      </c>
      <c r="N473" t="s">
        <v>21</v>
      </c>
    </row>
    <row r="474" spans="1:14" x14ac:dyDescent="0.3">
      <c r="A474" t="s">
        <v>1546</v>
      </c>
      <c r="B474" s="2">
        <v>46240</v>
      </c>
      <c r="C474" s="2">
        <v>46241</v>
      </c>
      <c r="D474" s="1" t="s">
        <v>1547</v>
      </c>
      <c r="E474" t="s">
        <v>1548</v>
      </c>
      <c r="F474" t="s">
        <v>39</v>
      </c>
      <c r="G474" s="5">
        <v>432</v>
      </c>
      <c r="H474" s="5">
        <v>394</v>
      </c>
      <c r="I474" s="5">
        <v>394</v>
      </c>
      <c r="J474" s="5">
        <v>0</v>
      </c>
      <c r="K474" s="8">
        <f t="shared" si="16"/>
        <v>91.203703703703709</v>
      </c>
      <c r="L474" s="8">
        <f t="shared" si="17"/>
        <v>0</v>
      </c>
      <c r="M474" t="s">
        <v>20</v>
      </c>
      <c r="N474" t="s">
        <v>21</v>
      </c>
    </row>
    <row r="475" spans="1:14" x14ac:dyDescent="0.3">
      <c r="A475" t="s">
        <v>1549</v>
      </c>
      <c r="B475" s="2">
        <v>46241</v>
      </c>
      <c r="C475" s="2">
        <v>46242</v>
      </c>
      <c r="D475" s="1" t="s">
        <v>1547</v>
      </c>
      <c r="E475" t="s">
        <v>1548</v>
      </c>
      <c r="F475" t="s">
        <v>39</v>
      </c>
      <c r="G475" s="5">
        <v>432</v>
      </c>
      <c r="H475" s="5">
        <v>431</v>
      </c>
      <c r="I475" s="5">
        <v>431</v>
      </c>
      <c r="J475" s="5">
        <v>0</v>
      </c>
      <c r="K475" s="8">
        <f t="shared" si="16"/>
        <v>99.768518518518519</v>
      </c>
      <c r="L475" s="8">
        <f t="shared" si="17"/>
        <v>0</v>
      </c>
      <c r="M475" t="s">
        <v>20</v>
      </c>
      <c r="N475" t="s">
        <v>21</v>
      </c>
    </row>
    <row r="476" spans="1:14" x14ac:dyDescent="0.3">
      <c r="A476" t="s">
        <v>1550</v>
      </c>
      <c r="B476" s="2">
        <v>46244</v>
      </c>
      <c r="C476" s="2">
        <v>46244</v>
      </c>
      <c r="D476" s="1" t="s">
        <v>1547</v>
      </c>
      <c r="E476" t="s">
        <v>1548</v>
      </c>
      <c r="F476" t="s">
        <v>39</v>
      </c>
      <c r="G476" s="5">
        <v>232</v>
      </c>
      <c r="H476" s="5">
        <v>220</v>
      </c>
      <c r="I476" s="5">
        <v>219</v>
      </c>
      <c r="J476" s="5">
        <v>1</v>
      </c>
      <c r="K476" s="8">
        <f t="shared" si="16"/>
        <v>94.827586206896555</v>
      </c>
      <c r="L476" s="8">
        <f t="shared" si="17"/>
        <v>0.45662100456621002</v>
      </c>
      <c r="M476" t="s">
        <v>20</v>
      </c>
      <c r="N476" t="s">
        <v>21</v>
      </c>
    </row>
    <row r="477" spans="1:14" x14ac:dyDescent="0.3">
      <c r="A477" t="s">
        <v>1262</v>
      </c>
      <c r="B477" s="2">
        <v>46237</v>
      </c>
      <c r="C477" s="2">
        <v>46240</v>
      </c>
      <c r="D477" s="1" t="s">
        <v>152</v>
      </c>
      <c r="E477" t="s">
        <v>153</v>
      </c>
      <c r="F477" t="s">
        <v>39</v>
      </c>
      <c r="G477" s="5">
        <v>142</v>
      </c>
      <c r="H477" s="5">
        <v>153</v>
      </c>
      <c r="I477" s="5">
        <v>152</v>
      </c>
      <c r="J477" s="5">
        <v>1</v>
      </c>
      <c r="K477" s="8">
        <f t="shared" si="16"/>
        <v>107.74647887323943</v>
      </c>
      <c r="L477" s="8">
        <f t="shared" si="17"/>
        <v>0.6578947368421052</v>
      </c>
      <c r="M477" t="s">
        <v>20</v>
      </c>
      <c r="N477" t="s">
        <v>21</v>
      </c>
    </row>
    <row r="478" spans="1:14" x14ac:dyDescent="0.3">
      <c r="A478" t="s">
        <v>1298</v>
      </c>
      <c r="B478" s="2">
        <v>46239</v>
      </c>
      <c r="C478" s="2">
        <v>46240</v>
      </c>
      <c r="D478" s="1" t="s">
        <v>152</v>
      </c>
      <c r="E478" t="s">
        <v>153</v>
      </c>
      <c r="F478" t="s">
        <v>39</v>
      </c>
      <c r="G478" s="5">
        <v>142</v>
      </c>
      <c r="H478" s="5">
        <v>154</v>
      </c>
      <c r="I478" s="5">
        <v>154</v>
      </c>
      <c r="J478" s="5">
        <v>0</v>
      </c>
      <c r="K478" s="8">
        <f t="shared" si="16"/>
        <v>108.45070422535213</v>
      </c>
      <c r="L478" s="8">
        <f t="shared" si="17"/>
        <v>0</v>
      </c>
      <c r="M478" t="s">
        <v>20</v>
      </c>
      <c r="N478" t="s">
        <v>21</v>
      </c>
    </row>
    <row r="479" spans="1:14" x14ac:dyDescent="0.3">
      <c r="A479" t="s">
        <v>1551</v>
      </c>
      <c r="B479" s="2">
        <v>46240</v>
      </c>
      <c r="C479" s="2">
        <v>46241</v>
      </c>
      <c r="D479" s="1" t="s">
        <v>152</v>
      </c>
      <c r="E479" t="s">
        <v>153</v>
      </c>
      <c r="F479" t="s">
        <v>39</v>
      </c>
      <c r="G479" s="5">
        <v>138</v>
      </c>
      <c r="H479" s="5">
        <v>162</v>
      </c>
      <c r="I479" s="5">
        <v>162</v>
      </c>
      <c r="J479" s="5">
        <v>0</v>
      </c>
      <c r="K479" s="8">
        <f t="shared" si="16"/>
        <v>117.39130434782609</v>
      </c>
      <c r="L479" s="8">
        <f t="shared" si="17"/>
        <v>0</v>
      </c>
      <c r="M479" t="s">
        <v>20</v>
      </c>
      <c r="N479" t="s">
        <v>21</v>
      </c>
    </row>
    <row r="480" spans="1:14" x14ac:dyDescent="0.3">
      <c r="A480" t="s">
        <v>1552</v>
      </c>
      <c r="B480" s="2">
        <v>46241</v>
      </c>
      <c r="C480" s="2">
        <v>46241</v>
      </c>
      <c r="D480" s="1" t="s">
        <v>152</v>
      </c>
      <c r="E480" t="s">
        <v>153</v>
      </c>
      <c r="F480" t="s">
        <v>39</v>
      </c>
      <c r="G480" s="5">
        <v>138</v>
      </c>
      <c r="H480" s="5">
        <v>165</v>
      </c>
      <c r="I480" s="5">
        <v>165</v>
      </c>
      <c r="J480" s="5">
        <v>0</v>
      </c>
      <c r="K480" s="8">
        <f t="shared" si="16"/>
        <v>119.56521739130434</v>
      </c>
      <c r="L480" s="8">
        <f t="shared" si="17"/>
        <v>0</v>
      </c>
      <c r="M480" t="s">
        <v>20</v>
      </c>
      <c r="N480" t="s">
        <v>21</v>
      </c>
    </row>
    <row r="481" spans="1:14" x14ac:dyDescent="0.3">
      <c r="A481" t="s">
        <v>1553</v>
      </c>
      <c r="B481" s="2">
        <v>46251</v>
      </c>
      <c r="C481" s="2">
        <v>46252</v>
      </c>
      <c r="D481" s="1" t="s">
        <v>152</v>
      </c>
      <c r="E481" t="s">
        <v>153</v>
      </c>
      <c r="F481" t="s">
        <v>39</v>
      </c>
      <c r="G481" s="5">
        <v>142</v>
      </c>
      <c r="H481" s="5">
        <v>161</v>
      </c>
      <c r="I481" s="5">
        <v>161</v>
      </c>
      <c r="J481" s="5">
        <v>0</v>
      </c>
      <c r="K481" s="8">
        <f t="shared" si="16"/>
        <v>113.38028169014085</v>
      </c>
      <c r="L481" s="8">
        <f t="shared" si="17"/>
        <v>0</v>
      </c>
      <c r="M481" t="s">
        <v>20</v>
      </c>
      <c r="N481" t="s">
        <v>21</v>
      </c>
    </row>
    <row r="482" spans="1:14" x14ac:dyDescent="0.3">
      <c r="A482" t="s">
        <v>1299</v>
      </c>
      <c r="B482" s="2">
        <v>46239</v>
      </c>
      <c r="C482" s="2">
        <v>46240</v>
      </c>
      <c r="D482" s="1" t="s">
        <v>158</v>
      </c>
      <c r="E482" t="s">
        <v>159</v>
      </c>
      <c r="F482" t="s">
        <v>39</v>
      </c>
      <c r="G482" s="5">
        <v>180</v>
      </c>
      <c r="H482" s="5">
        <v>182</v>
      </c>
      <c r="I482" s="5">
        <v>181</v>
      </c>
      <c r="J482" s="5">
        <v>1</v>
      </c>
      <c r="K482" s="8">
        <f t="shared" si="16"/>
        <v>101.11111111111111</v>
      </c>
      <c r="L482" s="8">
        <f t="shared" si="17"/>
        <v>0.55248618784530379</v>
      </c>
      <c r="M482" t="s">
        <v>20</v>
      </c>
      <c r="N482" t="s">
        <v>21</v>
      </c>
    </row>
    <row r="483" spans="1:14" x14ac:dyDescent="0.3">
      <c r="A483" t="s">
        <v>1554</v>
      </c>
      <c r="B483" s="2">
        <v>46240</v>
      </c>
      <c r="C483" s="2">
        <v>46241</v>
      </c>
      <c r="D483" s="1" t="s">
        <v>158</v>
      </c>
      <c r="E483" t="s">
        <v>159</v>
      </c>
      <c r="F483" t="s">
        <v>39</v>
      </c>
      <c r="G483" s="5">
        <v>180</v>
      </c>
      <c r="H483" s="5">
        <v>180</v>
      </c>
      <c r="I483" s="5">
        <v>179</v>
      </c>
      <c r="J483" s="5">
        <v>1</v>
      </c>
      <c r="K483" s="8">
        <f t="shared" si="16"/>
        <v>100</v>
      </c>
      <c r="L483" s="8">
        <f t="shared" si="17"/>
        <v>0.55865921787709494</v>
      </c>
      <c r="M483" t="s">
        <v>20</v>
      </c>
      <c r="N483" t="s">
        <v>21</v>
      </c>
    </row>
    <row r="484" spans="1:14" x14ac:dyDescent="0.3">
      <c r="A484" t="s">
        <v>1555</v>
      </c>
      <c r="B484" s="2">
        <v>46241</v>
      </c>
      <c r="C484" s="2">
        <v>46241</v>
      </c>
      <c r="D484" s="1" t="s">
        <v>158</v>
      </c>
      <c r="E484" t="s">
        <v>159</v>
      </c>
      <c r="F484" t="s">
        <v>39</v>
      </c>
      <c r="G484" s="5">
        <v>180</v>
      </c>
      <c r="H484" s="5">
        <v>200</v>
      </c>
      <c r="I484" s="5">
        <v>200</v>
      </c>
      <c r="J484" s="5">
        <v>0</v>
      </c>
      <c r="K484" s="8">
        <f t="shared" si="16"/>
        <v>111.11111111111111</v>
      </c>
      <c r="L484" s="8">
        <f t="shared" si="17"/>
        <v>0</v>
      </c>
      <c r="M484" t="s">
        <v>20</v>
      </c>
      <c r="N484" t="s">
        <v>21</v>
      </c>
    </row>
    <row r="485" spans="1:14" x14ac:dyDescent="0.3">
      <c r="A485" t="s">
        <v>1556</v>
      </c>
      <c r="B485" s="2">
        <v>46251</v>
      </c>
      <c r="C485" s="2">
        <v>46253</v>
      </c>
      <c r="D485" s="1" t="s">
        <v>158</v>
      </c>
      <c r="E485" t="s">
        <v>159</v>
      </c>
      <c r="F485" t="s">
        <v>39</v>
      </c>
      <c r="G485" s="5">
        <v>180</v>
      </c>
      <c r="H485" s="5">
        <v>188</v>
      </c>
      <c r="I485" s="5">
        <v>188</v>
      </c>
      <c r="J485" s="5">
        <v>0</v>
      </c>
      <c r="K485" s="8">
        <f t="shared" si="16"/>
        <v>104.44444444444446</v>
      </c>
      <c r="L485" s="8">
        <f t="shared" si="17"/>
        <v>0</v>
      </c>
      <c r="M485" t="s">
        <v>20</v>
      </c>
      <c r="N485" t="s">
        <v>21</v>
      </c>
    </row>
    <row r="486" spans="1:14" x14ac:dyDescent="0.3">
      <c r="A486" t="s">
        <v>1557</v>
      </c>
      <c r="B486" s="2">
        <v>46252</v>
      </c>
      <c r="C486" s="2">
        <v>46253</v>
      </c>
      <c r="D486" s="1" t="s">
        <v>1558</v>
      </c>
      <c r="E486" t="s">
        <v>1559</v>
      </c>
      <c r="F486" t="s">
        <v>39</v>
      </c>
      <c r="G486" s="5">
        <v>100</v>
      </c>
      <c r="H486" s="5">
        <v>105</v>
      </c>
      <c r="I486" s="5">
        <v>105</v>
      </c>
      <c r="J486" s="5">
        <v>0</v>
      </c>
      <c r="K486" s="8">
        <f t="shared" si="16"/>
        <v>105</v>
      </c>
      <c r="L486" s="8">
        <f t="shared" si="17"/>
        <v>0</v>
      </c>
      <c r="M486" t="s">
        <v>20</v>
      </c>
      <c r="N486" t="s">
        <v>21</v>
      </c>
    </row>
    <row r="487" spans="1:14" x14ac:dyDescent="0.3">
      <c r="A487" t="s">
        <v>1301</v>
      </c>
      <c r="B487" s="2">
        <v>46239</v>
      </c>
      <c r="C487" s="2">
        <v>46240</v>
      </c>
      <c r="D487" s="1" t="s">
        <v>1302</v>
      </c>
      <c r="E487" t="s">
        <v>1303</v>
      </c>
      <c r="F487" t="s">
        <v>1304</v>
      </c>
      <c r="G487" s="5">
        <v>224</v>
      </c>
      <c r="H487" s="5">
        <v>224</v>
      </c>
      <c r="I487" s="5">
        <v>224</v>
      </c>
      <c r="J487" s="5">
        <v>0</v>
      </c>
      <c r="K487" s="8">
        <f t="shared" si="16"/>
        <v>100</v>
      </c>
      <c r="L487" s="8">
        <f t="shared" si="17"/>
        <v>0</v>
      </c>
      <c r="M487" t="s">
        <v>20</v>
      </c>
      <c r="N487" t="s">
        <v>21</v>
      </c>
    </row>
    <row r="488" spans="1:14" x14ac:dyDescent="0.3">
      <c r="A488" t="s">
        <v>1305</v>
      </c>
      <c r="B488" s="2">
        <v>46238</v>
      </c>
      <c r="C488" s="2">
        <v>46240</v>
      </c>
      <c r="D488" s="1" t="s">
        <v>1302</v>
      </c>
      <c r="E488" t="s">
        <v>1303</v>
      </c>
      <c r="F488" t="s">
        <v>1304</v>
      </c>
      <c r="G488" s="5">
        <v>1559</v>
      </c>
      <c r="H488" s="5">
        <v>1559</v>
      </c>
      <c r="I488" s="5">
        <v>1559</v>
      </c>
      <c r="J488" s="5">
        <v>0</v>
      </c>
      <c r="K488" s="8">
        <f t="shared" si="16"/>
        <v>100</v>
      </c>
      <c r="L488" s="8">
        <f t="shared" si="17"/>
        <v>0</v>
      </c>
      <c r="M488" t="s">
        <v>20</v>
      </c>
      <c r="N488" t="s">
        <v>21</v>
      </c>
    </row>
    <row r="489" spans="1:14" x14ac:dyDescent="0.3">
      <c r="A489" t="s">
        <v>1560</v>
      </c>
      <c r="B489" s="2">
        <v>46241</v>
      </c>
      <c r="C489" s="2">
        <v>46241</v>
      </c>
      <c r="D489" s="1" t="s">
        <v>1302</v>
      </c>
      <c r="E489" t="s">
        <v>1303</v>
      </c>
      <c r="F489" t="s">
        <v>1304</v>
      </c>
      <c r="G489" s="5">
        <v>224</v>
      </c>
      <c r="H489" s="5">
        <v>224</v>
      </c>
      <c r="I489" s="5">
        <v>224</v>
      </c>
      <c r="J489" s="5">
        <v>0</v>
      </c>
      <c r="K489" s="8">
        <f t="shared" si="16"/>
        <v>100</v>
      </c>
      <c r="L489" s="8">
        <f t="shared" si="17"/>
        <v>0</v>
      </c>
      <c r="M489" t="s">
        <v>20</v>
      </c>
      <c r="N489" t="s">
        <v>21</v>
      </c>
    </row>
    <row r="490" spans="1:14" x14ac:dyDescent="0.3">
      <c r="A490" t="s">
        <v>1561</v>
      </c>
      <c r="B490" s="2">
        <v>46242</v>
      </c>
      <c r="C490" s="2">
        <v>46244</v>
      </c>
      <c r="D490" s="1" t="s">
        <v>1302</v>
      </c>
      <c r="E490" t="s">
        <v>1303</v>
      </c>
      <c r="F490" t="s">
        <v>1304</v>
      </c>
      <c r="G490" s="5">
        <v>140</v>
      </c>
      <c r="H490" s="5">
        <v>140</v>
      </c>
      <c r="I490" s="5">
        <v>140</v>
      </c>
      <c r="J490" s="5">
        <v>0</v>
      </c>
      <c r="K490" s="8">
        <f t="shared" si="16"/>
        <v>100</v>
      </c>
      <c r="L490" s="8">
        <f t="shared" si="17"/>
        <v>0</v>
      </c>
      <c r="M490" t="s">
        <v>20</v>
      </c>
      <c r="N490" t="s">
        <v>21</v>
      </c>
    </row>
    <row r="491" spans="1:14" x14ac:dyDescent="0.3">
      <c r="A491" t="s">
        <v>1562</v>
      </c>
      <c r="B491" s="2">
        <v>46246</v>
      </c>
      <c r="C491" s="2">
        <v>46246</v>
      </c>
      <c r="D491" s="1" t="s">
        <v>1302</v>
      </c>
      <c r="E491" t="s">
        <v>1303</v>
      </c>
      <c r="F491" t="s">
        <v>1304</v>
      </c>
      <c r="G491" s="5">
        <v>140</v>
      </c>
      <c r="H491" s="5">
        <v>140</v>
      </c>
      <c r="I491" s="5">
        <v>140</v>
      </c>
      <c r="J491" s="5">
        <v>0</v>
      </c>
      <c r="K491" s="8">
        <f t="shared" si="16"/>
        <v>100</v>
      </c>
      <c r="L491" s="8">
        <f t="shared" si="17"/>
        <v>0</v>
      </c>
      <c r="M491" t="s">
        <v>20</v>
      </c>
      <c r="N491" t="s">
        <v>21</v>
      </c>
    </row>
    <row r="492" spans="1:14" x14ac:dyDescent="0.3">
      <c r="A492" t="s">
        <v>1563</v>
      </c>
      <c r="B492" s="2">
        <v>46248</v>
      </c>
      <c r="C492" s="2">
        <v>46248</v>
      </c>
      <c r="D492" s="1" t="s">
        <v>1564</v>
      </c>
      <c r="E492" t="s">
        <v>1565</v>
      </c>
      <c r="F492" t="s">
        <v>61</v>
      </c>
      <c r="G492" s="5">
        <v>50</v>
      </c>
      <c r="H492" s="5">
        <v>54</v>
      </c>
      <c r="I492" s="5">
        <v>54</v>
      </c>
      <c r="J492" s="5">
        <v>0</v>
      </c>
      <c r="K492" s="8">
        <f t="shared" si="16"/>
        <v>108</v>
      </c>
      <c r="L492" s="8">
        <f t="shared" si="17"/>
        <v>0</v>
      </c>
      <c r="M492" t="s">
        <v>20</v>
      </c>
      <c r="N492" t="s">
        <v>21</v>
      </c>
    </row>
    <row r="493" spans="1:14" x14ac:dyDescent="0.3">
      <c r="A493" t="s">
        <v>1566</v>
      </c>
      <c r="B493" s="2">
        <v>46247</v>
      </c>
      <c r="C493" s="2">
        <v>46248</v>
      </c>
      <c r="D493" s="1" t="s">
        <v>1564</v>
      </c>
      <c r="E493" t="s">
        <v>1565</v>
      </c>
      <c r="F493" t="s">
        <v>61</v>
      </c>
      <c r="G493" s="5">
        <v>50</v>
      </c>
      <c r="H493" s="5">
        <v>60</v>
      </c>
      <c r="I493" s="5">
        <v>60</v>
      </c>
      <c r="J493" s="5">
        <v>0</v>
      </c>
      <c r="K493" s="8">
        <f t="shared" si="16"/>
        <v>120</v>
      </c>
      <c r="L493" s="8">
        <f t="shared" si="17"/>
        <v>0</v>
      </c>
      <c r="M493" t="s">
        <v>20</v>
      </c>
      <c r="N493" t="s">
        <v>21</v>
      </c>
    </row>
    <row r="494" spans="1:14" x14ac:dyDescent="0.3">
      <c r="A494" t="s">
        <v>1567</v>
      </c>
      <c r="B494" s="2">
        <v>46253</v>
      </c>
      <c r="C494" s="2">
        <v>46253</v>
      </c>
      <c r="D494" s="1" t="s">
        <v>1564</v>
      </c>
      <c r="E494" t="s">
        <v>1565</v>
      </c>
      <c r="F494" t="s">
        <v>61</v>
      </c>
      <c r="G494" s="5">
        <v>50</v>
      </c>
      <c r="H494" s="5">
        <v>56</v>
      </c>
      <c r="I494" s="5">
        <v>56</v>
      </c>
      <c r="J494" s="5">
        <v>0</v>
      </c>
      <c r="K494" s="8">
        <f t="shared" si="16"/>
        <v>112.00000000000001</v>
      </c>
      <c r="L494" s="8">
        <f t="shared" si="17"/>
        <v>0</v>
      </c>
      <c r="M494" t="s">
        <v>20</v>
      </c>
      <c r="N494" t="s">
        <v>21</v>
      </c>
    </row>
    <row r="495" spans="1:14" x14ac:dyDescent="0.3">
      <c r="A495" t="s">
        <v>1266</v>
      </c>
      <c r="B495" s="2">
        <v>46237</v>
      </c>
      <c r="C495" s="2">
        <v>46240</v>
      </c>
      <c r="D495" s="1" t="s">
        <v>164</v>
      </c>
      <c r="E495" t="s">
        <v>165</v>
      </c>
      <c r="F495" t="s">
        <v>97</v>
      </c>
      <c r="G495" s="5">
        <v>150</v>
      </c>
      <c r="H495" s="5">
        <v>156</v>
      </c>
      <c r="I495" s="5">
        <v>156</v>
      </c>
      <c r="J495" s="5">
        <v>0</v>
      </c>
      <c r="K495" s="8">
        <f t="shared" si="16"/>
        <v>104</v>
      </c>
      <c r="L495" s="8">
        <f t="shared" si="17"/>
        <v>0</v>
      </c>
      <c r="M495" t="s">
        <v>20</v>
      </c>
      <c r="N495" t="s">
        <v>21</v>
      </c>
    </row>
    <row r="496" spans="1:14" x14ac:dyDescent="0.3">
      <c r="A496" t="s">
        <v>1300</v>
      </c>
      <c r="B496" s="2">
        <v>46239</v>
      </c>
      <c r="C496" s="2">
        <v>46240</v>
      </c>
      <c r="D496" s="1" t="s">
        <v>164</v>
      </c>
      <c r="E496" t="s">
        <v>165</v>
      </c>
      <c r="F496" t="s">
        <v>97</v>
      </c>
      <c r="G496" s="5">
        <v>75</v>
      </c>
      <c r="H496" s="5">
        <v>77</v>
      </c>
      <c r="I496" s="5">
        <v>77</v>
      </c>
      <c r="J496" s="5">
        <v>0</v>
      </c>
      <c r="K496" s="8">
        <f t="shared" si="16"/>
        <v>102.66666666666666</v>
      </c>
      <c r="L496" s="8">
        <f t="shared" si="17"/>
        <v>0</v>
      </c>
      <c r="M496" t="s">
        <v>20</v>
      </c>
      <c r="N496" t="s">
        <v>21</v>
      </c>
    </row>
    <row r="497" spans="1:14" x14ac:dyDescent="0.3">
      <c r="A497" t="s">
        <v>1568</v>
      </c>
      <c r="B497" s="2">
        <v>46248</v>
      </c>
      <c r="C497" s="2">
        <v>46248</v>
      </c>
      <c r="D497" s="1" t="s">
        <v>164</v>
      </c>
      <c r="E497" t="s">
        <v>165</v>
      </c>
      <c r="F497" t="s">
        <v>97</v>
      </c>
      <c r="G497" s="5">
        <v>375</v>
      </c>
      <c r="H497" s="5">
        <v>398</v>
      </c>
      <c r="I497" s="5">
        <v>398</v>
      </c>
      <c r="J497" s="5">
        <v>0</v>
      </c>
      <c r="K497" s="8">
        <f t="shared" si="16"/>
        <v>106.13333333333333</v>
      </c>
      <c r="L497" s="8">
        <f t="shared" si="17"/>
        <v>0</v>
      </c>
      <c r="M497" t="s">
        <v>20</v>
      </c>
      <c r="N497" t="s">
        <v>21</v>
      </c>
    </row>
    <row r="498" spans="1:14" x14ac:dyDescent="0.3">
      <c r="A498" t="s">
        <v>1264</v>
      </c>
      <c r="B498" s="2">
        <v>46237</v>
      </c>
      <c r="C498" s="2">
        <v>46240</v>
      </c>
      <c r="D498" s="1" t="s">
        <v>171</v>
      </c>
      <c r="E498" t="s">
        <v>172</v>
      </c>
      <c r="F498" t="s">
        <v>97</v>
      </c>
      <c r="G498" s="5">
        <v>150</v>
      </c>
      <c r="H498" s="5">
        <v>155</v>
      </c>
      <c r="I498" s="5">
        <v>155</v>
      </c>
      <c r="J498" s="5">
        <v>0</v>
      </c>
      <c r="K498" s="8">
        <f t="shared" si="16"/>
        <v>103.33333333333334</v>
      </c>
      <c r="L498" s="8">
        <f t="shared" si="17"/>
        <v>0</v>
      </c>
      <c r="M498" t="s">
        <v>20</v>
      </c>
      <c r="N498" t="s">
        <v>21</v>
      </c>
    </row>
    <row r="499" spans="1:14" x14ac:dyDescent="0.3">
      <c r="A499" t="s">
        <v>1569</v>
      </c>
      <c r="B499" s="2">
        <v>46247</v>
      </c>
      <c r="C499" s="2">
        <v>46248</v>
      </c>
      <c r="D499" s="1" t="s">
        <v>171</v>
      </c>
      <c r="E499" t="s">
        <v>172</v>
      </c>
      <c r="F499" t="s">
        <v>97</v>
      </c>
      <c r="G499" s="5">
        <v>300</v>
      </c>
      <c r="H499" s="5">
        <v>309</v>
      </c>
      <c r="I499" s="5">
        <v>309</v>
      </c>
      <c r="J499" s="5">
        <v>0</v>
      </c>
      <c r="K499" s="8">
        <f t="shared" si="16"/>
        <v>103</v>
      </c>
      <c r="L499" s="8">
        <f t="shared" si="17"/>
        <v>0</v>
      </c>
      <c r="M499" t="s">
        <v>20</v>
      </c>
      <c r="N499" t="s">
        <v>21</v>
      </c>
    </row>
    <row r="500" spans="1:14" x14ac:dyDescent="0.3">
      <c r="A500" t="s">
        <v>1289</v>
      </c>
      <c r="B500" s="2">
        <v>46239</v>
      </c>
      <c r="C500" s="2">
        <v>46240</v>
      </c>
      <c r="D500" s="1" t="s">
        <v>178</v>
      </c>
      <c r="E500" t="s">
        <v>179</v>
      </c>
      <c r="F500" t="s">
        <v>97</v>
      </c>
      <c r="G500" s="5">
        <v>150</v>
      </c>
      <c r="H500" s="5">
        <v>155</v>
      </c>
      <c r="I500" s="5">
        <v>153</v>
      </c>
      <c r="J500" s="5">
        <v>2</v>
      </c>
      <c r="K500" s="8">
        <f t="shared" si="16"/>
        <v>103.33333333333334</v>
      </c>
      <c r="L500" s="8">
        <f t="shared" si="17"/>
        <v>1.3071895424836601</v>
      </c>
      <c r="M500" t="s">
        <v>20</v>
      </c>
      <c r="N500" t="s">
        <v>21</v>
      </c>
    </row>
    <row r="501" spans="1:14" x14ac:dyDescent="0.3">
      <c r="A501" t="s">
        <v>1570</v>
      </c>
      <c r="B501" s="2">
        <v>46247</v>
      </c>
      <c r="C501" s="2">
        <v>46248</v>
      </c>
      <c r="D501" s="1" t="s">
        <v>178</v>
      </c>
      <c r="E501" t="s">
        <v>179</v>
      </c>
      <c r="F501" t="s">
        <v>97</v>
      </c>
      <c r="G501" s="5">
        <v>290</v>
      </c>
      <c r="H501" s="5">
        <v>290</v>
      </c>
      <c r="I501" s="5">
        <v>289</v>
      </c>
      <c r="J501" s="5">
        <v>1</v>
      </c>
      <c r="K501" s="8">
        <f t="shared" si="16"/>
        <v>100</v>
      </c>
      <c r="L501" s="8">
        <f t="shared" si="17"/>
        <v>0.34602076124567477</v>
      </c>
      <c r="M501" t="s">
        <v>20</v>
      </c>
      <c r="N501" t="s">
        <v>21</v>
      </c>
    </row>
    <row r="502" spans="1:14" x14ac:dyDescent="0.3">
      <c r="A502" t="s">
        <v>1265</v>
      </c>
      <c r="B502" s="2">
        <v>46237</v>
      </c>
      <c r="C502" s="2">
        <v>46240</v>
      </c>
      <c r="D502" s="1" t="s">
        <v>183</v>
      </c>
      <c r="E502" t="s">
        <v>184</v>
      </c>
      <c r="F502" t="s">
        <v>97</v>
      </c>
      <c r="G502" s="5">
        <v>150</v>
      </c>
      <c r="H502" s="5">
        <v>154</v>
      </c>
      <c r="I502" s="5">
        <v>153</v>
      </c>
      <c r="J502" s="5">
        <v>1</v>
      </c>
      <c r="K502" s="8">
        <f t="shared" si="16"/>
        <v>102.66666666666666</v>
      </c>
      <c r="L502" s="8">
        <f t="shared" si="17"/>
        <v>0.65359477124183007</v>
      </c>
      <c r="M502" t="s">
        <v>20</v>
      </c>
      <c r="N502" t="s">
        <v>21</v>
      </c>
    </row>
    <row r="503" spans="1:14" x14ac:dyDescent="0.3">
      <c r="A503" t="s">
        <v>1288</v>
      </c>
      <c r="B503" s="2">
        <v>46239</v>
      </c>
      <c r="C503" s="2">
        <v>46240</v>
      </c>
      <c r="D503" s="1" t="s">
        <v>183</v>
      </c>
      <c r="E503" t="s">
        <v>184</v>
      </c>
      <c r="F503" t="s">
        <v>97</v>
      </c>
      <c r="G503" s="5">
        <v>150</v>
      </c>
      <c r="H503" s="5">
        <v>153</v>
      </c>
      <c r="I503" s="5">
        <v>153</v>
      </c>
      <c r="J503" s="5">
        <v>0</v>
      </c>
      <c r="K503" s="8">
        <f t="shared" si="16"/>
        <v>102</v>
      </c>
      <c r="L503" s="8">
        <f t="shared" si="17"/>
        <v>0</v>
      </c>
      <c r="M503" t="s">
        <v>20</v>
      </c>
      <c r="N503" t="s">
        <v>21</v>
      </c>
    </row>
    <row r="504" spans="1:14" x14ac:dyDescent="0.3">
      <c r="A504" t="s">
        <v>1571</v>
      </c>
      <c r="B504" s="2">
        <v>46248</v>
      </c>
      <c r="C504" s="2">
        <v>46248</v>
      </c>
      <c r="D504" s="1" t="s">
        <v>183</v>
      </c>
      <c r="E504" t="s">
        <v>184</v>
      </c>
      <c r="F504" t="s">
        <v>97</v>
      </c>
      <c r="G504" s="5">
        <v>375</v>
      </c>
      <c r="H504" s="5">
        <v>392</v>
      </c>
      <c r="I504" s="5">
        <v>392</v>
      </c>
      <c r="J504" s="5">
        <v>0</v>
      </c>
      <c r="K504" s="8">
        <f t="shared" si="16"/>
        <v>104.53333333333332</v>
      </c>
      <c r="L504" s="8">
        <f t="shared" si="17"/>
        <v>0</v>
      </c>
      <c r="M504" t="s">
        <v>20</v>
      </c>
      <c r="N504" t="s">
        <v>21</v>
      </c>
    </row>
    <row r="505" spans="1:14" x14ac:dyDescent="0.3">
      <c r="A505" t="s">
        <v>1263</v>
      </c>
      <c r="B505" s="2">
        <v>46237</v>
      </c>
      <c r="C505" s="2">
        <v>46240</v>
      </c>
      <c r="D505" s="1" t="s">
        <v>189</v>
      </c>
      <c r="E505" t="s">
        <v>190</v>
      </c>
      <c r="F505" t="s">
        <v>97</v>
      </c>
      <c r="G505" s="5">
        <v>150</v>
      </c>
      <c r="H505" s="5">
        <v>168</v>
      </c>
      <c r="I505" s="5">
        <v>164</v>
      </c>
      <c r="J505" s="5">
        <v>4</v>
      </c>
      <c r="K505" s="8">
        <f t="shared" si="16"/>
        <v>112.00000000000001</v>
      </c>
      <c r="L505" s="8">
        <f t="shared" si="17"/>
        <v>2.4390243902439024</v>
      </c>
      <c r="M505" t="s">
        <v>20</v>
      </c>
      <c r="N505" t="s">
        <v>21</v>
      </c>
    </row>
    <row r="506" spans="1:14" x14ac:dyDescent="0.3">
      <c r="A506" t="s">
        <v>1287</v>
      </c>
      <c r="B506" s="2">
        <v>46239</v>
      </c>
      <c r="C506" s="2">
        <v>46240</v>
      </c>
      <c r="D506" s="1" t="s">
        <v>189</v>
      </c>
      <c r="E506" t="s">
        <v>190</v>
      </c>
      <c r="F506" t="s">
        <v>97</v>
      </c>
      <c r="G506" s="5">
        <v>150</v>
      </c>
      <c r="H506" s="5">
        <v>162</v>
      </c>
      <c r="I506" s="5">
        <v>162</v>
      </c>
      <c r="J506" s="5">
        <v>0</v>
      </c>
      <c r="K506" s="8">
        <f t="shared" si="16"/>
        <v>108</v>
      </c>
      <c r="L506" s="8">
        <f t="shared" si="17"/>
        <v>0</v>
      </c>
      <c r="M506" t="s">
        <v>20</v>
      </c>
      <c r="N506" t="s">
        <v>21</v>
      </c>
    </row>
    <row r="507" spans="1:14" x14ac:dyDescent="0.3">
      <c r="A507" t="s">
        <v>1572</v>
      </c>
      <c r="B507" s="2">
        <v>46244</v>
      </c>
      <c r="C507" s="2">
        <v>46244</v>
      </c>
      <c r="D507" s="1" t="s">
        <v>189</v>
      </c>
      <c r="E507" t="s">
        <v>190</v>
      </c>
      <c r="F507" t="s">
        <v>97</v>
      </c>
      <c r="G507" s="5">
        <v>150</v>
      </c>
      <c r="H507" s="5">
        <v>162</v>
      </c>
      <c r="I507" s="5">
        <v>162</v>
      </c>
      <c r="J507" s="5">
        <v>0</v>
      </c>
      <c r="K507" s="8">
        <f t="shared" si="16"/>
        <v>108</v>
      </c>
      <c r="L507" s="8">
        <f t="shared" si="17"/>
        <v>0</v>
      </c>
      <c r="M507" t="s">
        <v>20</v>
      </c>
      <c r="N507" t="s">
        <v>21</v>
      </c>
    </row>
    <row r="508" spans="1:14" x14ac:dyDescent="0.3">
      <c r="A508" t="s">
        <v>1573</v>
      </c>
      <c r="B508" s="2">
        <v>46247</v>
      </c>
      <c r="C508" s="2">
        <v>46248</v>
      </c>
      <c r="D508" s="1" t="s">
        <v>189</v>
      </c>
      <c r="E508" t="s">
        <v>190</v>
      </c>
      <c r="F508" t="s">
        <v>97</v>
      </c>
      <c r="G508" s="5">
        <v>150</v>
      </c>
      <c r="H508" s="5">
        <v>160</v>
      </c>
      <c r="I508" s="5">
        <v>159</v>
      </c>
      <c r="J508" s="5">
        <v>1</v>
      </c>
      <c r="K508" s="8">
        <f t="shared" si="16"/>
        <v>106.66666666666667</v>
      </c>
      <c r="L508" s="8">
        <f t="shared" si="17"/>
        <v>0.62893081761006298</v>
      </c>
      <c r="M508" t="s">
        <v>20</v>
      </c>
      <c r="N508" t="s">
        <v>21</v>
      </c>
    </row>
    <row r="509" spans="1:14" x14ac:dyDescent="0.3">
      <c r="A509" t="s">
        <v>1307</v>
      </c>
      <c r="B509" s="2">
        <v>46237</v>
      </c>
      <c r="C509" s="2">
        <v>46240</v>
      </c>
      <c r="D509" s="1" t="s">
        <v>198</v>
      </c>
      <c r="E509" t="s">
        <v>199</v>
      </c>
      <c r="F509" t="s">
        <v>19</v>
      </c>
      <c r="G509" s="5">
        <v>32</v>
      </c>
      <c r="H509" s="5">
        <v>32</v>
      </c>
      <c r="I509" s="5">
        <v>32</v>
      </c>
      <c r="J509" s="5">
        <v>0</v>
      </c>
      <c r="K509" s="8">
        <f t="shared" si="16"/>
        <v>100</v>
      </c>
      <c r="L509" s="8">
        <f t="shared" si="17"/>
        <v>0</v>
      </c>
      <c r="M509" t="s">
        <v>20</v>
      </c>
      <c r="N509" t="s">
        <v>21</v>
      </c>
    </row>
    <row r="510" spans="1:14" x14ac:dyDescent="0.3">
      <c r="A510" t="s">
        <v>1308</v>
      </c>
      <c r="B510" s="2">
        <v>46237</v>
      </c>
      <c r="C510" s="2">
        <v>46240</v>
      </c>
      <c r="D510" s="1" t="s">
        <v>198</v>
      </c>
      <c r="E510" t="s">
        <v>199</v>
      </c>
      <c r="F510" t="s">
        <v>19</v>
      </c>
      <c r="G510" s="5">
        <v>27</v>
      </c>
      <c r="H510" s="5">
        <v>27</v>
      </c>
      <c r="I510" s="5">
        <v>27</v>
      </c>
      <c r="J510" s="5">
        <v>0</v>
      </c>
      <c r="K510" s="8">
        <f t="shared" si="16"/>
        <v>100</v>
      </c>
      <c r="L510" s="8">
        <f t="shared" si="17"/>
        <v>0</v>
      </c>
      <c r="M510" t="s">
        <v>20</v>
      </c>
      <c r="N510" t="s">
        <v>21</v>
      </c>
    </row>
    <row r="511" spans="1:14" x14ac:dyDescent="0.3">
      <c r="A511" t="s">
        <v>1309</v>
      </c>
      <c r="B511" s="2">
        <v>46238</v>
      </c>
      <c r="C511" s="2">
        <v>46240</v>
      </c>
      <c r="D511" s="1" t="s">
        <v>198</v>
      </c>
      <c r="E511" t="s">
        <v>199</v>
      </c>
      <c r="F511" t="s">
        <v>19</v>
      </c>
      <c r="G511" s="5">
        <v>28</v>
      </c>
      <c r="H511" s="5">
        <v>28</v>
      </c>
      <c r="I511" s="5">
        <v>28</v>
      </c>
      <c r="J511" s="5">
        <v>0</v>
      </c>
      <c r="K511" s="8">
        <f t="shared" si="16"/>
        <v>100</v>
      </c>
      <c r="L511" s="8">
        <f t="shared" si="17"/>
        <v>0</v>
      </c>
      <c r="M511" t="s">
        <v>20</v>
      </c>
      <c r="N511" t="s">
        <v>21</v>
      </c>
    </row>
    <row r="512" spans="1:14" x14ac:dyDescent="0.3">
      <c r="A512" t="s">
        <v>1574</v>
      </c>
      <c r="B512" s="2">
        <v>46240</v>
      </c>
      <c r="C512" s="2">
        <v>46241</v>
      </c>
      <c r="D512" s="1" t="s">
        <v>198</v>
      </c>
      <c r="E512" t="s">
        <v>199</v>
      </c>
      <c r="F512" t="s">
        <v>19</v>
      </c>
      <c r="G512" s="5">
        <v>25</v>
      </c>
      <c r="H512" s="5">
        <v>25</v>
      </c>
      <c r="I512" s="5">
        <v>25</v>
      </c>
      <c r="J512" s="5">
        <v>0</v>
      </c>
      <c r="K512" s="8">
        <f t="shared" si="16"/>
        <v>100</v>
      </c>
      <c r="L512" s="8">
        <f t="shared" si="17"/>
        <v>0</v>
      </c>
      <c r="M512" t="s">
        <v>20</v>
      </c>
      <c r="N512" t="s">
        <v>21</v>
      </c>
    </row>
    <row r="513" spans="1:14" x14ac:dyDescent="0.3">
      <c r="A513" t="s">
        <v>1575</v>
      </c>
      <c r="B513" s="2">
        <v>46241</v>
      </c>
      <c r="C513" s="2">
        <v>46241</v>
      </c>
      <c r="D513" s="1" t="s">
        <v>198</v>
      </c>
      <c r="E513" t="s">
        <v>199</v>
      </c>
      <c r="F513" t="s">
        <v>19</v>
      </c>
      <c r="G513" s="5">
        <v>43</v>
      </c>
      <c r="H513" s="5">
        <v>43</v>
      </c>
      <c r="I513" s="5">
        <v>43</v>
      </c>
      <c r="J513" s="5">
        <v>0</v>
      </c>
      <c r="K513" s="8">
        <f t="shared" si="16"/>
        <v>100</v>
      </c>
      <c r="L513" s="8">
        <f t="shared" si="17"/>
        <v>0</v>
      </c>
      <c r="M513" t="s">
        <v>20</v>
      </c>
      <c r="N513" t="s">
        <v>21</v>
      </c>
    </row>
    <row r="514" spans="1:14" x14ac:dyDescent="0.3">
      <c r="A514" t="s">
        <v>1576</v>
      </c>
      <c r="B514" s="2">
        <v>46241</v>
      </c>
      <c r="C514" s="2">
        <v>46241</v>
      </c>
      <c r="D514" s="1" t="s">
        <v>198</v>
      </c>
      <c r="E514" t="s">
        <v>199</v>
      </c>
      <c r="F514" t="s">
        <v>19</v>
      </c>
      <c r="G514" s="5">
        <v>28</v>
      </c>
      <c r="H514" s="5">
        <v>28</v>
      </c>
      <c r="I514" s="5">
        <v>28</v>
      </c>
      <c r="J514" s="5">
        <v>0</v>
      </c>
      <c r="K514" s="8">
        <f t="shared" si="16"/>
        <v>100</v>
      </c>
      <c r="L514" s="8">
        <f t="shared" si="17"/>
        <v>0</v>
      </c>
      <c r="M514" t="s">
        <v>20</v>
      </c>
      <c r="N514" t="s">
        <v>21</v>
      </c>
    </row>
    <row r="515" spans="1:14" x14ac:dyDescent="0.3">
      <c r="A515" t="s">
        <v>1577</v>
      </c>
      <c r="B515" s="2">
        <v>46242</v>
      </c>
      <c r="C515" s="2">
        <v>46242</v>
      </c>
      <c r="D515" s="1" t="s">
        <v>198</v>
      </c>
      <c r="E515" t="s">
        <v>199</v>
      </c>
      <c r="F515" t="s">
        <v>19</v>
      </c>
      <c r="G515" s="5">
        <v>39</v>
      </c>
      <c r="H515" s="5">
        <v>39</v>
      </c>
      <c r="I515" s="5">
        <v>39</v>
      </c>
      <c r="J515" s="5">
        <v>0</v>
      </c>
      <c r="K515" s="8">
        <f t="shared" si="16"/>
        <v>100</v>
      </c>
      <c r="L515" s="8">
        <f t="shared" si="17"/>
        <v>0</v>
      </c>
      <c r="M515" t="s">
        <v>20</v>
      </c>
      <c r="N515" t="s">
        <v>21</v>
      </c>
    </row>
    <row r="516" spans="1:14" x14ac:dyDescent="0.3">
      <c r="A516" t="s">
        <v>1578</v>
      </c>
      <c r="B516" s="2">
        <v>46242</v>
      </c>
      <c r="C516" s="2">
        <v>46242</v>
      </c>
      <c r="D516" s="1" t="s">
        <v>198</v>
      </c>
      <c r="E516" t="s">
        <v>199</v>
      </c>
      <c r="F516" t="s">
        <v>19</v>
      </c>
      <c r="G516" s="5">
        <v>28</v>
      </c>
      <c r="H516" s="5">
        <v>28</v>
      </c>
      <c r="I516" s="5">
        <v>28</v>
      </c>
      <c r="J516" s="5">
        <v>0</v>
      </c>
      <c r="K516" s="8">
        <f t="shared" si="16"/>
        <v>100</v>
      </c>
      <c r="L516" s="8">
        <f t="shared" si="17"/>
        <v>0</v>
      </c>
      <c r="M516" t="s">
        <v>20</v>
      </c>
      <c r="N516" t="s">
        <v>21</v>
      </c>
    </row>
    <row r="517" spans="1:14" x14ac:dyDescent="0.3">
      <c r="A517" t="s">
        <v>1579</v>
      </c>
      <c r="B517" s="2">
        <v>46244</v>
      </c>
      <c r="C517" s="2">
        <v>46244</v>
      </c>
      <c r="D517" s="1" t="s">
        <v>198</v>
      </c>
      <c r="E517" t="s">
        <v>199</v>
      </c>
      <c r="F517" t="s">
        <v>19</v>
      </c>
      <c r="G517" s="5">
        <v>26</v>
      </c>
      <c r="H517" s="5">
        <v>26</v>
      </c>
      <c r="I517" s="5">
        <v>26</v>
      </c>
      <c r="J517" s="5">
        <v>0</v>
      </c>
      <c r="K517" s="8">
        <f t="shared" si="16"/>
        <v>100</v>
      </c>
      <c r="L517" s="8">
        <f t="shared" si="17"/>
        <v>0</v>
      </c>
      <c r="M517" t="s">
        <v>20</v>
      </c>
      <c r="N517" t="s">
        <v>21</v>
      </c>
    </row>
    <row r="518" spans="1:14" x14ac:dyDescent="0.3">
      <c r="A518" t="s">
        <v>1580</v>
      </c>
      <c r="B518" s="2">
        <v>46245</v>
      </c>
      <c r="C518" s="2">
        <v>46246</v>
      </c>
      <c r="D518" s="1" t="s">
        <v>198</v>
      </c>
      <c r="E518" t="s">
        <v>199</v>
      </c>
      <c r="F518" t="s">
        <v>19</v>
      </c>
      <c r="G518" s="5">
        <v>38</v>
      </c>
      <c r="H518" s="5">
        <v>38</v>
      </c>
      <c r="I518" s="5">
        <v>38</v>
      </c>
      <c r="J518" s="5">
        <v>0</v>
      </c>
      <c r="K518" s="8">
        <f t="shared" si="16"/>
        <v>100</v>
      </c>
      <c r="L518" s="8">
        <f t="shared" si="17"/>
        <v>0</v>
      </c>
      <c r="M518" t="s">
        <v>20</v>
      </c>
      <c r="N518" t="s">
        <v>21</v>
      </c>
    </row>
    <row r="519" spans="1:14" x14ac:dyDescent="0.3">
      <c r="A519" t="s">
        <v>1581</v>
      </c>
      <c r="B519" s="2">
        <v>46245</v>
      </c>
      <c r="C519" s="2">
        <v>46246</v>
      </c>
      <c r="D519" s="1" t="s">
        <v>198</v>
      </c>
      <c r="E519" t="s">
        <v>199</v>
      </c>
      <c r="F519" t="s">
        <v>19</v>
      </c>
      <c r="G519" s="5">
        <v>26</v>
      </c>
      <c r="H519" s="5">
        <v>26</v>
      </c>
      <c r="I519" s="5">
        <v>26</v>
      </c>
      <c r="J519" s="5">
        <v>0</v>
      </c>
      <c r="K519" s="8">
        <f t="shared" si="16"/>
        <v>100</v>
      </c>
      <c r="L519" s="8">
        <f t="shared" si="17"/>
        <v>0</v>
      </c>
      <c r="M519" t="s">
        <v>20</v>
      </c>
      <c r="N519" t="s">
        <v>21</v>
      </c>
    </row>
    <row r="520" spans="1:14" x14ac:dyDescent="0.3">
      <c r="A520" t="s">
        <v>1582</v>
      </c>
      <c r="B520" s="2">
        <v>46246</v>
      </c>
      <c r="C520" s="2">
        <v>46246</v>
      </c>
      <c r="D520" s="1" t="s">
        <v>198</v>
      </c>
      <c r="E520" t="s">
        <v>199</v>
      </c>
      <c r="F520" t="s">
        <v>19</v>
      </c>
      <c r="G520" s="5">
        <v>39</v>
      </c>
      <c r="H520" s="5">
        <v>39</v>
      </c>
      <c r="I520" s="5">
        <v>39</v>
      </c>
      <c r="J520" s="5">
        <v>0</v>
      </c>
      <c r="K520" s="8">
        <f t="shared" si="16"/>
        <v>100</v>
      </c>
      <c r="L520" s="8">
        <f t="shared" si="17"/>
        <v>0</v>
      </c>
      <c r="M520" t="s">
        <v>20</v>
      </c>
      <c r="N520" t="s">
        <v>21</v>
      </c>
    </row>
    <row r="521" spans="1:14" x14ac:dyDescent="0.3">
      <c r="A521" t="s">
        <v>1583</v>
      </c>
      <c r="B521" s="2">
        <v>46247</v>
      </c>
      <c r="C521" s="2">
        <v>46248</v>
      </c>
      <c r="D521" s="1" t="s">
        <v>198</v>
      </c>
      <c r="E521" t="s">
        <v>199</v>
      </c>
      <c r="F521" t="s">
        <v>19</v>
      </c>
      <c r="G521" s="5">
        <v>40</v>
      </c>
      <c r="H521" s="5">
        <v>40</v>
      </c>
      <c r="I521" s="5">
        <v>40</v>
      </c>
      <c r="J521" s="5">
        <v>0</v>
      </c>
      <c r="K521" s="8">
        <f t="shared" si="16"/>
        <v>100</v>
      </c>
      <c r="L521" s="8">
        <f t="shared" si="17"/>
        <v>0</v>
      </c>
      <c r="M521" t="s">
        <v>20</v>
      </c>
      <c r="N521" t="s">
        <v>21</v>
      </c>
    </row>
    <row r="522" spans="1:14" x14ac:dyDescent="0.3">
      <c r="A522" t="s">
        <v>1584</v>
      </c>
      <c r="B522" s="2">
        <v>46247</v>
      </c>
      <c r="C522" s="2">
        <v>46248</v>
      </c>
      <c r="D522" s="1" t="s">
        <v>198</v>
      </c>
      <c r="E522" t="s">
        <v>199</v>
      </c>
      <c r="F522" t="s">
        <v>19</v>
      </c>
      <c r="G522" s="5">
        <v>31</v>
      </c>
      <c r="H522" s="5">
        <v>31</v>
      </c>
      <c r="I522" s="5">
        <v>31</v>
      </c>
      <c r="J522" s="5">
        <v>0</v>
      </c>
      <c r="K522" s="8">
        <f t="shared" ref="K522:K585" si="18">(H522/G522)*100</f>
        <v>100</v>
      </c>
      <c r="L522" s="8">
        <f t="shared" ref="L522:L585" si="19">((H522-I522)/I522)*100</f>
        <v>0</v>
      </c>
      <c r="M522" t="s">
        <v>20</v>
      </c>
      <c r="N522" t="s">
        <v>21</v>
      </c>
    </row>
    <row r="523" spans="1:14" x14ac:dyDescent="0.3">
      <c r="A523" t="s">
        <v>1585</v>
      </c>
      <c r="B523" s="2">
        <v>46248</v>
      </c>
      <c r="C523" s="2">
        <v>46248</v>
      </c>
      <c r="D523" s="1" t="s">
        <v>198</v>
      </c>
      <c r="E523" t="s">
        <v>199</v>
      </c>
      <c r="F523" t="s">
        <v>19</v>
      </c>
      <c r="G523" s="5">
        <v>42</v>
      </c>
      <c r="H523" s="5">
        <v>42</v>
      </c>
      <c r="I523" s="5">
        <v>42</v>
      </c>
      <c r="J523" s="5">
        <v>0</v>
      </c>
      <c r="K523" s="8">
        <f t="shared" si="18"/>
        <v>100</v>
      </c>
      <c r="L523" s="8">
        <f t="shared" si="19"/>
        <v>0</v>
      </c>
      <c r="M523" t="s">
        <v>20</v>
      </c>
      <c r="N523" t="s">
        <v>21</v>
      </c>
    </row>
    <row r="524" spans="1:14" x14ac:dyDescent="0.3">
      <c r="A524" t="s">
        <v>1586</v>
      </c>
      <c r="B524" s="2">
        <v>46248</v>
      </c>
      <c r="C524" s="2">
        <v>46248</v>
      </c>
      <c r="D524" s="1" t="s">
        <v>198</v>
      </c>
      <c r="E524" t="s">
        <v>199</v>
      </c>
      <c r="F524" t="s">
        <v>19</v>
      </c>
      <c r="G524" s="5">
        <v>26</v>
      </c>
      <c r="H524" s="5">
        <v>26</v>
      </c>
      <c r="I524" s="5">
        <v>26</v>
      </c>
      <c r="J524" s="5">
        <v>0</v>
      </c>
      <c r="K524" s="8">
        <f t="shared" si="18"/>
        <v>100</v>
      </c>
      <c r="L524" s="8">
        <f t="shared" si="19"/>
        <v>0</v>
      </c>
      <c r="M524" t="s">
        <v>20</v>
      </c>
      <c r="N524" t="s">
        <v>21</v>
      </c>
    </row>
    <row r="525" spans="1:14" x14ac:dyDescent="0.3">
      <c r="A525" t="s">
        <v>1587</v>
      </c>
      <c r="B525" s="2">
        <v>46251</v>
      </c>
      <c r="C525" s="2">
        <v>46252</v>
      </c>
      <c r="D525" s="1" t="s">
        <v>198</v>
      </c>
      <c r="E525" t="s">
        <v>199</v>
      </c>
      <c r="F525" t="s">
        <v>19</v>
      </c>
      <c r="G525" s="5">
        <v>27</v>
      </c>
      <c r="H525" s="5">
        <v>27</v>
      </c>
      <c r="I525" s="5">
        <v>27</v>
      </c>
      <c r="J525" s="5">
        <v>0</v>
      </c>
      <c r="K525" s="8">
        <f t="shared" si="18"/>
        <v>100</v>
      </c>
      <c r="L525" s="8">
        <f t="shared" si="19"/>
        <v>0</v>
      </c>
      <c r="M525" t="s">
        <v>20</v>
      </c>
      <c r="N525" t="s">
        <v>21</v>
      </c>
    </row>
    <row r="526" spans="1:14" x14ac:dyDescent="0.3">
      <c r="A526" t="s">
        <v>1588</v>
      </c>
      <c r="B526" s="2">
        <v>46253</v>
      </c>
      <c r="C526" s="2">
        <v>46253</v>
      </c>
      <c r="D526" s="1" t="s">
        <v>198</v>
      </c>
      <c r="E526" t="s">
        <v>199</v>
      </c>
      <c r="F526" t="s">
        <v>19</v>
      </c>
      <c r="G526" s="5">
        <v>34</v>
      </c>
      <c r="H526" s="5">
        <v>34</v>
      </c>
      <c r="I526" s="5">
        <v>34</v>
      </c>
      <c r="J526" s="5">
        <v>0</v>
      </c>
      <c r="K526" s="8">
        <f t="shared" si="18"/>
        <v>100</v>
      </c>
      <c r="L526" s="8">
        <f t="shared" si="19"/>
        <v>0</v>
      </c>
      <c r="M526" t="s">
        <v>20</v>
      </c>
      <c r="N526" t="s">
        <v>21</v>
      </c>
    </row>
    <row r="527" spans="1:14" x14ac:dyDescent="0.3">
      <c r="A527" t="s">
        <v>1589</v>
      </c>
      <c r="B527" s="2">
        <v>46253</v>
      </c>
      <c r="C527" s="2">
        <v>46253</v>
      </c>
      <c r="D527" s="1" t="s">
        <v>198</v>
      </c>
      <c r="E527" t="s">
        <v>199</v>
      </c>
      <c r="F527" t="s">
        <v>19</v>
      </c>
      <c r="G527" s="5">
        <v>27</v>
      </c>
      <c r="H527" s="5">
        <v>27</v>
      </c>
      <c r="I527" s="5">
        <v>27</v>
      </c>
      <c r="J527" s="5">
        <v>0</v>
      </c>
      <c r="K527" s="8">
        <f t="shared" si="18"/>
        <v>100</v>
      </c>
      <c r="L527" s="8">
        <f t="shared" si="19"/>
        <v>0</v>
      </c>
      <c r="M527" t="s">
        <v>20</v>
      </c>
      <c r="N527" t="s">
        <v>21</v>
      </c>
    </row>
    <row r="528" spans="1:14" x14ac:dyDescent="0.3">
      <c r="A528" t="s">
        <v>1590</v>
      </c>
      <c r="B528" s="2">
        <v>46241</v>
      </c>
      <c r="C528" s="2">
        <v>46241</v>
      </c>
      <c r="D528" s="1" t="s">
        <v>229</v>
      </c>
      <c r="E528" t="s">
        <v>230</v>
      </c>
      <c r="F528" t="s">
        <v>19</v>
      </c>
      <c r="G528" s="5">
        <v>31</v>
      </c>
      <c r="H528" s="5">
        <v>31</v>
      </c>
      <c r="I528" s="5">
        <v>31</v>
      </c>
      <c r="J528" s="5">
        <v>0</v>
      </c>
      <c r="K528" s="8">
        <f t="shared" si="18"/>
        <v>100</v>
      </c>
      <c r="L528" s="8">
        <f t="shared" si="19"/>
        <v>0</v>
      </c>
      <c r="M528" t="s">
        <v>20</v>
      </c>
      <c r="N528" t="s">
        <v>21</v>
      </c>
    </row>
    <row r="529" spans="1:14" x14ac:dyDescent="0.3">
      <c r="A529" t="s">
        <v>1591</v>
      </c>
      <c r="B529" s="2">
        <v>46241</v>
      </c>
      <c r="C529" s="2">
        <v>46241</v>
      </c>
      <c r="D529" s="1" t="s">
        <v>232</v>
      </c>
      <c r="E529" t="s">
        <v>233</v>
      </c>
      <c r="F529" t="s">
        <v>19</v>
      </c>
      <c r="G529" s="5">
        <v>43</v>
      </c>
      <c r="H529" s="5">
        <v>43</v>
      </c>
      <c r="I529" s="5">
        <v>43</v>
      </c>
      <c r="J529" s="5">
        <v>0</v>
      </c>
      <c r="K529" s="8">
        <f t="shared" si="18"/>
        <v>100</v>
      </c>
      <c r="L529" s="8">
        <f t="shared" si="19"/>
        <v>0</v>
      </c>
      <c r="M529" t="s">
        <v>20</v>
      </c>
      <c r="N529" t="s">
        <v>21</v>
      </c>
    </row>
    <row r="530" spans="1:14" x14ac:dyDescent="0.3">
      <c r="A530" t="s">
        <v>1592</v>
      </c>
      <c r="B530" s="2">
        <v>46244</v>
      </c>
      <c r="C530" s="2">
        <v>46245</v>
      </c>
      <c r="D530" s="1" t="s">
        <v>232</v>
      </c>
      <c r="E530" t="s">
        <v>233</v>
      </c>
      <c r="F530" t="s">
        <v>19</v>
      </c>
      <c r="G530" s="5">
        <v>39</v>
      </c>
      <c r="H530" s="5">
        <v>39</v>
      </c>
      <c r="I530" s="5">
        <v>39</v>
      </c>
      <c r="J530" s="5">
        <v>0</v>
      </c>
      <c r="K530" s="8">
        <f t="shared" si="18"/>
        <v>100</v>
      </c>
      <c r="L530" s="8">
        <f t="shared" si="19"/>
        <v>0</v>
      </c>
      <c r="M530" t="s">
        <v>20</v>
      </c>
      <c r="N530" t="s">
        <v>21</v>
      </c>
    </row>
    <row r="531" spans="1:14" x14ac:dyDescent="0.3">
      <c r="A531" t="s">
        <v>1593</v>
      </c>
      <c r="B531" s="2">
        <v>46245</v>
      </c>
      <c r="C531" s="2">
        <v>46245</v>
      </c>
      <c r="D531" s="1" t="s">
        <v>232</v>
      </c>
      <c r="E531" t="s">
        <v>233</v>
      </c>
      <c r="F531" t="s">
        <v>19</v>
      </c>
      <c r="G531" s="5">
        <v>40</v>
      </c>
      <c r="H531" s="5">
        <v>40</v>
      </c>
      <c r="I531" s="5">
        <v>40</v>
      </c>
      <c r="J531" s="5">
        <v>0</v>
      </c>
      <c r="K531" s="8">
        <f t="shared" si="18"/>
        <v>100</v>
      </c>
      <c r="L531" s="8">
        <f t="shared" si="19"/>
        <v>0</v>
      </c>
      <c r="M531" t="s">
        <v>20</v>
      </c>
      <c r="N531" t="s">
        <v>21</v>
      </c>
    </row>
    <row r="532" spans="1:14" x14ac:dyDescent="0.3">
      <c r="A532" t="s">
        <v>1594</v>
      </c>
      <c r="B532" s="2">
        <v>46246</v>
      </c>
      <c r="C532" s="2">
        <v>46246</v>
      </c>
      <c r="D532" s="1" t="s">
        <v>232</v>
      </c>
      <c r="E532" t="s">
        <v>233</v>
      </c>
      <c r="F532" t="s">
        <v>19</v>
      </c>
      <c r="G532" s="5">
        <v>40</v>
      </c>
      <c r="H532" s="5">
        <v>40</v>
      </c>
      <c r="I532" s="5">
        <v>40</v>
      </c>
      <c r="J532" s="5">
        <v>0</v>
      </c>
      <c r="K532" s="8">
        <f t="shared" si="18"/>
        <v>100</v>
      </c>
      <c r="L532" s="8">
        <f t="shared" si="19"/>
        <v>0</v>
      </c>
      <c r="M532" t="s">
        <v>20</v>
      </c>
      <c r="N532" t="s">
        <v>21</v>
      </c>
    </row>
    <row r="533" spans="1:14" x14ac:dyDescent="0.3">
      <c r="A533" t="s">
        <v>1595</v>
      </c>
      <c r="B533" s="2">
        <v>46247</v>
      </c>
      <c r="C533" s="2">
        <v>46248</v>
      </c>
      <c r="D533" s="1" t="s">
        <v>232</v>
      </c>
      <c r="E533" t="s">
        <v>233</v>
      </c>
      <c r="F533" t="s">
        <v>19</v>
      </c>
      <c r="G533" s="5">
        <v>43</v>
      </c>
      <c r="H533" s="5">
        <v>43</v>
      </c>
      <c r="I533" s="5">
        <v>43</v>
      </c>
      <c r="J533" s="5">
        <v>0</v>
      </c>
      <c r="K533" s="8">
        <f t="shared" si="18"/>
        <v>100</v>
      </c>
      <c r="L533" s="8">
        <f t="shared" si="19"/>
        <v>0</v>
      </c>
      <c r="M533" t="s">
        <v>20</v>
      </c>
      <c r="N533" t="s">
        <v>21</v>
      </c>
    </row>
    <row r="534" spans="1:14" x14ac:dyDescent="0.3">
      <c r="A534" t="s">
        <v>1596</v>
      </c>
      <c r="B534" s="2">
        <v>46248</v>
      </c>
      <c r="C534" s="2">
        <v>46248</v>
      </c>
      <c r="D534" s="1" t="s">
        <v>232</v>
      </c>
      <c r="E534" t="s">
        <v>233</v>
      </c>
      <c r="F534" t="s">
        <v>19</v>
      </c>
      <c r="G534" s="5">
        <v>42</v>
      </c>
      <c r="H534" s="5">
        <v>42</v>
      </c>
      <c r="I534" s="5">
        <v>42</v>
      </c>
      <c r="J534" s="5">
        <v>0</v>
      </c>
      <c r="K534" s="8">
        <f t="shared" si="18"/>
        <v>100</v>
      </c>
      <c r="L534" s="8">
        <f t="shared" si="19"/>
        <v>0</v>
      </c>
      <c r="M534" t="s">
        <v>20</v>
      </c>
      <c r="N534" t="s">
        <v>21</v>
      </c>
    </row>
    <row r="535" spans="1:14" x14ac:dyDescent="0.3">
      <c r="A535" t="s">
        <v>1597</v>
      </c>
      <c r="B535" s="2">
        <v>46242</v>
      </c>
      <c r="C535" s="2">
        <v>46242</v>
      </c>
      <c r="D535" s="1" t="s">
        <v>245</v>
      </c>
      <c r="E535" t="s">
        <v>246</v>
      </c>
      <c r="F535" t="s">
        <v>19</v>
      </c>
      <c r="G535" s="5">
        <v>40</v>
      </c>
      <c r="H535" s="5">
        <v>40</v>
      </c>
      <c r="I535" s="5">
        <v>40</v>
      </c>
      <c r="J535" s="5">
        <v>0</v>
      </c>
      <c r="K535" s="8">
        <f t="shared" si="18"/>
        <v>100</v>
      </c>
      <c r="L535" s="8">
        <f t="shared" si="19"/>
        <v>0</v>
      </c>
      <c r="M535" t="s">
        <v>20</v>
      </c>
      <c r="N535" t="s">
        <v>21</v>
      </c>
    </row>
    <row r="536" spans="1:14" x14ac:dyDescent="0.3">
      <c r="A536" t="s">
        <v>1598</v>
      </c>
      <c r="B536" s="2">
        <v>46241</v>
      </c>
      <c r="C536" s="2">
        <v>46241</v>
      </c>
      <c r="D536" s="1" t="s">
        <v>250</v>
      </c>
      <c r="E536" t="s">
        <v>251</v>
      </c>
      <c r="F536" t="s">
        <v>19</v>
      </c>
      <c r="G536" s="5">
        <v>96</v>
      </c>
      <c r="H536" s="5">
        <v>96</v>
      </c>
      <c r="I536" s="5">
        <v>96</v>
      </c>
      <c r="J536" s="5">
        <v>0</v>
      </c>
      <c r="K536" s="8">
        <f t="shared" si="18"/>
        <v>100</v>
      </c>
      <c r="L536" s="8">
        <f t="shared" si="19"/>
        <v>0</v>
      </c>
      <c r="M536" t="s">
        <v>20</v>
      </c>
      <c r="N536" t="s">
        <v>21</v>
      </c>
    </row>
    <row r="537" spans="1:14" x14ac:dyDescent="0.3">
      <c r="A537" t="s">
        <v>1314</v>
      </c>
      <c r="B537" s="2">
        <v>46237</v>
      </c>
      <c r="C537" s="2">
        <v>46240</v>
      </c>
      <c r="D537" s="1" t="s">
        <v>256</v>
      </c>
      <c r="E537" t="s">
        <v>257</v>
      </c>
      <c r="F537" t="s">
        <v>19</v>
      </c>
      <c r="G537" s="5">
        <v>315</v>
      </c>
      <c r="H537" s="5">
        <v>315</v>
      </c>
      <c r="I537" s="5">
        <v>315</v>
      </c>
      <c r="J537" s="5">
        <v>0</v>
      </c>
      <c r="K537" s="8">
        <f t="shared" si="18"/>
        <v>100</v>
      </c>
      <c r="L537" s="8">
        <f t="shared" si="19"/>
        <v>0</v>
      </c>
      <c r="M537" t="s">
        <v>20</v>
      </c>
      <c r="N537" t="s">
        <v>21</v>
      </c>
    </row>
    <row r="538" spans="1:14" x14ac:dyDescent="0.3">
      <c r="A538" t="s">
        <v>1316</v>
      </c>
      <c r="B538" s="2">
        <v>46239</v>
      </c>
      <c r="C538" s="2">
        <v>46240</v>
      </c>
      <c r="D538" s="1" t="s">
        <v>256</v>
      </c>
      <c r="E538" t="s">
        <v>257</v>
      </c>
      <c r="F538" t="s">
        <v>19</v>
      </c>
      <c r="G538" s="5">
        <v>387</v>
      </c>
      <c r="H538" s="5">
        <v>387</v>
      </c>
      <c r="I538" s="5">
        <v>387</v>
      </c>
      <c r="J538" s="5">
        <v>0</v>
      </c>
      <c r="K538" s="8">
        <f t="shared" si="18"/>
        <v>100</v>
      </c>
      <c r="L538" s="8">
        <f t="shared" si="19"/>
        <v>0</v>
      </c>
      <c r="M538" t="s">
        <v>20</v>
      </c>
      <c r="N538" t="s">
        <v>21</v>
      </c>
    </row>
    <row r="539" spans="1:14" x14ac:dyDescent="0.3">
      <c r="A539" t="s">
        <v>1599</v>
      </c>
      <c r="B539" s="2">
        <v>46241</v>
      </c>
      <c r="C539" s="2">
        <v>46241</v>
      </c>
      <c r="D539" s="1" t="s">
        <v>256</v>
      </c>
      <c r="E539" t="s">
        <v>257</v>
      </c>
      <c r="F539" t="s">
        <v>19</v>
      </c>
      <c r="G539" s="5">
        <v>352</v>
      </c>
      <c r="H539" s="5">
        <v>352</v>
      </c>
      <c r="I539" s="5">
        <v>352</v>
      </c>
      <c r="J539" s="5">
        <v>0</v>
      </c>
      <c r="K539" s="8">
        <f t="shared" si="18"/>
        <v>100</v>
      </c>
      <c r="L539" s="8">
        <f t="shared" si="19"/>
        <v>0</v>
      </c>
      <c r="M539" t="s">
        <v>20</v>
      </c>
      <c r="N539" t="s">
        <v>21</v>
      </c>
    </row>
    <row r="540" spans="1:14" x14ac:dyDescent="0.3">
      <c r="A540" t="s">
        <v>1600</v>
      </c>
      <c r="B540" s="2">
        <v>46244</v>
      </c>
      <c r="C540" s="2">
        <v>46244</v>
      </c>
      <c r="D540" s="1" t="s">
        <v>256</v>
      </c>
      <c r="E540" t="s">
        <v>257</v>
      </c>
      <c r="F540" t="s">
        <v>19</v>
      </c>
      <c r="G540" s="5">
        <v>360</v>
      </c>
      <c r="H540" s="5">
        <v>360</v>
      </c>
      <c r="I540" s="5">
        <v>360</v>
      </c>
      <c r="J540" s="5">
        <v>0</v>
      </c>
      <c r="K540" s="8">
        <f t="shared" si="18"/>
        <v>100</v>
      </c>
      <c r="L540" s="8">
        <f t="shared" si="19"/>
        <v>0</v>
      </c>
      <c r="M540" t="s">
        <v>20</v>
      </c>
      <c r="N540" t="s">
        <v>21</v>
      </c>
    </row>
    <row r="541" spans="1:14" x14ac:dyDescent="0.3">
      <c r="A541" t="s">
        <v>1601</v>
      </c>
      <c r="B541" s="2">
        <v>46246</v>
      </c>
      <c r="C541" s="2">
        <v>46246</v>
      </c>
      <c r="D541" s="1" t="s">
        <v>256</v>
      </c>
      <c r="E541" t="s">
        <v>257</v>
      </c>
      <c r="F541" t="s">
        <v>19</v>
      </c>
      <c r="G541" s="5">
        <v>450</v>
      </c>
      <c r="H541" s="5">
        <v>450</v>
      </c>
      <c r="I541" s="5">
        <v>450</v>
      </c>
      <c r="J541" s="5">
        <v>0</v>
      </c>
      <c r="K541" s="8">
        <f t="shared" si="18"/>
        <v>100</v>
      </c>
      <c r="L541" s="8">
        <f t="shared" si="19"/>
        <v>0</v>
      </c>
      <c r="M541" t="s">
        <v>20</v>
      </c>
      <c r="N541" t="s">
        <v>21</v>
      </c>
    </row>
    <row r="542" spans="1:14" x14ac:dyDescent="0.3">
      <c r="A542" t="s">
        <v>1602</v>
      </c>
      <c r="B542" s="2">
        <v>46248</v>
      </c>
      <c r="C542" s="2">
        <v>46248</v>
      </c>
      <c r="D542" s="1" t="s">
        <v>256</v>
      </c>
      <c r="E542" t="s">
        <v>257</v>
      </c>
      <c r="F542" t="s">
        <v>19</v>
      </c>
      <c r="G542" s="5">
        <v>335</v>
      </c>
      <c r="H542" s="5">
        <v>335</v>
      </c>
      <c r="I542" s="5">
        <v>335</v>
      </c>
      <c r="J542" s="5">
        <v>0</v>
      </c>
      <c r="K542" s="8">
        <f t="shared" si="18"/>
        <v>100</v>
      </c>
      <c r="L542" s="8">
        <f t="shared" si="19"/>
        <v>0</v>
      </c>
      <c r="M542" t="s">
        <v>20</v>
      </c>
      <c r="N542" t="s">
        <v>21</v>
      </c>
    </row>
    <row r="543" spans="1:14" x14ac:dyDescent="0.3">
      <c r="A543" t="s">
        <v>1603</v>
      </c>
      <c r="B543" s="2">
        <v>46251</v>
      </c>
      <c r="C543" s="2">
        <v>46252</v>
      </c>
      <c r="D543" s="1" t="s">
        <v>256</v>
      </c>
      <c r="E543" t="s">
        <v>257</v>
      </c>
      <c r="F543" t="s">
        <v>19</v>
      </c>
      <c r="G543" s="5">
        <v>352</v>
      </c>
      <c r="H543" s="5">
        <v>352</v>
      </c>
      <c r="I543" s="5">
        <v>352</v>
      </c>
      <c r="J543" s="5">
        <v>0</v>
      </c>
      <c r="K543" s="8">
        <f t="shared" si="18"/>
        <v>100</v>
      </c>
      <c r="L543" s="8">
        <f t="shared" si="19"/>
        <v>0</v>
      </c>
      <c r="M543" t="s">
        <v>20</v>
      </c>
      <c r="N543" t="s">
        <v>21</v>
      </c>
    </row>
    <row r="544" spans="1:14" x14ac:dyDescent="0.3">
      <c r="A544" t="s">
        <v>1604</v>
      </c>
      <c r="B544" s="2">
        <v>46253</v>
      </c>
      <c r="C544" s="2">
        <v>46253</v>
      </c>
      <c r="D544" s="1" t="s">
        <v>256</v>
      </c>
      <c r="E544" t="s">
        <v>257</v>
      </c>
      <c r="F544" t="s">
        <v>19</v>
      </c>
      <c r="G544" s="5">
        <v>285</v>
      </c>
      <c r="H544" s="5">
        <v>285</v>
      </c>
      <c r="I544" s="5">
        <v>285</v>
      </c>
      <c r="J544" s="5">
        <v>0</v>
      </c>
      <c r="K544" s="8">
        <f t="shared" si="18"/>
        <v>100</v>
      </c>
      <c r="L544" s="8">
        <f t="shared" si="19"/>
        <v>0</v>
      </c>
      <c r="M544" t="s">
        <v>20</v>
      </c>
      <c r="N544" t="s">
        <v>21</v>
      </c>
    </row>
    <row r="545" spans="1:14" x14ac:dyDescent="0.3">
      <c r="A545" t="s">
        <v>1605</v>
      </c>
      <c r="B545" s="2">
        <v>46241</v>
      </c>
      <c r="C545" s="2">
        <v>46241</v>
      </c>
      <c r="D545" s="1" t="s">
        <v>266</v>
      </c>
      <c r="E545" t="s">
        <v>267</v>
      </c>
      <c r="F545" t="s">
        <v>19</v>
      </c>
      <c r="G545" s="5">
        <v>150</v>
      </c>
      <c r="H545" s="5">
        <v>150</v>
      </c>
      <c r="I545" s="5">
        <v>150</v>
      </c>
      <c r="J545" s="5">
        <v>0</v>
      </c>
      <c r="K545" s="8">
        <f t="shared" si="18"/>
        <v>100</v>
      </c>
      <c r="L545" s="8">
        <f t="shared" si="19"/>
        <v>0</v>
      </c>
      <c r="M545" t="s">
        <v>20</v>
      </c>
      <c r="N545" t="s">
        <v>21</v>
      </c>
    </row>
    <row r="546" spans="1:14" x14ac:dyDescent="0.3">
      <c r="A546" t="s">
        <v>1311</v>
      </c>
      <c r="B546" s="2">
        <v>46237</v>
      </c>
      <c r="C546" s="2">
        <v>46240</v>
      </c>
      <c r="D546" s="1" t="s">
        <v>1312</v>
      </c>
      <c r="E546" t="s">
        <v>1313</v>
      </c>
      <c r="F546" t="s">
        <v>19</v>
      </c>
      <c r="G546" s="5">
        <v>240</v>
      </c>
      <c r="H546" s="5">
        <v>240</v>
      </c>
      <c r="I546" s="5">
        <v>240</v>
      </c>
      <c r="J546" s="5">
        <v>0</v>
      </c>
      <c r="K546" s="8">
        <f t="shared" si="18"/>
        <v>100</v>
      </c>
      <c r="L546" s="8">
        <f t="shared" si="19"/>
        <v>0</v>
      </c>
      <c r="M546" t="s">
        <v>20</v>
      </c>
      <c r="N546" t="s">
        <v>21</v>
      </c>
    </row>
    <row r="547" spans="1:14" x14ac:dyDescent="0.3">
      <c r="A547" t="s">
        <v>1315</v>
      </c>
      <c r="B547" s="2">
        <v>46239</v>
      </c>
      <c r="C547" s="2">
        <v>46240</v>
      </c>
      <c r="D547" s="1" t="s">
        <v>1312</v>
      </c>
      <c r="E547" t="s">
        <v>1313</v>
      </c>
      <c r="F547" t="s">
        <v>19</v>
      </c>
      <c r="G547" s="5">
        <v>120</v>
      </c>
      <c r="H547" s="5">
        <v>120</v>
      </c>
      <c r="I547" s="5">
        <v>120</v>
      </c>
      <c r="J547" s="5">
        <v>0</v>
      </c>
      <c r="K547" s="8">
        <f t="shared" si="18"/>
        <v>100</v>
      </c>
      <c r="L547" s="8">
        <f t="shared" si="19"/>
        <v>0</v>
      </c>
      <c r="M547" t="s">
        <v>20</v>
      </c>
      <c r="N547" t="s">
        <v>21</v>
      </c>
    </row>
    <row r="548" spans="1:14" x14ac:dyDescent="0.3">
      <c r="A548" t="s">
        <v>1606</v>
      </c>
      <c r="B548" s="2">
        <v>46240</v>
      </c>
      <c r="C548" s="2">
        <v>46241</v>
      </c>
      <c r="D548" s="1" t="s">
        <v>1312</v>
      </c>
      <c r="E548" t="s">
        <v>1313</v>
      </c>
      <c r="F548" t="s">
        <v>19</v>
      </c>
      <c r="G548" s="5">
        <v>428</v>
      </c>
      <c r="H548" s="5">
        <v>428</v>
      </c>
      <c r="I548" s="5">
        <v>428</v>
      </c>
      <c r="J548" s="5">
        <v>0</v>
      </c>
      <c r="K548" s="8">
        <f t="shared" si="18"/>
        <v>100</v>
      </c>
      <c r="L548" s="8">
        <f t="shared" si="19"/>
        <v>0</v>
      </c>
      <c r="M548" t="s">
        <v>20</v>
      </c>
      <c r="N548" t="s">
        <v>21</v>
      </c>
    </row>
    <row r="549" spans="1:14" x14ac:dyDescent="0.3">
      <c r="A549" t="s">
        <v>1607</v>
      </c>
      <c r="B549" s="2">
        <v>46241</v>
      </c>
      <c r="C549" s="2">
        <v>46241</v>
      </c>
      <c r="D549" s="1" t="s">
        <v>1312</v>
      </c>
      <c r="E549" t="s">
        <v>1313</v>
      </c>
      <c r="F549" t="s">
        <v>19</v>
      </c>
      <c r="G549" s="5">
        <v>160</v>
      </c>
      <c r="H549" s="5">
        <v>160</v>
      </c>
      <c r="I549" s="5">
        <v>160</v>
      </c>
      <c r="J549" s="5">
        <v>0</v>
      </c>
      <c r="K549" s="8">
        <f t="shared" si="18"/>
        <v>100</v>
      </c>
      <c r="L549" s="8">
        <f t="shared" si="19"/>
        <v>0</v>
      </c>
      <c r="M549" t="s">
        <v>20</v>
      </c>
      <c r="N549" t="s">
        <v>21</v>
      </c>
    </row>
    <row r="550" spans="1:14" x14ac:dyDescent="0.3">
      <c r="A550" t="s">
        <v>1608</v>
      </c>
      <c r="B550" s="2">
        <v>46247</v>
      </c>
      <c r="C550" s="2">
        <v>46248</v>
      </c>
      <c r="D550" s="1" t="s">
        <v>1312</v>
      </c>
      <c r="E550" t="s">
        <v>1313</v>
      </c>
      <c r="F550" t="s">
        <v>19</v>
      </c>
      <c r="G550" s="5">
        <v>231</v>
      </c>
      <c r="H550" s="5">
        <v>231</v>
      </c>
      <c r="I550" s="5">
        <v>231</v>
      </c>
      <c r="J550" s="5">
        <v>0</v>
      </c>
      <c r="K550" s="8">
        <f t="shared" si="18"/>
        <v>100</v>
      </c>
      <c r="L550" s="8">
        <f t="shared" si="19"/>
        <v>0</v>
      </c>
      <c r="M550" t="s">
        <v>20</v>
      </c>
      <c r="N550" t="s">
        <v>21</v>
      </c>
    </row>
    <row r="551" spans="1:14" x14ac:dyDescent="0.3">
      <c r="A551" t="s">
        <v>1261</v>
      </c>
      <c r="B551" s="2">
        <v>46235</v>
      </c>
      <c r="C551" s="2">
        <v>46240</v>
      </c>
      <c r="D551" s="1" t="s">
        <v>272</v>
      </c>
      <c r="E551" t="s">
        <v>273</v>
      </c>
      <c r="F551" t="s">
        <v>61</v>
      </c>
      <c r="G551" s="5">
        <v>1820</v>
      </c>
      <c r="H551" s="5">
        <v>1830</v>
      </c>
      <c r="I551" s="5">
        <v>1820</v>
      </c>
      <c r="J551" s="5">
        <v>10</v>
      </c>
      <c r="K551" s="8">
        <f t="shared" si="18"/>
        <v>100.54945054945054</v>
      </c>
      <c r="L551" s="8">
        <f t="shared" si="19"/>
        <v>0.5494505494505495</v>
      </c>
      <c r="M551" t="s">
        <v>20</v>
      </c>
      <c r="N551" t="s">
        <v>21</v>
      </c>
    </row>
    <row r="552" spans="1:14" x14ac:dyDescent="0.3">
      <c r="A552" t="s">
        <v>1609</v>
      </c>
      <c r="B552" s="2">
        <v>46238</v>
      </c>
      <c r="C552" s="2">
        <v>46241</v>
      </c>
      <c r="D552" s="1" t="s">
        <v>272</v>
      </c>
      <c r="E552" t="s">
        <v>273</v>
      </c>
      <c r="F552" t="s">
        <v>61</v>
      </c>
      <c r="G552" s="5">
        <v>1813</v>
      </c>
      <c r="H552" s="5">
        <v>1818</v>
      </c>
      <c r="I552" s="5">
        <v>1813</v>
      </c>
      <c r="J552" s="5">
        <v>5</v>
      </c>
      <c r="K552" s="8">
        <f t="shared" si="18"/>
        <v>100.2757859900717</v>
      </c>
      <c r="L552" s="8">
        <f t="shared" si="19"/>
        <v>0.27578599007170435</v>
      </c>
      <c r="M552" t="s">
        <v>20</v>
      </c>
      <c r="N552" t="s">
        <v>21</v>
      </c>
    </row>
    <row r="553" spans="1:14" x14ac:dyDescent="0.3">
      <c r="A553" t="s">
        <v>1610</v>
      </c>
      <c r="B553" s="2">
        <v>46240</v>
      </c>
      <c r="C553" s="2">
        <v>46242</v>
      </c>
      <c r="D553" s="1" t="s">
        <v>272</v>
      </c>
      <c r="E553" t="s">
        <v>273</v>
      </c>
      <c r="F553" t="s">
        <v>61</v>
      </c>
      <c r="G553" s="5">
        <v>2128</v>
      </c>
      <c r="H553" s="5">
        <v>1952</v>
      </c>
      <c r="I553" s="5">
        <v>1939</v>
      </c>
      <c r="J553" s="5">
        <v>13</v>
      </c>
      <c r="K553" s="8">
        <f t="shared" si="18"/>
        <v>91.729323308270665</v>
      </c>
      <c r="L553" s="8">
        <f t="shared" si="19"/>
        <v>0.67044868488911813</v>
      </c>
      <c r="M553" t="s">
        <v>20</v>
      </c>
      <c r="N553" t="s">
        <v>21</v>
      </c>
    </row>
    <row r="554" spans="1:14" x14ac:dyDescent="0.3">
      <c r="A554" t="s">
        <v>1611</v>
      </c>
      <c r="B554" s="2">
        <v>46242</v>
      </c>
      <c r="C554" s="2">
        <v>46242</v>
      </c>
      <c r="D554" s="1" t="s">
        <v>272</v>
      </c>
      <c r="E554" t="s">
        <v>273</v>
      </c>
      <c r="F554" t="s">
        <v>61</v>
      </c>
      <c r="G554" s="5">
        <v>1939</v>
      </c>
      <c r="H554" s="5">
        <v>1920</v>
      </c>
      <c r="I554" s="5">
        <v>1904</v>
      </c>
      <c r="J554" s="5">
        <v>16</v>
      </c>
      <c r="K554" s="8">
        <f t="shared" si="18"/>
        <v>99.020113460546682</v>
      </c>
      <c r="L554" s="8">
        <f t="shared" si="19"/>
        <v>0.84033613445378152</v>
      </c>
      <c r="M554" t="s">
        <v>20</v>
      </c>
      <c r="N554" t="s">
        <v>21</v>
      </c>
    </row>
    <row r="555" spans="1:14" x14ac:dyDescent="0.3">
      <c r="A555" t="s">
        <v>1612</v>
      </c>
      <c r="B555" s="2">
        <v>46245</v>
      </c>
      <c r="C555" s="2">
        <v>46246</v>
      </c>
      <c r="D555" s="1" t="s">
        <v>272</v>
      </c>
      <c r="E555" t="s">
        <v>273</v>
      </c>
      <c r="F555" t="s">
        <v>61</v>
      </c>
      <c r="G555" s="5">
        <v>1939</v>
      </c>
      <c r="H555" s="5">
        <v>2010</v>
      </c>
      <c r="I555" s="5">
        <v>2009</v>
      </c>
      <c r="J555" s="5">
        <v>1</v>
      </c>
      <c r="K555" s="8">
        <f t="shared" si="18"/>
        <v>103.66168127900981</v>
      </c>
      <c r="L555" s="8">
        <f t="shared" si="19"/>
        <v>4.9776007964161276E-2</v>
      </c>
      <c r="M555" t="s">
        <v>20</v>
      </c>
      <c r="N555" t="s">
        <v>21</v>
      </c>
    </row>
    <row r="556" spans="1:14" x14ac:dyDescent="0.3">
      <c r="A556" t="s">
        <v>1613</v>
      </c>
      <c r="B556" s="2">
        <v>46247</v>
      </c>
      <c r="C556" s="2">
        <v>46248</v>
      </c>
      <c r="D556" s="1" t="s">
        <v>272</v>
      </c>
      <c r="E556" t="s">
        <v>273</v>
      </c>
      <c r="F556" t="s">
        <v>61</v>
      </c>
      <c r="G556" s="5">
        <v>2476</v>
      </c>
      <c r="H556" s="5">
        <v>2768</v>
      </c>
      <c r="I556" s="5">
        <v>2751</v>
      </c>
      <c r="J556" s="5">
        <v>17</v>
      </c>
      <c r="K556" s="8">
        <f t="shared" si="18"/>
        <v>111.79321486268175</v>
      </c>
      <c r="L556" s="8">
        <f t="shared" si="19"/>
        <v>0.61795710650672486</v>
      </c>
      <c r="M556" t="s">
        <v>20</v>
      </c>
      <c r="N556" t="s">
        <v>21</v>
      </c>
    </row>
    <row r="557" spans="1:14" x14ac:dyDescent="0.3">
      <c r="A557" t="s">
        <v>1614</v>
      </c>
      <c r="B557" s="2">
        <v>46251</v>
      </c>
      <c r="C557" s="2">
        <v>46252</v>
      </c>
      <c r="D557" s="1" t="s">
        <v>272</v>
      </c>
      <c r="E557" t="s">
        <v>273</v>
      </c>
      <c r="F557" t="s">
        <v>61</v>
      </c>
      <c r="G557" s="5">
        <v>1841</v>
      </c>
      <c r="H557" s="5">
        <v>1736</v>
      </c>
      <c r="I557" s="5">
        <v>1736</v>
      </c>
      <c r="J557" s="5">
        <v>0</v>
      </c>
      <c r="K557" s="8">
        <f t="shared" si="18"/>
        <v>94.296577946768053</v>
      </c>
      <c r="L557" s="8">
        <f t="shared" si="19"/>
        <v>0</v>
      </c>
      <c r="M557" t="s">
        <v>20</v>
      </c>
      <c r="N557" t="s">
        <v>21</v>
      </c>
    </row>
    <row r="558" spans="1:14" x14ac:dyDescent="0.3">
      <c r="A558" t="s">
        <v>1615</v>
      </c>
      <c r="B558" s="2">
        <v>46252</v>
      </c>
      <c r="C558" s="2">
        <v>46253</v>
      </c>
      <c r="D558" s="1" t="s">
        <v>272</v>
      </c>
      <c r="E558" t="s">
        <v>273</v>
      </c>
      <c r="F558" t="s">
        <v>61</v>
      </c>
      <c r="G558" s="5">
        <v>1939</v>
      </c>
      <c r="H558" s="5">
        <v>1984</v>
      </c>
      <c r="I558" s="5">
        <v>1981</v>
      </c>
      <c r="J558" s="5">
        <v>3</v>
      </c>
      <c r="K558" s="8">
        <f t="shared" si="18"/>
        <v>102.32078390923157</v>
      </c>
      <c r="L558" s="8">
        <f t="shared" si="19"/>
        <v>0.15143866733972741</v>
      </c>
      <c r="M558" t="s">
        <v>20</v>
      </c>
      <c r="N558" t="s">
        <v>21</v>
      </c>
    </row>
    <row r="559" spans="1:14" x14ac:dyDescent="0.3">
      <c r="A559" t="s">
        <v>1282</v>
      </c>
      <c r="B559" s="2">
        <v>46238</v>
      </c>
      <c r="C559" s="2">
        <v>46240</v>
      </c>
      <c r="D559" s="1" t="s">
        <v>281</v>
      </c>
      <c r="E559" t="s">
        <v>282</v>
      </c>
      <c r="F559" t="s">
        <v>97</v>
      </c>
      <c r="G559" s="5">
        <v>528</v>
      </c>
      <c r="H559" s="5">
        <v>583</v>
      </c>
      <c r="I559" s="5">
        <v>580</v>
      </c>
      <c r="J559" s="5">
        <v>3</v>
      </c>
      <c r="K559" s="8">
        <f t="shared" si="18"/>
        <v>110.41666666666667</v>
      </c>
      <c r="L559" s="8">
        <f t="shared" si="19"/>
        <v>0.51724137931034486</v>
      </c>
      <c r="M559" t="s">
        <v>20</v>
      </c>
      <c r="N559" t="s">
        <v>21</v>
      </c>
    </row>
    <row r="560" spans="1:14" x14ac:dyDescent="0.3">
      <c r="A560" t="s">
        <v>1616</v>
      </c>
      <c r="B560" s="2">
        <v>46248</v>
      </c>
      <c r="C560" s="2">
        <v>46248</v>
      </c>
      <c r="D560" s="1" t="s">
        <v>281</v>
      </c>
      <c r="E560" t="s">
        <v>282</v>
      </c>
      <c r="F560" t="s">
        <v>97</v>
      </c>
      <c r="G560" s="5">
        <v>524</v>
      </c>
      <c r="H560" s="5">
        <v>620</v>
      </c>
      <c r="I560" s="5">
        <v>620</v>
      </c>
      <c r="J560" s="5">
        <v>0</v>
      </c>
      <c r="K560" s="8">
        <f t="shared" si="18"/>
        <v>118.32061068702291</v>
      </c>
      <c r="L560" s="8">
        <f t="shared" si="19"/>
        <v>0</v>
      </c>
      <c r="M560" t="s">
        <v>20</v>
      </c>
      <c r="N560" t="s">
        <v>21</v>
      </c>
    </row>
    <row r="561" spans="1:14" x14ac:dyDescent="0.3">
      <c r="A561" t="s">
        <v>1617</v>
      </c>
      <c r="B561" s="2">
        <v>46252</v>
      </c>
      <c r="C561" s="2">
        <v>46253</v>
      </c>
      <c r="D561" s="1" t="s">
        <v>281</v>
      </c>
      <c r="E561" t="s">
        <v>282</v>
      </c>
      <c r="F561" t="s">
        <v>97</v>
      </c>
      <c r="G561" s="5">
        <v>524</v>
      </c>
      <c r="H561" s="5">
        <v>576</v>
      </c>
      <c r="I561" s="5">
        <v>576</v>
      </c>
      <c r="J561" s="5">
        <v>0</v>
      </c>
      <c r="K561" s="8">
        <f t="shared" si="18"/>
        <v>109.92366412213741</v>
      </c>
      <c r="L561" s="8">
        <f t="shared" si="19"/>
        <v>0</v>
      </c>
      <c r="M561" t="s">
        <v>20</v>
      </c>
      <c r="N561" t="s">
        <v>21</v>
      </c>
    </row>
    <row r="562" spans="1:14" x14ac:dyDescent="0.3">
      <c r="A562" t="s">
        <v>1277</v>
      </c>
      <c r="B562" s="2">
        <v>46238</v>
      </c>
      <c r="C562" s="2">
        <v>46240</v>
      </c>
      <c r="D562" s="1" t="s">
        <v>284</v>
      </c>
      <c r="E562" t="s">
        <v>285</v>
      </c>
      <c r="F562" t="s">
        <v>97</v>
      </c>
      <c r="G562" s="5">
        <v>385</v>
      </c>
      <c r="H562" s="5">
        <v>419</v>
      </c>
      <c r="I562" s="5">
        <v>419</v>
      </c>
      <c r="J562" s="5">
        <v>0</v>
      </c>
      <c r="K562" s="8">
        <f t="shared" si="18"/>
        <v>108.83116883116884</v>
      </c>
      <c r="L562" s="8">
        <f t="shared" si="19"/>
        <v>0</v>
      </c>
      <c r="M562" t="s">
        <v>20</v>
      </c>
      <c r="N562" t="s">
        <v>21</v>
      </c>
    </row>
    <row r="563" spans="1:14" x14ac:dyDescent="0.3">
      <c r="A563" t="s">
        <v>1618</v>
      </c>
      <c r="B563" s="2">
        <v>46245</v>
      </c>
      <c r="C563" s="2">
        <v>46246</v>
      </c>
      <c r="D563" s="1" t="s">
        <v>284</v>
      </c>
      <c r="E563" t="s">
        <v>285</v>
      </c>
      <c r="F563" t="s">
        <v>97</v>
      </c>
      <c r="G563" s="5">
        <v>420</v>
      </c>
      <c r="H563" s="5">
        <v>448</v>
      </c>
      <c r="I563" s="5">
        <v>448</v>
      </c>
      <c r="J563" s="5">
        <v>0</v>
      </c>
      <c r="K563" s="8">
        <f t="shared" si="18"/>
        <v>106.66666666666667</v>
      </c>
      <c r="L563" s="8">
        <f t="shared" si="19"/>
        <v>0</v>
      </c>
      <c r="M563" t="s">
        <v>20</v>
      </c>
      <c r="N563" t="s">
        <v>21</v>
      </c>
    </row>
    <row r="564" spans="1:14" x14ac:dyDescent="0.3">
      <c r="A564" t="s">
        <v>1619</v>
      </c>
      <c r="B564" s="2">
        <v>46252</v>
      </c>
      <c r="C564" s="2">
        <v>46253</v>
      </c>
      <c r="D564" s="1" t="s">
        <v>284</v>
      </c>
      <c r="E564" t="s">
        <v>285</v>
      </c>
      <c r="F564" t="s">
        <v>97</v>
      </c>
      <c r="G564" s="5">
        <v>420</v>
      </c>
      <c r="H564" s="5">
        <v>455</v>
      </c>
      <c r="I564" s="5">
        <v>455</v>
      </c>
      <c r="J564" s="5">
        <v>0</v>
      </c>
      <c r="K564" s="8">
        <f t="shared" si="18"/>
        <v>108.33333333333333</v>
      </c>
      <c r="L564" s="8">
        <f t="shared" si="19"/>
        <v>0</v>
      </c>
      <c r="M564" t="s">
        <v>20</v>
      </c>
      <c r="N564" t="s">
        <v>21</v>
      </c>
    </row>
    <row r="565" spans="1:14" x14ac:dyDescent="0.3">
      <c r="A565" t="s">
        <v>1276</v>
      </c>
      <c r="B565" s="2">
        <v>46238</v>
      </c>
      <c r="C565" s="2">
        <v>46240</v>
      </c>
      <c r="D565" s="1" t="s">
        <v>289</v>
      </c>
      <c r="E565" t="s">
        <v>290</v>
      </c>
      <c r="F565" t="s">
        <v>97</v>
      </c>
      <c r="G565" s="5">
        <v>624</v>
      </c>
      <c r="H565" s="5">
        <v>624</v>
      </c>
      <c r="I565" s="5">
        <v>620</v>
      </c>
      <c r="J565" s="5">
        <v>4</v>
      </c>
      <c r="K565" s="8">
        <f t="shared" si="18"/>
        <v>100</v>
      </c>
      <c r="L565" s="8">
        <f t="shared" si="19"/>
        <v>0.64516129032258063</v>
      </c>
      <c r="M565" t="s">
        <v>20</v>
      </c>
      <c r="N565" t="s">
        <v>21</v>
      </c>
    </row>
    <row r="566" spans="1:14" x14ac:dyDescent="0.3">
      <c r="A566" t="s">
        <v>1620</v>
      </c>
      <c r="B566" s="2">
        <v>46247</v>
      </c>
      <c r="C566" s="2">
        <v>46248</v>
      </c>
      <c r="D566" s="1" t="s">
        <v>289</v>
      </c>
      <c r="E566" t="s">
        <v>290</v>
      </c>
      <c r="F566" t="s">
        <v>97</v>
      </c>
      <c r="G566" s="5">
        <v>624</v>
      </c>
      <c r="H566" s="5">
        <v>648</v>
      </c>
      <c r="I566" s="5">
        <v>646</v>
      </c>
      <c r="J566" s="5">
        <v>2</v>
      </c>
      <c r="K566" s="8">
        <f t="shared" si="18"/>
        <v>103.84615384615385</v>
      </c>
      <c r="L566" s="8">
        <f t="shared" si="19"/>
        <v>0.30959752321981426</v>
      </c>
      <c r="M566" t="s">
        <v>20</v>
      </c>
      <c r="N566" t="s">
        <v>21</v>
      </c>
    </row>
    <row r="567" spans="1:14" x14ac:dyDescent="0.3">
      <c r="A567" t="s">
        <v>1621</v>
      </c>
      <c r="B567" s="2">
        <v>46252</v>
      </c>
      <c r="C567" s="2">
        <v>46253</v>
      </c>
      <c r="D567" s="1" t="s">
        <v>289</v>
      </c>
      <c r="E567" t="s">
        <v>290</v>
      </c>
      <c r="F567" t="s">
        <v>97</v>
      </c>
      <c r="G567" s="5">
        <v>324</v>
      </c>
      <c r="H567" s="5">
        <v>336</v>
      </c>
      <c r="I567" s="5">
        <v>336</v>
      </c>
      <c r="J567" s="5">
        <v>0</v>
      </c>
      <c r="K567" s="8">
        <f t="shared" si="18"/>
        <v>103.7037037037037</v>
      </c>
      <c r="L567" s="8">
        <f t="shared" si="19"/>
        <v>0</v>
      </c>
      <c r="M567" t="s">
        <v>20</v>
      </c>
      <c r="N567" t="s">
        <v>21</v>
      </c>
    </row>
    <row r="568" spans="1:14" x14ac:dyDescent="0.3">
      <c r="A568" t="s">
        <v>1622</v>
      </c>
      <c r="B568" s="2">
        <v>46244</v>
      </c>
      <c r="C568" s="2">
        <v>46244</v>
      </c>
      <c r="D568" s="1" t="s">
        <v>295</v>
      </c>
      <c r="E568" t="s">
        <v>296</v>
      </c>
      <c r="F568" t="s">
        <v>39</v>
      </c>
      <c r="G568" s="5">
        <v>100</v>
      </c>
      <c r="H568" s="5">
        <v>116</v>
      </c>
      <c r="I568" s="5">
        <v>108</v>
      </c>
      <c r="J568" s="5">
        <v>8</v>
      </c>
      <c r="K568" s="8">
        <f t="shared" si="18"/>
        <v>115.99999999999999</v>
      </c>
      <c r="L568" s="8">
        <f t="shared" si="19"/>
        <v>7.4074074074074066</v>
      </c>
      <c r="M568" t="s">
        <v>20</v>
      </c>
      <c r="N568" t="s">
        <v>21</v>
      </c>
    </row>
    <row r="569" spans="1:14" x14ac:dyDescent="0.3">
      <c r="A569" t="s">
        <v>1623</v>
      </c>
      <c r="B569" s="2">
        <v>46245</v>
      </c>
      <c r="C569" s="2">
        <v>46246</v>
      </c>
      <c r="D569" s="1" t="s">
        <v>295</v>
      </c>
      <c r="E569" t="s">
        <v>296</v>
      </c>
      <c r="F569" t="s">
        <v>39</v>
      </c>
      <c r="G569" s="5">
        <v>100</v>
      </c>
      <c r="H569" s="5">
        <v>114</v>
      </c>
      <c r="I569" s="5">
        <v>113</v>
      </c>
      <c r="J569" s="5">
        <v>1</v>
      </c>
      <c r="K569" s="8">
        <f t="shared" si="18"/>
        <v>113.99999999999999</v>
      </c>
      <c r="L569" s="8">
        <f t="shared" si="19"/>
        <v>0.88495575221238942</v>
      </c>
      <c r="M569" t="s">
        <v>20</v>
      </c>
      <c r="N569" t="s">
        <v>21</v>
      </c>
    </row>
    <row r="570" spans="1:14" x14ac:dyDescent="0.3">
      <c r="A570" t="s">
        <v>1624</v>
      </c>
      <c r="B570" s="2">
        <v>46246</v>
      </c>
      <c r="C570" s="2">
        <v>46246</v>
      </c>
      <c r="D570" s="1" t="s">
        <v>295</v>
      </c>
      <c r="E570" t="s">
        <v>296</v>
      </c>
      <c r="F570" t="s">
        <v>39</v>
      </c>
      <c r="G570" s="5">
        <v>100</v>
      </c>
      <c r="H570" s="5">
        <v>112</v>
      </c>
      <c r="I570" s="5">
        <v>112</v>
      </c>
      <c r="J570" s="5">
        <v>0</v>
      </c>
      <c r="K570" s="8">
        <f t="shared" si="18"/>
        <v>112.00000000000001</v>
      </c>
      <c r="L570" s="8">
        <f t="shared" si="19"/>
        <v>0</v>
      </c>
      <c r="M570" t="s">
        <v>20</v>
      </c>
      <c r="N570" t="s">
        <v>21</v>
      </c>
    </row>
    <row r="571" spans="1:14" x14ac:dyDescent="0.3">
      <c r="A571" t="s">
        <v>1625</v>
      </c>
      <c r="B571" s="2">
        <v>46240</v>
      </c>
      <c r="C571" s="2">
        <v>46241</v>
      </c>
      <c r="D571" s="1" t="s">
        <v>1626</v>
      </c>
      <c r="E571" t="s">
        <v>1627</v>
      </c>
      <c r="F571" t="s">
        <v>1304</v>
      </c>
      <c r="G571" s="5">
        <v>864</v>
      </c>
      <c r="H571" s="5">
        <v>864</v>
      </c>
      <c r="I571" s="5">
        <v>864</v>
      </c>
      <c r="J571" s="5">
        <v>0</v>
      </c>
      <c r="K571" s="8">
        <f t="shared" si="18"/>
        <v>100</v>
      </c>
      <c r="L571" s="8">
        <f t="shared" si="19"/>
        <v>0</v>
      </c>
      <c r="M571" t="s">
        <v>20</v>
      </c>
      <c r="N571" t="s">
        <v>21</v>
      </c>
    </row>
    <row r="572" spans="1:14" x14ac:dyDescent="0.3">
      <c r="A572" t="s">
        <v>1628</v>
      </c>
      <c r="B572" s="2">
        <v>46242</v>
      </c>
      <c r="C572" s="2">
        <v>46245</v>
      </c>
      <c r="D572" s="1" t="s">
        <v>1626</v>
      </c>
      <c r="E572" t="s">
        <v>1627</v>
      </c>
      <c r="F572" t="s">
        <v>1304</v>
      </c>
      <c r="G572" s="5">
        <v>138</v>
      </c>
      <c r="H572" s="5">
        <v>138</v>
      </c>
      <c r="I572" s="5">
        <v>138</v>
      </c>
      <c r="J572" s="5">
        <v>0</v>
      </c>
      <c r="K572" s="8">
        <f t="shared" si="18"/>
        <v>100</v>
      </c>
      <c r="L572" s="8">
        <f t="shared" si="19"/>
        <v>0</v>
      </c>
      <c r="M572" t="s">
        <v>20</v>
      </c>
      <c r="N572" t="s">
        <v>21</v>
      </c>
    </row>
    <row r="573" spans="1:14" x14ac:dyDescent="0.3">
      <c r="A573" t="s">
        <v>1629</v>
      </c>
      <c r="B573" s="2">
        <v>46245</v>
      </c>
      <c r="C573" s="2">
        <v>46246</v>
      </c>
      <c r="D573" s="1" t="s">
        <v>1626</v>
      </c>
      <c r="E573" t="s">
        <v>1627</v>
      </c>
      <c r="F573" t="s">
        <v>1304</v>
      </c>
      <c r="G573" s="5">
        <v>266</v>
      </c>
      <c r="H573" s="5">
        <v>266</v>
      </c>
      <c r="I573" s="5">
        <v>266</v>
      </c>
      <c r="J573" s="5">
        <v>0</v>
      </c>
      <c r="K573" s="8">
        <f t="shared" si="18"/>
        <v>100</v>
      </c>
      <c r="L573" s="8">
        <f t="shared" si="19"/>
        <v>0</v>
      </c>
      <c r="M573" t="s">
        <v>20</v>
      </c>
      <c r="N573" t="s">
        <v>21</v>
      </c>
    </row>
    <row r="574" spans="1:14" x14ac:dyDescent="0.3">
      <c r="A574" t="s">
        <v>1630</v>
      </c>
      <c r="B574" s="2">
        <v>46248</v>
      </c>
      <c r="C574" s="2">
        <v>46248</v>
      </c>
      <c r="D574" s="1" t="s">
        <v>1626</v>
      </c>
      <c r="E574" t="s">
        <v>1627</v>
      </c>
      <c r="F574" t="s">
        <v>1304</v>
      </c>
      <c r="G574" s="5">
        <v>275</v>
      </c>
      <c r="H574" s="5">
        <v>275</v>
      </c>
      <c r="I574" s="5">
        <v>275</v>
      </c>
      <c r="J574" s="5">
        <v>0</v>
      </c>
      <c r="K574" s="8">
        <f t="shared" si="18"/>
        <v>100</v>
      </c>
      <c r="L574" s="8">
        <f t="shared" si="19"/>
        <v>0</v>
      </c>
      <c r="M574" t="s">
        <v>20</v>
      </c>
      <c r="N574" t="s">
        <v>21</v>
      </c>
    </row>
    <row r="575" spans="1:14" x14ac:dyDescent="0.3">
      <c r="A575" t="s">
        <v>1286</v>
      </c>
      <c r="B575" s="2">
        <v>46238</v>
      </c>
      <c r="C575" s="2">
        <v>46240</v>
      </c>
      <c r="D575" s="1" t="s">
        <v>311</v>
      </c>
      <c r="E575" t="s">
        <v>312</v>
      </c>
      <c r="F575" t="s">
        <v>61</v>
      </c>
      <c r="G575" s="5">
        <v>150</v>
      </c>
      <c r="H575" s="5">
        <v>189</v>
      </c>
      <c r="I575" s="5">
        <v>184</v>
      </c>
      <c r="J575" s="5">
        <v>5</v>
      </c>
      <c r="K575" s="8">
        <f t="shared" si="18"/>
        <v>126</v>
      </c>
      <c r="L575" s="8">
        <f t="shared" si="19"/>
        <v>2.7173913043478262</v>
      </c>
      <c r="M575" t="s">
        <v>20</v>
      </c>
      <c r="N575" t="s">
        <v>21</v>
      </c>
    </row>
    <row r="576" spans="1:14" x14ac:dyDescent="0.3">
      <c r="A576" t="s">
        <v>1631</v>
      </c>
      <c r="B576" s="2">
        <v>46240</v>
      </c>
      <c r="C576" s="2">
        <v>46241</v>
      </c>
      <c r="D576" s="1" t="s">
        <v>311</v>
      </c>
      <c r="E576" t="s">
        <v>312</v>
      </c>
      <c r="F576" t="s">
        <v>61</v>
      </c>
      <c r="G576" s="5">
        <v>150</v>
      </c>
      <c r="H576" s="5">
        <v>181</v>
      </c>
      <c r="I576" s="5">
        <v>178</v>
      </c>
      <c r="J576" s="5">
        <v>3</v>
      </c>
      <c r="K576" s="8">
        <f t="shared" si="18"/>
        <v>120.66666666666667</v>
      </c>
      <c r="L576" s="8">
        <f t="shared" si="19"/>
        <v>1.6853932584269662</v>
      </c>
      <c r="M576" t="s">
        <v>20</v>
      </c>
      <c r="N576" t="s">
        <v>21</v>
      </c>
    </row>
    <row r="577" spans="1:14" x14ac:dyDescent="0.3">
      <c r="A577" t="s">
        <v>1292</v>
      </c>
      <c r="B577" s="2">
        <v>46239</v>
      </c>
      <c r="C577" s="2">
        <v>46240</v>
      </c>
      <c r="D577" s="1" t="s">
        <v>1293</v>
      </c>
      <c r="E577" t="s">
        <v>1632</v>
      </c>
      <c r="F577" t="s">
        <v>61</v>
      </c>
      <c r="G577" s="5">
        <v>500</v>
      </c>
      <c r="H577" s="5">
        <v>475</v>
      </c>
      <c r="I577" s="5">
        <v>471</v>
      </c>
      <c r="J577" s="5">
        <v>4</v>
      </c>
      <c r="K577" s="8">
        <f t="shared" si="18"/>
        <v>95</v>
      </c>
      <c r="L577" s="8">
        <f t="shared" si="19"/>
        <v>0.84925690021231426</v>
      </c>
      <c r="M577" t="s">
        <v>20</v>
      </c>
      <c r="N577" t="s">
        <v>21</v>
      </c>
    </row>
    <row r="578" spans="1:14" x14ac:dyDescent="0.3">
      <c r="A578" t="s">
        <v>1633</v>
      </c>
      <c r="B578" s="2">
        <v>46240</v>
      </c>
      <c r="C578" s="2">
        <v>46241</v>
      </c>
      <c r="D578" s="1" t="s">
        <v>1293</v>
      </c>
      <c r="E578" t="s">
        <v>1632</v>
      </c>
      <c r="F578" t="s">
        <v>61</v>
      </c>
      <c r="G578" s="5">
        <v>600</v>
      </c>
      <c r="H578" s="5">
        <v>607</v>
      </c>
      <c r="I578" s="5">
        <v>591</v>
      </c>
      <c r="J578" s="5">
        <v>16</v>
      </c>
      <c r="K578" s="8">
        <f t="shared" si="18"/>
        <v>101.16666666666667</v>
      </c>
      <c r="L578" s="8">
        <f t="shared" si="19"/>
        <v>2.7072758037225042</v>
      </c>
      <c r="M578" t="s">
        <v>20</v>
      </c>
      <c r="N578" t="s">
        <v>21</v>
      </c>
    </row>
    <row r="579" spans="1:14" x14ac:dyDescent="0.3">
      <c r="A579" t="s">
        <v>1634</v>
      </c>
      <c r="B579" s="2">
        <v>46241</v>
      </c>
      <c r="C579" s="2">
        <v>46241</v>
      </c>
      <c r="D579" s="1" t="s">
        <v>1293</v>
      </c>
      <c r="E579" t="s">
        <v>1632</v>
      </c>
      <c r="F579" t="s">
        <v>61</v>
      </c>
      <c r="G579" s="5">
        <v>200</v>
      </c>
      <c r="H579" s="5">
        <v>200</v>
      </c>
      <c r="I579" s="5">
        <v>200</v>
      </c>
      <c r="J579" s="5">
        <v>0</v>
      </c>
      <c r="K579" s="8">
        <f t="shared" si="18"/>
        <v>100</v>
      </c>
      <c r="L579" s="8">
        <f t="shared" si="19"/>
        <v>0</v>
      </c>
      <c r="M579" t="s">
        <v>20</v>
      </c>
      <c r="N579" t="s">
        <v>21</v>
      </c>
    </row>
    <row r="580" spans="1:14" x14ac:dyDescent="0.3">
      <c r="A580" t="s">
        <v>1271</v>
      </c>
      <c r="B580" s="2">
        <v>46237</v>
      </c>
      <c r="C580" s="2">
        <v>46240</v>
      </c>
      <c r="D580" s="1" t="s">
        <v>316</v>
      </c>
      <c r="E580" t="s">
        <v>317</v>
      </c>
      <c r="F580" t="s">
        <v>97</v>
      </c>
      <c r="G580" s="5">
        <v>100</v>
      </c>
      <c r="H580" s="5">
        <v>106</v>
      </c>
      <c r="I580" s="5">
        <v>106</v>
      </c>
      <c r="J580" s="5">
        <v>0</v>
      </c>
      <c r="K580" s="8">
        <f t="shared" si="18"/>
        <v>106</v>
      </c>
      <c r="L580" s="8">
        <f t="shared" si="19"/>
        <v>0</v>
      </c>
      <c r="M580" t="s">
        <v>20</v>
      </c>
      <c r="N580" t="s">
        <v>21</v>
      </c>
    </row>
    <row r="581" spans="1:14" x14ac:dyDescent="0.3">
      <c r="A581" t="s">
        <v>1272</v>
      </c>
      <c r="B581" s="2">
        <v>46237</v>
      </c>
      <c r="C581" s="2">
        <v>46240</v>
      </c>
      <c r="D581" s="1" t="s">
        <v>316</v>
      </c>
      <c r="E581" t="s">
        <v>317</v>
      </c>
      <c r="F581" t="s">
        <v>97</v>
      </c>
      <c r="G581" s="5">
        <v>100</v>
      </c>
      <c r="H581" s="5">
        <v>101</v>
      </c>
      <c r="I581" s="5">
        <v>101</v>
      </c>
      <c r="J581" s="5">
        <v>0</v>
      </c>
      <c r="K581" s="8">
        <f t="shared" si="18"/>
        <v>101</v>
      </c>
      <c r="L581" s="8">
        <f t="shared" si="19"/>
        <v>0</v>
      </c>
      <c r="M581" t="s">
        <v>20</v>
      </c>
      <c r="N581" t="s">
        <v>21</v>
      </c>
    </row>
    <row r="582" spans="1:14" x14ac:dyDescent="0.3">
      <c r="A582" t="s">
        <v>1283</v>
      </c>
      <c r="B582" s="2">
        <v>46238</v>
      </c>
      <c r="C582" s="2">
        <v>46240</v>
      </c>
      <c r="D582" s="1" t="s">
        <v>316</v>
      </c>
      <c r="E582" t="s">
        <v>317</v>
      </c>
      <c r="F582" t="s">
        <v>97</v>
      </c>
      <c r="G582" s="5">
        <v>100</v>
      </c>
      <c r="H582" s="5">
        <v>101</v>
      </c>
      <c r="I582" s="5">
        <v>101</v>
      </c>
      <c r="J582" s="5">
        <v>0</v>
      </c>
      <c r="K582" s="8">
        <f t="shared" si="18"/>
        <v>101</v>
      </c>
      <c r="L582" s="8">
        <f t="shared" si="19"/>
        <v>0</v>
      </c>
      <c r="M582" t="s">
        <v>20</v>
      </c>
      <c r="N582" t="s">
        <v>21</v>
      </c>
    </row>
    <row r="583" spans="1:14" x14ac:dyDescent="0.3">
      <c r="A583" t="s">
        <v>1290</v>
      </c>
      <c r="B583" s="2">
        <v>46239</v>
      </c>
      <c r="C583" s="2">
        <v>46240</v>
      </c>
      <c r="D583" s="1" t="s">
        <v>316</v>
      </c>
      <c r="E583" t="s">
        <v>317</v>
      </c>
      <c r="F583" t="s">
        <v>97</v>
      </c>
      <c r="G583" s="5">
        <v>100</v>
      </c>
      <c r="H583" s="5">
        <v>106</v>
      </c>
      <c r="I583" s="5">
        <v>106</v>
      </c>
      <c r="J583" s="5">
        <v>0</v>
      </c>
      <c r="K583" s="8">
        <f t="shared" si="18"/>
        <v>106</v>
      </c>
      <c r="L583" s="8">
        <f t="shared" si="19"/>
        <v>0</v>
      </c>
      <c r="M583" t="s">
        <v>20</v>
      </c>
      <c r="N583" t="s">
        <v>21</v>
      </c>
    </row>
    <row r="584" spans="1:14" x14ac:dyDescent="0.3">
      <c r="A584" t="s">
        <v>1635</v>
      </c>
      <c r="B584" s="2">
        <v>46247</v>
      </c>
      <c r="C584" s="2">
        <v>46248</v>
      </c>
      <c r="D584" s="1" t="s">
        <v>316</v>
      </c>
      <c r="E584" t="s">
        <v>317</v>
      </c>
      <c r="F584" t="s">
        <v>97</v>
      </c>
      <c r="G584" s="5">
        <v>200</v>
      </c>
      <c r="H584" s="5">
        <v>208</v>
      </c>
      <c r="I584" s="5">
        <v>208</v>
      </c>
      <c r="J584" s="5">
        <v>0</v>
      </c>
      <c r="K584" s="8">
        <f t="shared" si="18"/>
        <v>104</v>
      </c>
      <c r="L584" s="8">
        <f t="shared" si="19"/>
        <v>0</v>
      </c>
      <c r="M584" t="s">
        <v>20</v>
      </c>
      <c r="N584" t="s">
        <v>21</v>
      </c>
    </row>
    <row r="585" spans="1:14" x14ac:dyDescent="0.3">
      <c r="A585" t="s">
        <v>1636</v>
      </c>
      <c r="B585" s="2">
        <v>46251</v>
      </c>
      <c r="C585" s="2">
        <v>46252</v>
      </c>
      <c r="D585" s="1" t="s">
        <v>316</v>
      </c>
      <c r="E585" t="s">
        <v>317</v>
      </c>
      <c r="F585" t="s">
        <v>97</v>
      </c>
      <c r="G585" s="5">
        <v>100</v>
      </c>
      <c r="H585" s="5">
        <v>106</v>
      </c>
      <c r="I585" s="5">
        <v>106</v>
      </c>
      <c r="J585" s="5">
        <v>0</v>
      </c>
      <c r="K585" s="8">
        <f t="shared" si="18"/>
        <v>106</v>
      </c>
      <c r="L585" s="8">
        <f t="shared" si="19"/>
        <v>0</v>
      </c>
      <c r="M585" t="s">
        <v>20</v>
      </c>
      <c r="N585" t="s">
        <v>21</v>
      </c>
    </row>
    <row r="586" spans="1:14" x14ac:dyDescent="0.3">
      <c r="A586" t="s">
        <v>1637</v>
      </c>
      <c r="B586" s="2">
        <v>46244</v>
      </c>
      <c r="C586" s="2">
        <v>46245</v>
      </c>
      <c r="D586" s="1" t="s">
        <v>1638</v>
      </c>
      <c r="E586" t="s">
        <v>1639</v>
      </c>
      <c r="F586" t="s">
        <v>97</v>
      </c>
      <c r="G586" s="5">
        <v>32</v>
      </c>
      <c r="H586" s="5">
        <v>31</v>
      </c>
      <c r="I586" s="5">
        <v>31</v>
      </c>
      <c r="J586" s="5">
        <v>0</v>
      </c>
      <c r="K586" s="8">
        <f t="shared" ref="K586:K633" si="20">(H586/G586)*100</f>
        <v>96.875</v>
      </c>
      <c r="L586" s="8">
        <f t="shared" ref="L586:L633" si="21">((H586-I586)/I586)*100</f>
        <v>0</v>
      </c>
      <c r="M586" t="s">
        <v>20</v>
      </c>
      <c r="N586" t="s">
        <v>21</v>
      </c>
    </row>
    <row r="587" spans="1:14" x14ac:dyDescent="0.3">
      <c r="A587" t="s">
        <v>1640</v>
      </c>
      <c r="B587" s="2">
        <v>46245</v>
      </c>
      <c r="C587" s="2">
        <v>46246</v>
      </c>
      <c r="D587" s="1" t="s">
        <v>326</v>
      </c>
      <c r="E587" t="s">
        <v>327</v>
      </c>
      <c r="F587" t="s">
        <v>97</v>
      </c>
      <c r="G587" s="5">
        <v>272</v>
      </c>
      <c r="H587" s="5">
        <v>280</v>
      </c>
      <c r="I587" s="5">
        <v>264</v>
      </c>
      <c r="J587" s="5">
        <v>16</v>
      </c>
      <c r="K587" s="8">
        <f t="shared" si="20"/>
        <v>102.94117647058823</v>
      </c>
      <c r="L587" s="8">
        <f t="shared" si="21"/>
        <v>6.0606060606060606</v>
      </c>
      <c r="M587" t="s">
        <v>20</v>
      </c>
      <c r="N587" t="s">
        <v>21</v>
      </c>
    </row>
    <row r="588" spans="1:14" x14ac:dyDescent="0.3">
      <c r="A588" t="s">
        <v>1641</v>
      </c>
      <c r="B588" s="2">
        <v>46247</v>
      </c>
      <c r="C588" s="2">
        <v>46248</v>
      </c>
      <c r="D588" s="1" t="s">
        <v>326</v>
      </c>
      <c r="E588" t="s">
        <v>327</v>
      </c>
      <c r="F588" t="s">
        <v>97</v>
      </c>
      <c r="G588" s="5">
        <v>272</v>
      </c>
      <c r="H588" s="5">
        <v>288</v>
      </c>
      <c r="I588" s="5">
        <v>286</v>
      </c>
      <c r="J588" s="5">
        <v>2</v>
      </c>
      <c r="K588" s="8">
        <f t="shared" si="20"/>
        <v>105.88235294117648</v>
      </c>
      <c r="L588" s="8">
        <f t="shared" si="21"/>
        <v>0.69930069930069927</v>
      </c>
      <c r="M588" t="s">
        <v>20</v>
      </c>
      <c r="N588" t="s">
        <v>21</v>
      </c>
    </row>
    <row r="589" spans="1:14" x14ac:dyDescent="0.3">
      <c r="A589" t="s">
        <v>1642</v>
      </c>
      <c r="B589" s="2">
        <v>46241</v>
      </c>
      <c r="C589" s="2">
        <v>46241</v>
      </c>
      <c r="D589" s="1" t="s">
        <v>333</v>
      </c>
      <c r="E589" t="s">
        <v>334</v>
      </c>
      <c r="F589" t="s">
        <v>61</v>
      </c>
      <c r="G589" s="5">
        <v>312</v>
      </c>
      <c r="H589" s="5">
        <v>324</v>
      </c>
      <c r="I589" s="5">
        <v>324</v>
      </c>
      <c r="J589" s="5">
        <v>0</v>
      </c>
      <c r="K589" s="8">
        <f t="shared" si="20"/>
        <v>103.84615384615385</v>
      </c>
      <c r="L589" s="8">
        <f t="shared" si="21"/>
        <v>0</v>
      </c>
      <c r="M589" t="s">
        <v>20</v>
      </c>
      <c r="N589" t="s">
        <v>21</v>
      </c>
    </row>
    <row r="590" spans="1:14" x14ac:dyDescent="0.3">
      <c r="A590" t="s">
        <v>1643</v>
      </c>
      <c r="B590" s="2">
        <v>46242</v>
      </c>
      <c r="C590" s="2">
        <v>46242</v>
      </c>
      <c r="D590" s="1" t="s">
        <v>333</v>
      </c>
      <c r="E590" t="s">
        <v>334</v>
      </c>
      <c r="F590" t="s">
        <v>61</v>
      </c>
      <c r="G590" s="5">
        <v>282</v>
      </c>
      <c r="H590" s="5">
        <v>284</v>
      </c>
      <c r="I590" s="5">
        <v>282</v>
      </c>
      <c r="J590" s="5">
        <v>2</v>
      </c>
      <c r="K590" s="8">
        <f t="shared" si="20"/>
        <v>100.70921985815602</v>
      </c>
      <c r="L590" s="8">
        <f t="shared" si="21"/>
        <v>0.70921985815602839</v>
      </c>
      <c r="M590" t="s">
        <v>20</v>
      </c>
      <c r="N590" t="s">
        <v>21</v>
      </c>
    </row>
    <row r="591" spans="1:14" x14ac:dyDescent="0.3">
      <c r="A591" t="s">
        <v>1644</v>
      </c>
      <c r="B591" s="2">
        <v>46244</v>
      </c>
      <c r="C591" s="2">
        <v>46244</v>
      </c>
      <c r="D591" s="1" t="s">
        <v>333</v>
      </c>
      <c r="E591" t="s">
        <v>334</v>
      </c>
      <c r="F591" t="s">
        <v>61</v>
      </c>
      <c r="G591" s="5">
        <v>258</v>
      </c>
      <c r="H591" s="5">
        <v>258</v>
      </c>
      <c r="I591" s="5">
        <v>257</v>
      </c>
      <c r="J591" s="5">
        <v>1</v>
      </c>
      <c r="K591" s="8">
        <f t="shared" si="20"/>
        <v>100</v>
      </c>
      <c r="L591" s="8">
        <f t="shared" si="21"/>
        <v>0.38910505836575876</v>
      </c>
      <c r="M591" t="s">
        <v>20</v>
      </c>
      <c r="N591" t="s">
        <v>21</v>
      </c>
    </row>
    <row r="592" spans="1:14" x14ac:dyDescent="0.3">
      <c r="A592" t="s">
        <v>1645</v>
      </c>
      <c r="B592" s="2">
        <v>46245</v>
      </c>
      <c r="C592" s="2">
        <v>46246</v>
      </c>
      <c r="D592" s="1" t="s">
        <v>333</v>
      </c>
      <c r="E592" t="s">
        <v>334</v>
      </c>
      <c r="F592" t="s">
        <v>61</v>
      </c>
      <c r="G592" s="5">
        <v>270</v>
      </c>
      <c r="H592" s="5">
        <v>278</v>
      </c>
      <c r="I592" s="5">
        <v>276</v>
      </c>
      <c r="J592" s="5">
        <v>2</v>
      </c>
      <c r="K592" s="8">
        <f t="shared" si="20"/>
        <v>102.96296296296296</v>
      </c>
      <c r="L592" s="8">
        <f t="shared" si="21"/>
        <v>0.72463768115942029</v>
      </c>
      <c r="M592" t="s">
        <v>20</v>
      </c>
      <c r="N592" t="s">
        <v>21</v>
      </c>
    </row>
    <row r="593" spans="1:14" x14ac:dyDescent="0.3">
      <c r="A593" t="s">
        <v>1646</v>
      </c>
      <c r="B593" s="2">
        <v>46246</v>
      </c>
      <c r="C593" s="2">
        <v>46246</v>
      </c>
      <c r="D593" s="1" t="s">
        <v>333</v>
      </c>
      <c r="E593" t="s">
        <v>334</v>
      </c>
      <c r="F593" t="s">
        <v>61</v>
      </c>
      <c r="G593" s="5">
        <v>282</v>
      </c>
      <c r="H593" s="5">
        <v>288</v>
      </c>
      <c r="I593" s="5">
        <v>288</v>
      </c>
      <c r="J593" s="5">
        <v>0</v>
      </c>
      <c r="K593" s="8">
        <f t="shared" si="20"/>
        <v>102.12765957446808</v>
      </c>
      <c r="L593" s="8">
        <f t="shared" si="21"/>
        <v>0</v>
      </c>
      <c r="M593" t="s">
        <v>20</v>
      </c>
      <c r="N593" t="s">
        <v>21</v>
      </c>
    </row>
    <row r="594" spans="1:14" x14ac:dyDescent="0.3">
      <c r="A594" t="s">
        <v>1647</v>
      </c>
      <c r="B594" s="2">
        <v>46247</v>
      </c>
      <c r="C594" s="2">
        <v>46248</v>
      </c>
      <c r="D594" s="1" t="s">
        <v>333</v>
      </c>
      <c r="E594" t="s">
        <v>334</v>
      </c>
      <c r="F594" t="s">
        <v>61</v>
      </c>
      <c r="G594" s="5">
        <v>288</v>
      </c>
      <c r="H594" s="5">
        <v>296</v>
      </c>
      <c r="I594" s="5">
        <v>294</v>
      </c>
      <c r="J594" s="5">
        <v>2</v>
      </c>
      <c r="K594" s="8">
        <f t="shared" si="20"/>
        <v>102.77777777777777</v>
      </c>
      <c r="L594" s="8">
        <f t="shared" si="21"/>
        <v>0.68027210884353739</v>
      </c>
      <c r="M594" t="s">
        <v>20</v>
      </c>
      <c r="N594" t="s">
        <v>21</v>
      </c>
    </row>
    <row r="595" spans="1:14" x14ac:dyDescent="0.3">
      <c r="A595" t="s">
        <v>1648</v>
      </c>
      <c r="B595" s="2">
        <v>46248</v>
      </c>
      <c r="C595" s="2">
        <v>46248</v>
      </c>
      <c r="D595" s="1" t="s">
        <v>333</v>
      </c>
      <c r="E595" t="s">
        <v>334</v>
      </c>
      <c r="F595" t="s">
        <v>61</v>
      </c>
      <c r="G595" s="5">
        <v>306</v>
      </c>
      <c r="H595" s="5">
        <v>312</v>
      </c>
      <c r="I595" s="5">
        <v>312</v>
      </c>
      <c r="J595" s="5">
        <v>0</v>
      </c>
      <c r="K595" s="8">
        <f t="shared" si="20"/>
        <v>101.96078431372548</v>
      </c>
      <c r="L595" s="8">
        <f t="shared" si="21"/>
        <v>0</v>
      </c>
      <c r="M595" t="s">
        <v>20</v>
      </c>
      <c r="N595" t="s">
        <v>21</v>
      </c>
    </row>
    <row r="596" spans="1:14" x14ac:dyDescent="0.3">
      <c r="A596" t="s">
        <v>1649</v>
      </c>
      <c r="B596" s="2">
        <v>46248</v>
      </c>
      <c r="C596" s="2">
        <v>46248</v>
      </c>
      <c r="D596" s="1" t="s">
        <v>348</v>
      </c>
      <c r="E596" t="s">
        <v>349</v>
      </c>
      <c r="F596" t="s">
        <v>61</v>
      </c>
      <c r="G596" s="5">
        <v>600</v>
      </c>
      <c r="H596" s="5">
        <v>582</v>
      </c>
      <c r="I596" s="5">
        <v>576</v>
      </c>
      <c r="J596" s="5">
        <v>6</v>
      </c>
      <c r="K596" s="8">
        <f t="shared" si="20"/>
        <v>97</v>
      </c>
      <c r="L596" s="8">
        <f t="shared" si="21"/>
        <v>1.0416666666666665</v>
      </c>
      <c r="M596" t="s">
        <v>20</v>
      </c>
      <c r="N596" t="s">
        <v>21</v>
      </c>
    </row>
    <row r="597" spans="1:14" x14ac:dyDescent="0.3">
      <c r="A597" t="s">
        <v>1650</v>
      </c>
      <c r="B597" s="2">
        <v>46252</v>
      </c>
      <c r="C597" s="2">
        <v>46254</v>
      </c>
      <c r="D597" s="1" t="s">
        <v>348</v>
      </c>
      <c r="E597" t="s">
        <v>349</v>
      </c>
      <c r="F597" t="s">
        <v>61</v>
      </c>
      <c r="G597" s="5">
        <v>600</v>
      </c>
      <c r="H597" s="5">
        <v>617</v>
      </c>
      <c r="I597" s="5">
        <v>617</v>
      </c>
      <c r="J597" s="5">
        <v>0</v>
      </c>
      <c r="K597" s="8">
        <f t="shared" si="20"/>
        <v>102.83333333333333</v>
      </c>
      <c r="L597" s="8">
        <f t="shared" si="21"/>
        <v>0</v>
      </c>
      <c r="M597" t="s">
        <v>20</v>
      </c>
      <c r="N597" t="s">
        <v>21</v>
      </c>
    </row>
    <row r="598" spans="1:14" x14ac:dyDescent="0.3">
      <c r="A598" t="s">
        <v>1651</v>
      </c>
      <c r="B598" s="2">
        <v>46242</v>
      </c>
      <c r="C598" s="2">
        <v>46244</v>
      </c>
      <c r="D598" s="1" t="s">
        <v>352</v>
      </c>
      <c r="E598" t="s">
        <v>353</v>
      </c>
      <c r="F598" t="s">
        <v>19</v>
      </c>
      <c r="G598" s="5">
        <v>63</v>
      </c>
      <c r="H598" s="5">
        <v>63</v>
      </c>
      <c r="I598" s="5">
        <v>63</v>
      </c>
      <c r="J598" s="5">
        <v>0</v>
      </c>
      <c r="K598" s="8">
        <f t="shared" si="20"/>
        <v>100</v>
      </c>
      <c r="L598" s="8">
        <f t="shared" si="21"/>
        <v>0</v>
      </c>
      <c r="M598" t="s">
        <v>20</v>
      </c>
      <c r="N598" t="s">
        <v>21</v>
      </c>
    </row>
    <row r="599" spans="1:14" x14ac:dyDescent="0.3">
      <c r="A599" t="s">
        <v>1267</v>
      </c>
      <c r="B599" s="2">
        <v>46237</v>
      </c>
      <c r="C599" s="2">
        <v>46240</v>
      </c>
      <c r="D599" s="1" t="s">
        <v>355</v>
      </c>
      <c r="E599" t="s">
        <v>356</v>
      </c>
      <c r="F599" t="s">
        <v>97</v>
      </c>
      <c r="G599" s="5">
        <v>33</v>
      </c>
      <c r="H599" s="5">
        <v>33</v>
      </c>
      <c r="I599" s="5">
        <v>28</v>
      </c>
      <c r="J599" s="5">
        <v>5</v>
      </c>
      <c r="K599" s="8">
        <f t="shared" si="20"/>
        <v>100</v>
      </c>
      <c r="L599" s="8">
        <f t="shared" si="21"/>
        <v>17.857142857142858</v>
      </c>
      <c r="M599" t="s">
        <v>20</v>
      </c>
      <c r="N599" t="s">
        <v>21</v>
      </c>
    </row>
    <row r="600" spans="1:14" x14ac:dyDescent="0.3">
      <c r="A600" t="s">
        <v>1279</v>
      </c>
      <c r="B600" s="2">
        <v>46238</v>
      </c>
      <c r="C600" s="2">
        <v>46240</v>
      </c>
      <c r="D600" s="1" t="s">
        <v>355</v>
      </c>
      <c r="E600" t="s">
        <v>356</v>
      </c>
      <c r="F600" t="s">
        <v>97</v>
      </c>
      <c r="G600" s="5">
        <v>33</v>
      </c>
      <c r="H600" s="5">
        <v>33</v>
      </c>
      <c r="I600" s="5">
        <v>28</v>
      </c>
      <c r="J600" s="5">
        <v>5</v>
      </c>
      <c r="K600" s="8">
        <f t="shared" si="20"/>
        <v>100</v>
      </c>
      <c r="L600" s="8">
        <f t="shared" si="21"/>
        <v>17.857142857142858</v>
      </c>
      <c r="M600" t="s">
        <v>20</v>
      </c>
      <c r="N600" t="s">
        <v>21</v>
      </c>
    </row>
    <row r="601" spans="1:14" x14ac:dyDescent="0.3">
      <c r="A601" t="s">
        <v>1652</v>
      </c>
      <c r="B601" s="2">
        <v>46244</v>
      </c>
      <c r="C601" s="2">
        <v>46244</v>
      </c>
      <c r="D601" s="1" t="s">
        <v>355</v>
      </c>
      <c r="E601" t="s">
        <v>356</v>
      </c>
      <c r="F601" t="s">
        <v>97</v>
      </c>
      <c r="G601" s="5">
        <v>9</v>
      </c>
      <c r="H601" s="5">
        <v>9</v>
      </c>
      <c r="I601" s="5">
        <v>9</v>
      </c>
      <c r="J601" s="5">
        <v>0</v>
      </c>
      <c r="K601" s="8">
        <f t="shared" si="20"/>
        <v>100</v>
      </c>
      <c r="L601" s="8">
        <f t="shared" si="21"/>
        <v>0</v>
      </c>
      <c r="M601" t="s">
        <v>20</v>
      </c>
      <c r="N601" t="s">
        <v>21</v>
      </c>
    </row>
    <row r="602" spans="1:14" x14ac:dyDescent="0.3">
      <c r="A602" t="s">
        <v>1653</v>
      </c>
      <c r="B602" s="2">
        <v>46247</v>
      </c>
      <c r="C602" s="2">
        <v>46248</v>
      </c>
      <c r="D602" s="1" t="s">
        <v>355</v>
      </c>
      <c r="E602" t="s">
        <v>356</v>
      </c>
      <c r="F602" t="s">
        <v>97</v>
      </c>
      <c r="G602" s="5">
        <v>27</v>
      </c>
      <c r="H602" s="5">
        <v>27</v>
      </c>
      <c r="I602" s="5">
        <v>27</v>
      </c>
      <c r="J602" s="5">
        <v>0</v>
      </c>
      <c r="K602" s="8">
        <f t="shared" si="20"/>
        <v>100</v>
      </c>
      <c r="L602" s="8">
        <f t="shared" si="21"/>
        <v>0</v>
      </c>
      <c r="M602" t="s">
        <v>20</v>
      </c>
      <c r="N602" t="s">
        <v>21</v>
      </c>
    </row>
    <row r="603" spans="1:14" x14ac:dyDescent="0.3">
      <c r="A603" t="s">
        <v>1654</v>
      </c>
      <c r="B603" s="2">
        <v>46251</v>
      </c>
      <c r="C603" s="2">
        <v>46253</v>
      </c>
      <c r="D603" s="1" t="s">
        <v>355</v>
      </c>
      <c r="E603" t="s">
        <v>356</v>
      </c>
      <c r="F603" t="s">
        <v>97</v>
      </c>
      <c r="G603" s="5">
        <v>9</v>
      </c>
      <c r="H603" s="5">
        <v>9</v>
      </c>
      <c r="I603" s="5">
        <v>9</v>
      </c>
      <c r="J603" s="5">
        <v>0</v>
      </c>
      <c r="K603" s="8">
        <f t="shared" si="20"/>
        <v>100</v>
      </c>
      <c r="L603" s="8">
        <f t="shared" si="21"/>
        <v>0</v>
      </c>
      <c r="M603" t="s">
        <v>20</v>
      </c>
      <c r="N603" t="s">
        <v>21</v>
      </c>
    </row>
    <row r="604" spans="1:14" x14ac:dyDescent="0.3">
      <c r="A604" t="s">
        <v>1655</v>
      </c>
      <c r="B604" s="2">
        <v>46251</v>
      </c>
      <c r="C604" s="2">
        <v>46252</v>
      </c>
      <c r="D604" s="1" t="s">
        <v>355</v>
      </c>
      <c r="E604" t="s">
        <v>356</v>
      </c>
      <c r="F604" t="s">
        <v>97</v>
      </c>
      <c r="G604" s="5">
        <v>18</v>
      </c>
      <c r="H604" s="5">
        <v>18</v>
      </c>
      <c r="I604" s="5">
        <v>18</v>
      </c>
      <c r="J604" s="5">
        <v>0</v>
      </c>
      <c r="K604" s="8">
        <f t="shared" si="20"/>
        <v>100</v>
      </c>
      <c r="L604" s="8">
        <f t="shared" si="21"/>
        <v>0</v>
      </c>
      <c r="M604" t="s">
        <v>20</v>
      </c>
      <c r="N604" t="s">
        <v>21</v>
      </c>
    </row>
    <row r="605" spans="1:14" x14ac:dyDescent="0.3">
      <c r="A605" t="s">
        <v>1656</v>
      </c>
      <c r="B605" s="2">
        <v>46248</v>
      </c>
      <c r="C605" s="2">
        <v>46251</v>
      </c>
      <c r="D605" s="1" t="s">
        <v>1657</v>
      </c>
      <c r="E605" t="s">
        <v>1658</v>
      </c>
      <c r="F605" t="s">
        <v>97</v>
      </c>
      <c r="G605" s="5">
        <v>108</v>
      </c>
      <c r="H605" s="5">
        <v>132</v>
      </c>
      <c r="I605" s="5">
        <v>132</v>
      </c>
      <c r="J605" s="5">
        <v>0</v>
      </c>
      <c r="K605" s="8">
        <f t="shared" si="20"/>
        <v>122.22222222222223</v>
      </c>
      <c r="L605" s="8">
        <f t="shared" si="21"/>
        <v>0</v>
      </c>
      <c r="M605" t="s">
        <v>20</v>
      </c>
      <c r="N605" t="s">
        <v>21</v>
      </c>
    </row>
    <row r="606" spans="1:14" x14ac:dyDescent="0.3">
      <c r="A606" t="s">
        <v>1281</v>
      </c>
      <c r="B606" s="2">
        <v>46238</v>
      </c>
      <c r="C606" s="2">
        <v>46240</v>
      </c>
      <c r="D606" s="1" t="s">
        <v>367</v>
      </c>
      <c r="E606" t="s">
        <v>368</v>
      </c>
      <c r="F606" t="s">
        <v>97</v>
      </c>
      <c r="G606" s="5">
        <v>23</v>
      </c>
      <c r="H606" s="5">
        <v>25</v>
      </c>
      <c r="I606" s="5">
        <v>25</v>
      </c>
      <c r="J606" s="5">
        <v>0</v>
      </c>
      <c r="K606" s="8">
        <f t="shared" si="20"/>
        <v>108.69565217391303</v>
      </c>
      <c r="L606" s="8">
        <f t="shared" si="21"/>
        <v>0</v>
      </c>
      <c r="M606" t="s">
        <v>20</v>
      </c>
      <c r="N606" t="s">
        <v>21</v>
      </c>
    </row>
    <row r="607" spans="1:14" x14ac:dyDescent="0.3">
      <c r="A607" t="s">
        <v>1659</v>
      </c>
      <c r="B607" s="2">
        <v>46252</v>
      </c>
      <c r="C607" s="2">
        <v>46253</v>
      </c>
      <c r="D607" s="1" t="s">
        <v>367</v>
      </c>
      <c r="E607" t="s">
        <v>368</v>
      </c>
      <c r="F607" t="s">
        <v>97</v>
      </c>
      <c r="G607" s="5">
        <v>19</v>
      </c>
      <c r="H607" s="5">
        <v>25</v>
      </c>
      <c r="I607" s="5">
        <v>25</v>
      </c>
      <c r="J607" s="5">
        <v>0</v>
      </c>
      <c r="K607" s="8">
        <f t="shared" si="20"/>
        <v>131.57894736842107</v>
      </c>
      <c r="L607" s="8">
        <f t="shared" si="21"/>
        <v>0</v>
      </c>
      <c r="M607" t="s">
        <v>20</v>
      </c>
      <c r="N607" t="s">
        <v>21</v>
      </c>
    </row>
    <row r="608" spans="1:14" x14ac:dyDescent="0.3">
      <c r="A608" t="s">
        <v>1280</v>
      </c>
      <c r="B608" s="2">
        <v>46238</v>
      </c>
      <c r="C608" s="2">
        <v>46240</v>
      </c>
      <c r="D608" s="1" t="s">
        <v>370</v>
      </c>
      <c r="E608" t="s">
        <v>371</v>
      </c>
      <c r="F608" t="s">
        <v>97</v>
      </c>
      <c r="G608" s="5">
        <v>22</v>
      </c>
      <c r="H608" s="5">
        <v>22</v>
      </c>
      <c r="I608" s="5">
        <v>20</v>
      </c>
      <c r="J608" s="5">
        <v>2</v>
      </c>
      <c r="K608" s="8">
        <f t="shared" si="20"/>
        <v>100</v>
      </c>
      <c r="L608" s="8">
        <f t="shared" si="21"/>
        <v>10</v>
      </c>
      <c r="M608" t="s">
        <v>20</v>
      </c>
      <c r="N608" t="s">
        <v>21</v>
      </c>
    </row>
    <row r="609" spans="1:14" x14ac:dyDescent="0.3">
      <c r="A609" t="s">
        <v>1660</v>
      </c>
      <c r="B609" s="2">
        <v>46239</v>
      </c>
      <c r="C609" s="2">
        <v>46241</v>
      </c>
      <c r="D609" s="1" t="s">
        <v>370</v>
      </c>
      <c r="E609" t="s">
        <v>371</v>
      </c>
      <c r="F609" t="s">
        <v>97</v>
      </c>
      <c r="G609" s="5">
        <v>22</v>
      </c>
      <c r="H609" s="5">
        <v>22</v>
      </c>
      <c r="I609" s="5">
        <v>20</v>
      </c>
      <c r="J609" s="5">
        <v>2</v>
      </c>
      <c r="K609" s="8">
        <f t="shared" si="20"/>
        <v>100</v>
      </c>
      <c r="L609" s="8">
        <f t="shared" si="21"/>
        <v>10</v>
      </c>
      <c r="M609" t="s">
        <v>20</v>
      </c>
      <c r="N609" t="s">
        <v>21</v>
      </c>
    </row>
    <row r="610" spans="1:14" x14ac:dyDescent="0.3">
      <c r="A610" t="s">
        <v>1661</v>
      </c>
      <c r="B610" s="2">
        <v>46244</v>
      </c>
      <c r="C610" s="2">
        <v>46245</v>
      </c>
      <c r="D610" s="1" t="s">
        <v>370</v>
      </c>
      <c r="E610" t="s">
        <v>371</v>
      </c>
      <c r="F610" t="s">
        <v>97</v>
      </c>
      <c r="G610" s="5">
        <v>10</v>
      </c>
      <c r="H610" s="5">
        <v>10</v>
      </c>
      <c r="I610" s="5">
        <v>9</v>
      </c>
      <c r="J610" s="5">
        <v>1</v>
      </c>
      <c r="K610" s="8">
        <f t="shared" si="20"/>
        <v>100</v>
      </c>
      <c r="L610" s="8">
        <f t="shared" si="21"/>
        <v>11.111111111111111</v>
      </c>
      <c r="M610" t="s">
        <v>20</v>
      </c>
      <c r="N610" t="s">
        <v>21</v>
      </c>
    </row>
    <row r="611" spans="1:14" x14ac:dyDescent="0.3">
      <c r="A611" t="s">
        <v>1662</v>
      </c>
      <c r="B611" s="2">
        <v>46252</v>
      </c>
      <c r="C611" s="2">
        <v>46253</v>
      </c>
      <c r="D611" s="1" t="s">
        <v>370</v>
      </c>
      <c r="E611" t="s">
        <v>371</v>
      </c>
      <c r="F611" t="s">
        <v>97</v>
      </c>
      <c r="G611" s="5">
        <v>10</v>
      </c>
      <c r="H611" s="5">
        <v>10</v>
      </c>
      <c r="I611" s="5">
        <v>10</v>
      </c>
      <c r="J611" s="5">
        <v>0</v>
      </c>
      <c r="K611" s="8">
        <f t="shared" si="20"/>
        <v>100</v>
      </c>
      <c r="L611" s="8">
        <f t="shared" si="21"/>
        <v>0</v>
      </c>
      <c r="M611" t="s">
        <v>20</v>
      </c>
      <c r="N611" t="s">
        <v>21</v>
      </c>
    </row>
    <row r="612" spans="1:14" x14ac:dyDescent="0.3">
      <c r="A612" t="s">
        <v>1663</v>
      </c>
      <c r="B612" s="2">
        <v>46252</v>
      </c>
      <c r="C612" s="2">
        <v>46253</v>
      </c>
      <c r="D612" s="1" t="s">
        <v>1664</v>
      </c>
      <c r="E612" t="s">
        <v>1665</v>
      </c>
      <c r="F612" t="s">
        <v>39</v>
      </c>
      <c r="G612" s="5">
        <v>292</v>
      </c>
      <c r="H612" s="5">
        <v>330</v>
      </c>
      <c r="I612" s="5">
        <v>324</v>
      </c>
      <c r="J612" s="5">
        <v>6</v>
      </c>
      <c r="K612" s="8">
        <f t="shared" si="20"/>
        <v>113.013698630137</v>
      </c>
      <c r="L612" s="8">
        <f t="shared" si="21"/>
        <v>1.8518518518518516</v>
      </c>
      <c r="M612" t="s">
        <v>20</v>
      </c>
      <c r="N612" t="s">
        <v>21</v>
      </c>
    </row>
    <row r="613" spans="1:14" x14ac:dyDescent="0.3">
      <c r="A613" t="s">
        <v>1666</v>
      </c>
      <c r="B613" s="2">
        <v>46253</v>
      </c>
      <c r="C613" s="2">
        <v>46253</v>
      </c>
      <c r="D613" s="1" t="s">
        <v>1664</v>
      </c>
      <c r="E613" t="s">
        <v>1665</v>
      </c>
      <c r="F613" t="s">
        <v>39</v>
      </c>
      <c r="G613" s="5">
        <v>292</v>
      </c>
      <c r="H613" s="5">
        <v>322</v>
      </c>
      <c r="I613" s="5">
        <v>313</v>
      </c>
      <c r="J613" s="5">
        <v>9</v>
      </c>
      <c r="K613" s="8">
        <f t="shared" si="20"/>
        <v>110.27397260273972</v>
      </c>
      <c r="L613" s="8">
        <f t="shared" si="21"/>
        <v>2.8753993610223643</v>
      </c>
      <c r="M613" t="s">
        <v>20</v>
      </c>
      <c r="N613" t="s">
        <v>21</v>
      </c>
    </row>
    <row r="614" spans="1:14" x14ac:dyDescent="0.3">
      <c r="A614" t="s">
        <v>1667</v>
      </c>
      <c r="B614" s="2">
        <v>46241</v>
      </c>
      <c r="C614" s="2">
        <v>46242</v>
      </c>
      <c r="D614" s="1" t="s">
        <v>1668</v>
      </c>
      <c r="E614" t="s">
        <v>1669</v>
      </c>
      <c r="F614" t="s">
        <v>61</v>
      </c>
      <c r="G614" s="5">
        <v>204</v>
      </c>
      <c r="H614" s="5">
        <v>209</v>
      </c>
      <c r="I614" s="5">
        <v>209</v>
      </c>
      <c r="J614" s="5">
        <v>0</v>
      </c>
      <c r="K614" s="8">
        <f t="shared" si="20"/>
        <v>102.45098039215685</v>
      </c>
      <c r="L614" s="8">
        <f t="shared" si="21"/>
        <v>0</v>
      </c>
      <c r="M614" t="s">
        <v>20</v>
      </c>
      <c r="N614" t="s">
        <v>21</v>
      </c>
    </row>
    <row r="615" spans="1:14" x14ac:dyDescent="0.3">
      <c r="A615" t="s">
        <v>1270</v>
      </c>
      <c r="B615" s="2">
        <v>46237</v>
      </c>
      <c r="C615" s="2">
        <v>46240</v>
      </c>
      <c r="D615" s="1" t="s">
        <v>386</v>
      </c>
      <c r="E615" t="s">
        <v>387</v>
      </c>
      <c r="F615" t="s">
        <v>61</v>
      </c>
      <c r="G615" s="5">
        <v>200</v>
      </c>
      <c r="H615" s="5">
        <v>204</v>
      </c>
      <c r="I615" s="5">
        <v>204</v>
      </c>
      <c r="J615" s="5">
        <v>0</v>
      </c>
      <c r="K615" s="8">
        <f t="shared" si="20"/>
        <v>102</v>
      </c>
      <c r="L615" s="8">
        <f t="shared" si="21"/>
        <v>0</v>
      </c>
      <c r="M615" t="s">
        <v>20</v>
      </c>
      <c r="N615" t="s">
        <v>21</v>
      </c>
    </row>
    <row r="616" spans="1:14" x14ac:dyDescent="0.3">
      <c r="A616" t="s">
        <v>1670</v>
      </c>
      <c r="B616" s="2">
        <v>46241</v>
      </c>
      <c r="C616" s="2">
        <v>46241</v>
      </c>
      <c r="D616" s="1" t="s">
        <v>386</v>
      </c>
      <c r="E616" t="s">
        <v>387</v>
      </c>
      <c r="F616" t="s">
        <v>61</v>
      </c>
      <c r="G616" s="5">
        <v>200</v>
      </c>
      <c r="H616" s="5">
        <v>204</v>
      </c>
      <c r="I616" s="5">
        <v>204</v>
      </c>
      <c r="J616" s="5">
        <v>0</v>
      </c>
      <c r="K616" s="8">
        <f t="shared" si="20"/>
        <v>102</v>
      </c>
      <c r="L616" s="8">
        <f t="shared" si="21"/>
        <v>0</v>
      </c>
      <c r="M616" t="s">
        <v>20</v>
      </c>
      <c r="N616" t="s">
        <v>21</v>
      </c>
    </row>
    <row r="617" spans="1:14" x14ac:dyDescent="0.3">
      <c r="A617" t="s">
        <v>1671</v>
      </c>
      <c r="B617" s="2">
        <v>46244</v>
      </c>
      <c r="C617" s="2">
        <v>46244</v>
      </c>
      <c r="D617" s="1" t="s">
        <v>386</v>
      </c>
      <c r="E617" t="s">
        <v>387</v>
      </c>
      <c r="F617" t="s">
        <v>61</v>
      </c>
      <c r="G617" s="5">
        <v>500</v>
      </c>
      <c r="H617" s="5">
        <v>510</v>
      </c>
      <c r="I617" s="5">
        <v>504</v>
      </c>
      <c r="J617" s="5">
        <v>6</v>
      </c>
      <c r="K617" s="8">
        <f t="shared" si="20"/>
        <v>102</v>
      </c>
      <c r="L617" s="8">
        <f t="shared" si="21"/>
        <v>1.1904761904761905</v>
      </c>
      <c r="M617" t="s">
        <v>20</v>
      </c>
      <c r="N617" t="s">
        <v>21</v>
      </c>
    </row>
    <row r="618" spans="1:14" x14ac:dyDescent="0.3">
      <c r="A618" t="s">
        <v>1672</v>
      </c>
      <c r="B618" s="2">
        <v>46252</v>
      </c>
      <c r="C618" s="2">
        <v>46253</v>
      </c>
      <c r="D618" s="1" t="s">
        <v>1673</v>
      </c>
      <c r="E618" t="s">
        <v>1674</v>
      </c>
      <c r="F618" t="s">
        <v>39</v>
      </c>
      <c r="G618" s="5">
        <v>180</v>
      </c>
      <c r="H618" s="5">
        <v>201</v>
      </c>
      <c r="I618" s="5">
        <v>201</v>
      </c>
      <c r="J618" s="5">
        <v>0</v>
      </c>
      <c r="K618" s="8">
        <f t="shared" si="20"/>
        <v>111.66666666666667</v>
      </c>
      <c r="L618" s="8">
        <f t="shared" si="21"/>
        <v>0</v>
      </c>
      <c r="M618" t="s">
        <v>20</v>
      </c>
      <c r="N618" t="s">
        <v>21</v>
      </c>
    </row>
    <row r="619" spans="1:14" x14ac:dyDescent="0.3">
      <c r="A619" t="s">
        <v>1675</v>
      </c>
      <c r="B619" s="2">
        <v>46253</v>
      </c>
      <c r="C619" s="2">
        <v>46253</v>
      </c>
      <c r="D619" s="1" t="s">
        <v>1673</v>
      </c>
      <c r="E619" t="s">
        <v>1674</v>
      </c>
      <c r="F619" t="s">
        <v>39</v>
      </c>
      <c r="G619" s="5">
        <v>180</v>
      </c>
      <c r="H619" s="5">
        <v>200</v>
      </c>
      <c r="I619" s="5">
        <v>200</v>
      </c>
      <c r="J619" s="5">
        <v>0</v>
      </c>
      <c r="K619" s="8">
        <f t="shared" si="20"/>
        <v>111.11111111111111</v>
      </c>
      <c r="L619" s="8">
        <f t="shared" si="21"/>
        <v>0</v>
      </c>
      <c r="M619" t="s">
        <v>20</v>
      </c>
      <c r="N619" t="s">
        <v>21</v>
      </c>
    </row>
    <row r="620" spans="1:14" x14ac:dyDescent="0.3">
      <c r="A620" t="s">
        <v>1676</v>
      </c>
      <c r="B620" s="2">
        <v>46251</v>
      </c>
      <c r="C620" s="2">
        <v>46252</v>
      </c>
      <c r="D620" s="1" t="s">
        <v>1677</v>
      </c>
      <c r="E620" t="s">
        <v>1678</v>
      </c>
      <c r="F620" t="s">
        <v>61</v>
      </c>
      <c r="G620" s="5">
        <v>200</v>
      </c>
      <c r="H620" s="5">
        <v>218</v>
      </c>
      <c r="I620" s="5">
        <v>218</v>
      </c>
      <c r="J620" s="5">
        <v>0</v>
      </c>
      <c r="K620" s="8">
        <f t="shared" si="20"/>
        <v>109.00000000000001</v>
      </c>
      <c r="L620" s="8">
        <f t="shared" si="21"/>
        <v>0</v>
      </c>
      <c r="M620" t="s">
        <v>20</v>
      </c>
      <c r="N620" t="s">
        <v>21</v>
      </c>
    </row>
    <row r="621" spans="1:14" x14ac:dyDescent="0.3">
      <c r="A621" t="s">
        <v>1679</v>
      </c>
      <c r="B621" s="2">
        <v>46252</v>
      </c>
      <c r="C621" s="2">
        <v>46253</v>
      </c>
      <c r="D621" s="1" t="s">
        <v>1677</v>
      </c>
      <c r="E621" t="s">
        <v>1678</v>
      </c>
      <c r="F621" t="s">
        <v>61</v>
      </c>
      <c r="G621" s="5">
        <v>100</v>
      </c>
      <c r="H621" s="5">
        <v>100</v>
      </c>
      <c r="I621" s="5">
        <v>100</v>
      </c>
      <c r="J621" s="5">
        <v>0</v>
      </c>
      <c r="K621" s="8">
        <f t="shared" si="20"/>
        <v>100</v>
      </c>
      <c r="L621" s="8">
        <f t="shared" si="21"/>
        <v>0</v>
      </c>
      <c r="M621" t="s">
        <v>20</v>
      </c>
      <c r="N621" t="s">
        <v>21</v>
      </c>
    </row>
    <row r="622" spans="1:14" x14ac:dyDescent="0.3">
      <c r="A622" t="s">
        <v>1680</v>
      </c>
      <c r="B622" s="2">
        <v>46251</v>
      </c>
      <c r="C622" s="2">
        <v>46252</v>
      </c>
      <c r="D622" s="1" t="s">
        <v>1677</v>
      </c>
      <c r="E622" t="s">
        <v>1678</v>
      </c>
      <c r="F622" t="s">
        <v>61</v>
      </c>
      <c r="G622" s="5">
        <v>100</v>
      </c>
      <c r="H622" s="5">
        <v>118</v>
      </c>
      <c r="I622" s="5">
        <v>118</v>
      </c>
      <c r="J622" s="5">
        <v>0</v>
      </c>
      <c r="K622" s="8">
        <f t="shared" si="20"/>
        <v>118</v>
      </c>
      <c r="L622" s="8">
        <f t="shared" si="21"/>
        <v>0</v>
      </c>
      <c r="M622" t="s">
        <v>20</v>
      </c>
      <c r="N622" t="s">
        <v>21</v>
      </c>
    </row>
    <row r="623" spans="1:14" x14ac:dyDescent="0.3">
      <c r="A623" t="s">
        <v>1681</v>
      </c>
      <c r="B623" s="2">
        <v>46252</v>
      </c>
      <c r="C623" s="2">
        <v>46253</v>
      </c>
      <c r="D623" s="1" t="s">
        <v>1677</v>
      </c>
      <c r="E623" t="s">
        <v>1678</v>
      </c>
      <c r="F623" t="s">
        <v>61</v>
      </c>
      <c r="G623" s="5">
        <v>200</v>
      </c>
      <c r="H623" s="5">
        <v>215</v>
      </c>
      <c r="I623" s="5">
        <v>215</v>
      </c>
      <c r="J623" s="5">
        <v>0</v>
      </c>
      <c r="K623" s="8">
        <f t="shared" si="20"/>
        <v>107.5</v>
      </c>
      <c r="L623" s="8">
        <f t="shared" si="21"/>
        <v>0</v>
      </c>
      <c r="M623" t="s">
        <v>20</v>
      </c>
      <c r="N623" t="s">
        <v>21</v>
      </c>
    </row>
    <row r="624" spans="1:14" x14ac:dyDescent="0.3">
      <c r="A624" t="s">
        <v>1682</v>
      </c>
      <c r="B624" s="2">
        <v>46244</v>
      </c>
      <c r="C624" s="2">
        <v>46245</v>
      </c>
      <c r="D624" s="1" t="s">
        <v>398</v>
      </c>
      <c r="E624" t="s">
        <v>399</v>
      </c>
      <c r="F624" t="s">
        <v>39</v>
      </c>
      <c r="G624" s="5">
        <v>582</v>
      </c>
      <c r="H624" s="5">
        <v>652</v>
      </c>
      <c r="I624" s="5">
        <v>652</v>
      </c>
      <c r="J624" s="5">
        <v>0</v>
      </c>
      <c r="K624" s="8">
        <f t="shared" si="20"/>
        <v>112.02749140893471</v>
      </c>
      <c r="L624" s="8">
        <f t="shared" si="21"/>
        <v>0</v>
      </c>
      <c r="M624" t="s">
        <v>20</v>
      </c>
      <c r="N624" t="s">
        <v>21</v>
      </c>
    </row>
    <row r="625" spans="1:14" x14ac:dyDescent="0.3">
      <c r="A625" t="s">
        <v>1683</v>
      </c>
      <c r="B625" s="2">
        <v>46245</v>
      </c>
      <c r="C625" s="2">
        <v>46246</v>
      </c>
      <c r="D625" s="1" t="s">
        <v>398</v>
      </c>
      <c r="E625" t="s">
        <v>399</v>
      </c>
      <c r="F625" t="s">
        <v>39</v>
      </c>
      <c r="G625" s="5">
        <v>582</v>
      </c>
      <c r="H625" s="5">
        <v>703</v>
      </c>
      <c r="I625" s="5">
        <v>702</v>
      </c>
      <c r="J625" s="5">
        <v>1</v>
      </c>
      <c r="K625" s="8">
        <f t="shared" si="20"/>
        <v>120.79037800687284</v>
      </c>
      <c r="L625" s="8">
        <f t="shared" si="21"/>
        <v>0.14245014245014245</v>
      </c>
      <c r="M625" t="s">
        <v>20</v>
      </c>
      <c r="N625" t="s">
        <v>21</v>
      </c>
    </row>
    <row r="626" spans="1:14" x14ac:dyDescent="0.3">
      <c r="A626" t="s">
        <v>1684</v>
      </c>
      <c r="B626" s="2">
        <v>46253</v>
      </c>
      <c r="C626" s="2">
        <v>46253</v>
      </c>
      <c r="D626" s="1" t="s">
        <v>1685</v>
      </c>
      <c r="E626" t="s">
        <v>1686</v>
      </c>
      <c r="F626" t="s">
        <v>97</v>
      </c>
      <c r="G626" s="5">
        <v>88</v>
      </c>
      <c r="H626" s="5">
        <v>88</v>
      </c>
      <c r="I626" s="5">
        <v>87</v>
      </c>
      <c r="J626" s="5">
        <v>1</v>
      </c>
      <c r="K626" s="8">
        <f t="shared" si="20"/>
        <v>100</v>
      </c>
      <c r="L626" s="8">
        <f t="shared" si="21"/>
        <v>1.1494252873563218</v>
      </c>
      <c r="M626" t="s">
        <v>20</v>
      </c>
      <c r="N626" t="s">
        <v>21</v>
      </c>
    </row>
    <row r="627" spans="1:14" x14ac:dyDescent="0.3">
      <c r="A627" t="s">
        <v>1687</v>
      </c>
      <c r="B627" s="2">
        <v>46252</v>
      </c>
      <c r="C627" s="2">
        <v>46253</v>
      </c>
      <c r="D627" s="1" t="s">
        <v>408</v>
      </c>
      <c r="E627" t="s">
        <v>409</v>
      </c>
      <c r="F627" t="s">
        <v>61</v>
      </c>
      <c r="G627" s="5">
        <v>182</v>
      </c>
      <c r="H627" s="5">
        <v>209</v>
      </c>
      <c r="I627" s="5">
        <v>206</v>
      </c>
      <c r="J627" s="5">
        <v>3</v>
      </c>
      <c r="K627" s="8">
        <f t="shared" si="20"/>
        <v>114.83516483516483</v>
      </c>
      <c r="L627" s="8">
        <f t="shared" si="21"/>
        <v>1.4563106796116505</v>
      </c>
      <c r="M627" t="s">
        <v>20</v>
      </c>
      <c r="N627" t="s">
        <v>21</v>
      </c>
    </row>
    <row r="628" spans="1:14" x14ac:dyDescent="0.3">
      <c r="A628" t="s">
        <v>1688</v>
      </c>
      <c r="B628" s="2">
        <v>46241</v>
      </c>
      <c r="C628" s="2">
        <v>46241</v>
      </c>
      <c r="D628" s="1" t="s">
        <v>1245</v>
      </c>
      <c r="E628" t="s">
        <v>1246</v>
      </c>
      <c r="F628" t="s">
        <v>46</v>
      </c>
      <c r="G628" s="5">
        <v>100</v>
      </c>
      <c r="H628" s="5">
        <v>108</v>
      </c>
      <c r="I628" s="5">
        <v>108</v>
      </c>
      <c r="J628" s="5">
        <v>0</v>
      </c>
      <c r="K628" s="8">
        <f t="shared" si="20"/>
        <v>108</v>
      </c>
      <c r="L628" s="8">
        <f t="shared" si="21"/>
        <v>0</v>
      </c>
      <c r="M628" t="s">
        <v>20</v>
      </c>
      <c r="N628" t="s">
        <v>21</v>
      </c>
    </row>
    <row r="629" spans="1:14" x14ac:dyDescent="0.3">
      <c r="A629" t="s">
        <v>1278</v>
      </c>
      <c r="B629" s="2">
        <v>46238</v>
      </c>
      <c r="C629" s="2">
        <v>46240</v>
      </c>
      <c r="D629" s="1" t="s">
        <v>412</v>
      </c>
      <c r="E629" t="s">
        <v>413</v>
      </c>
      <c r="F629" t="s">
        <v>97</v>
      </c>
      <c r="G629" s="5">
        <v>600</v>
      </c>
      <c r="H629" s="5">
        <v>626</v>
      </c>
      <c r="I629" s="5">
        <v>624</v>
      </c>
      <c r="J629" s="5">
        <v>2</v>
      </c>
      <c r="K629" s="8">
        <f t="shared" si="20"/>
        <v>104.33333333333333</v>
      </c>
      <c r="L629" s="8">
        <f t="shared" si="21"/>
        <v>0.32051282051282048</v>
      </c>
      <c r="M629" t="s">
        <v>20</v>
      </c>
      <c r="N629" t="s">
        <v>21</v>
      </c>
    </row>
    <row r="630" spans="1:14" x14ac:dyDescent="0.3">
      <c r="A630" t="s">
        <v>1689</v>
      </c>
      <c r="B630" s="2">
        <v>46240</v>
      </c>
      <c r="C630" s="2">
        <v>46241</v>
      </c>
      <c r="D630" s="1" t="s">
        <v>412</v>
      </c>
      <c r="E630" t="s">
        <v>413</v>
      </c>
      <c r="F630" t="s">
        <v>97</v>
      </c>
      <c r="G630" s="5">
        <v>600</v>
      </c>
      <c r="H630" s="5">
        <v>640</v>
      </c>
      <c r="I630" s="5">
        <v>636</v>
      </c>
      <c r="J630" s="5">
        <v>4</v>
      </c>
      <c r="K630" s="8">
        <f t="shared" si="20"/>
        <v>106.66666666666667</v>
      </c>
      <c r="L630" s="8">
        <f t="shared" si="21"/>
        <v>0.62893081761006298</v>
      </c>
      <c r="M630" t="s">
        <v>20</v>
      </c>
      <c r="N630" t="s">
        <v>21</v>
      </c>
    </row>
    <row r="631" spans="1:14" x14ac:dyDescent="0.3">
      <c r="A631" t="s">
        <v>1690</v>
      </c>
      <c r="B631" s="2">
        <v>46245</v>
      </c>
      <c r="C631" s="2">
        <v>46246</v>
      </c>
      <c r="D631" s="1" t="s">
        <v>412</v>
      </c>
      <c r="E631" t="s">
        <v>413</v>
      </c>
      <c r="F631" t="s">
        <v>97</v>
      </c>
      <c r="G631" s="5">
        <v>300</v>
      </c>
      <c r="H631" s="5">
        <v>312</v>
      </c>
      <c r="I631" s="5">
        <v>312</v>
      </c>
      <c r="J631" s="5">
        <v>0</v>
      </c>
      <c r="K631" s="8">
        <f t="shared" si="20"/>
        <v>104</v>
      </c>
      <c r="L631" s="8">
        <f t="shared" si="21"/>
        <v>0</v>
      </c>
      <c r="M631" t="s">
        <v>20</v>
      </c>
      <c r="N631" t="s">
        <v>21</v>
      </c>
    </row>
    <row r="632" spans="1:14" x14ac:dyDescent="0.3">
      <c r="A632" t="s">
        <v>1691</v>
      </c>
      <c r="B632" s="2">
        <v>46247</v>
      </c>
      <c r="C632" s="2">
        <v>46248</v>
      </c>
      <c r="D632" s="1" t="s">
        <v>412</v>
      </c>
      <c r="E632" t="s">
        <v>413</v>
      </c>
      <c r="F632" t="s">
        <v>97</v>
      </c>
      <c r="G632" s="5">
        <v>300</v>
      </c>
      <c r="H632" s="5">
        <v>324</v>
      </c>
      <c r="I632" s="5">
        <v>324</v>
      </c>
      <c r="J632" s="5">
        <v>0</v>
      </c>
      <c r="K632" s="8">
        <f t="shared" si="20"/>
        <v>108</v>
      </c>
      <c r="L632" s="8">
        <f t="shared" si="21"/>
        <v>0</v>
      </c>
      <c r="M632" t="s">
        <v>20</v>
      </c>
      <c r="N632" t="s">
        <v>21</v>
      </c>
    </row>
    <row r="633" spans="1:14" x14ac:dyDescent="0.3">
      <c r="A633" t="s">
        <v>1692</v>
      </c>
      <c r="B633" s="2">
        <v>46252</v>
      </c>
      <c r="C633" s="2">
        <v>46253</v>
      </c>
      <c r="D633" s="1" t="s">
        <v>412</v>
      </c>
      <c r="E633" t="s">
        <v>413</v>
      </c>
      <c r="F633" t="s">
        <v>97</v>
      </c>
      <c r="G633" s="5">
        <v>300</v>
      </c>
      <c r="H633" s="5">
        <v>312</v>
      </c>
      <c r="I633" s="5">
        <v>312</v>
      </c>
      <c r="J633" s="5">
        <v>0</v>
      </c>
      <c r="K633" s="8">
        <f t="shared" si="20"/>
        <v>104</v>
      </c>
      <c r="L633" s="8">
        <f t="shared" si="21"/>
        <v>0</v>
      </c>
      <c r="M633" t="s">
        <v>20</v>
      </c>
      <c r="N633" t="s">
        <v>21</v>
      </c>
    </row>
    <row r="635" spans="1:14" x14ac:dyDescent="0.3">
      <c r="A635" t="s">
        <v>416</v>
      </c>
    </row>
    <row r="636" spans="1:14" x14ac:dyDescent="0.3">
      <c r="A636" s="3" t="s">
        <v>2</v>
      </c>
      <c r="B636" s="3" t="s">
        <v>3</v>
      </c>
      <c r="C636" s="3" t="s">
        <v>4</v>
      </c>
      <c r="D636" s="4" t="s">
        <v>5</v>
      </c>
      <c r="E636" s="3" t="s">
        <v>6</v>
      </c>
      <c r="F636" s="3" t="s">
        <v>7</v>
      </c>
      <c r="G636" s="6" t="s">
        <v>8</v>
      </c>
      <c r="H636" s="6" t="s">
        <v>9</v>
      </c>
      <c r="I636" s="6" t="s">
        <v>10</v>
      </c>
      <c r="J636" s="6" t="s">
        <v>11</v>
      </c>
      <c r="K636" s="6" t="s">
        <v>12</v>
      </c>
      <c r="L636" s="6" t="s">
        <v>13</v>
      </c>
      <c r="M636" s="3" t="s">
        <v>14</v>
      </c>
      <c r="N636" s="3" t="s">
        <v>15</v>
      </c>
    </row>
    <row r="637" spans="1:14" x14ac:dyDescent="0.3">
      <c r="A637" t="s">
        <v>417</v>
      </c>
      <c r="B637" s="2">
        <v>46226</v>
      </c>
      <c r="C637" s="2">
        <v>46231</v>
      </c>
      <c r="D637" s="1" t="s">
        <v>418</v>
      </c>
      <c r="E637" t="s">
        <v>419</v>
      </c>
      <c r="F637" t="s">
        <v>420</v>
      </c>
      <c r="G637" s="5">
        <v>32</v>
      </c>
      <c r="H637" s="5">
        <v>36</v>
      </c>
      <c r="I637" s="5">
        <v>36</v>
      </c>
      <c r="J637" s="5">
        <v>0</v>
      </c>
      <c r="K637" s="8">
        <f t="shared" ref="K637:K700" si="22">(H637/G637)*100</f>
        <v>112.5</v>
      </c>
      <c r="L637" s="8">
        <f>((H637-I637)/I637)*100</f>
        <v>0</v>
      </c>
      <c r="M637" t="s">
        <v>20</v>
      </c>
      <c r="N637" t="s">
        <v>421</v>
      </c>
    </row>
    <row r="638" spans="1:14" x14ac:dyDescent="0.3">
      <c r="A638" t="s">
        <v>422</v>
      </c>
      <c r="B638" s="2">
        <v>46216</v>
      </c>
      <c r="C638" s="2">
        <v>46217</v>
      </c>
      <c r="D638" s="1" t="s">
        <v>423</v>
      </c>
      <c r="E638" t="s">
        <v>424</v>
      </c>
      <c r="F638" t="s">
        <v>425</v>
      </c>
      <c r="G638" s="5">
        <v>528</v>
      </c>
      <c r="H638" s="5">
        <v>503</v>
      </c>
      <c r="I638" s="5">
        <v>497</v>
      </c>
      <c r="J638" s="5">
        <v>6</v>
      </c>
      <c r="K638" s="8">
        <f t="shared" si="22"/>
        <v>95.265151515151516</v>
      </c>
      <c r="L638" s="8">
        <f t="shared" ref="L638:L701" si="23">((H638-I638)/I638)*100</f>
        <v>1.2072434607645874</v>
      </c>
      <c r="M638" t="s">
        <v>20</v>
      </c>
      <c r="N638" t="s">
        <v>421</v>
      </c>
    </row>
    <row r="639" spans="1:14" x14ac:dyDescent="0.3">
      <c r="A639" t="s">
        <v>426</v>
      </c>
      <c r="B639" s="2">
        <v>46217</v>
      </c>
      <c r="C639" s="2">
        <v>46218</v>
      </c>
      <c r="D639" s="1" t="s">
        <v>423</v>
      </c>
      <c r="E639" t="s">
        <v>424</v>
      </c>
      <c r="F639" t="s">
        <v>425</v>
      </c>
      <c r="G639" s="5">
        <v>792</v>
      </c>
      <c r="H639" s="5">
        <v>689</v>
      </c>
      <c r="I639" s="5">
        <v>686</v>
      </c>
      <c r="J639" s="5">
        <v>3</v>
      </c>
      <c r="K639" s="8">
        <f t="shared" si="22"/>
        <v>86.994949494949495</v>
      </c>
      <c r="L639" s="8">
        <f t="shared" si="23"/>
        <v>0.43731778425655976</v>
      </c>
      <c r="M639" t="s">
        <v>20</v>
      </c>
      <c r="N639" t="s">
        <v>421</v>
      </c>
    </row>
    <row r="640" spans="1:14" x14ac:dyDescent="0.3">
      <c r="A640" t="s">
        <v>427</v>
      </c>
      <c r="B640" s="2">
        <v>46218</v>
      </c>
      <c r="C640" s="2">
        <v>46219</v>
      </c>
      <c r="D640" s="1" t="s">
        <v>423</v>
      </c>
      <c r="E640" t="s">
        <v>424</v>
      </c>
      <c r="F640" t="s">
        <v>425</v>
      </c>
      <c r="G640" s="5">
        <v>528</v>
      </c>
      <c r="H640" s="5">
        <v>485</v>
      </c>
      <c r="I640" s="5">
        <v>455</v>
      </c>
      <c r="J640" s="5">
        <v>30</v>
      </c>
      <c r="K640" s="8">
        <f t="shared" si="22"/>
        <v>91.856060606060609</v>
      </c>
      <c r="L640" s="8">
        <f t="shared" si="23"/>
        <v>6.593406593406594</v>
      </c>
      <c r="M640" t="s">
        <v>20</v>
      </c>
      <c r="N640" t="s">
        <v>421</v>
      </c>
    </row>
    <row r="641" spans="1:14" x14ac:dyDescent="0.3">
      <c r="A641" t="s">
        <v>428</v>
      </c>
      <c r="B641" s="2">
        <v>46219</v>
      </c>
      <c r="C641" s="2">
        <v>46220</v>
      </c>
      <c r="D641" s="1" t="s">
        <v>423</v>
      </c>
      <c r="E641" t="s">
        <v>424</v>
      </c>
      <c r="F641" t="s">
        <v>425</v>
      </c>
      <c r="G641" s="5">
        <v>792</v>
      </c>
      <c r="H641" s="5">
        <v>696</v>
      </c>
      <c r="I641" s="5">
        <v>686</v>
      </c>
      <c r="J641" s="5">
        <v>10</v>
      </c>
      <c r="K641" s="8">
        <f t="shared" si="22"/>
        <v>87.878787878787875</v>
      </c>
      <c r="L641" s="8">
        <f t="shared" si="23"/>
        <v>1.4577259475218658</v>
      </c>
      <c r="M641" t="s">
        <v>20</v>
      </c>
      <c r="N641" t="s">
        <v>421</v>
      </c>
    </row>
    <row r="642" spans="1:14" x14ac:dyDescent="0.3">
      <c r="A642" t="s">
        <v>429</v>
      </c>
      <c r="B642" s="2">
        <v>46221</v>
      </c>
      <c r="C642" s="2">
        <v>46223</v>
      </c>
      <c r="D642" s="1" t="s">
        <v>423</v>
      </c>
      <c r="E642" t="s">
        <v>424</v>
      </c>
      <c r="F642" t="s">
        <v>425</v>
      </c>
      <c r="G642" s="5">
        <v>792</v>
      </c>
      <c r="H642" s="5">
        <v>604</v>
      </c>
      <c r="I642" s="5">
        <v>572</v>
      </c>
      <c r="J642" s="5">
        <v>32</v>
      </c>
      <c r="K642" s="8">
        <f t="shared" si="22"/>
        <v>76.26262626262627</v>
      </c>
      <c r="L642" s="8">
        <f t="shared" si="23"/>
        <v>5.5944055944055942</v>
      </c>
      <c r="M642" t="s">
        <v>20</v>
      </c>
      <c r="N642" t="s">
        <v>421</v>
      </c>
    </row>
    <row r="643" spans="1:14" x14ac:dyDescent="0.3">
      <c r="A643" t="s">
        <v>430</v>
      </c>
      <c r="B643" s="2">
        <v>46223</v>
      </c>
      <c r="C643" s="2">
        <v>46224</v>
      </c>
      <c r="D643" s="1" t="s">
        <v>423</v>
      </c>
      <c r="E643" t="s">
        <v>424</v>
      </c>
      <c r="F643" t="s">
        <v>425</v>
      </c>
      <c r="G643" s="5">
        <v>528</v>
      </c>
      <c r="H643" s="5">
        <v>513</v>
      </c>
      <c r="I643" s="5">
        <v>504</v>
      </c>
      <c r="J643" s="5">
        <v>9</v>
      </c>
      <c r="K643" s="8">
        <f t="shared" si="22"/>
        <v>97.159090909090907</v>
      </c>
      <c r="L643" s="8">
        <f t="shared" si="23"/>
        <v>1.7857142857142856</v>
      </c>
      <c r="M643" t="s">
        <v>20</v>
      </c>
      <c r="N643" t="s">
        <v>421</v>
      </c>
    </row>
    <row r="644" spans="1:14" x14ac:dyDescent="0.3">
      <c r="A644" t="s">
        <v>431</v>
      </c>
      <c r="B644" s="2">
        <v>46225</v>
      </c>
      <c r="C644" s="2">
        <v>46226</v>
      </c>
      <c r="D644" s="1" t="s">
        <v>423</v>
      </c>
      <c r="E644" t="s">
        <v>424</v>
      </c>
      <c r="F644" t="s">
        <v>425</v>
      </c>
      <c r="G644" s="5">
        <v>528</v>
      </c>
      <c r="H644" s="5">
        <v>513</v>
      </c>
      <c r="I644" s="5">
        <v>511</v>
      </c>
      <c r="J644" s="5">
        <v>2</v>
      </c>
      <c r="K644" s="8">
        <f t="shared" si="22"/>
        <v>97.159090909090907</v>
      </c>
      <c r="L644" s="8">
        <f t="shared" si="23"/>
        <v>0.39138943248532287</v>
      </c>
      <c r="M644" t="s">
        <v>20</v>
      </c>
      <c r="N644" t="s">
        <v>421</v>
      </c>
    </row>
    <row r="645" spans="1:14" x14ac:dyDescent="0.3">
      <c r="A645" t="s">
        <v>432</v>
      </c>
      <c r="B645" s="2">
        <v>46227</v>
      </c>
      <c r="C645" s="2">
        <v>46231</v>
      </c>
      <c r="D645" s="1" t="s">
        <v>423</v>
      </c>
      <c r="E645" t="s">
        <v>424</v>
      </c>
      <c r="F645" t="s">
        <v>425</v>
      </c>
      <c r="G645" s="5">
        <v>792</v>
      </c>
      <c r="H645" s="5">
        <v>686</v>
      </c>
      <c r="I645" s="5">
        <v>686</v>
      </c>
      <c r="J645" s="5">
        <v>0</v>
      </c>
      <c r="K645" s="8">
        <f t="shared" si="22"/>
        <v>86.616161616161619</v>
      </c>
      <c r="L645" s="8">
        <f t="shared" si="23"/>
        <v>0</v>
      </c>
      <c r="M645" t="s">
        <v>20</v>
      </c>
      <c r="N645" t="s">
        <v>421</v>
      </c>
    </row>
    <row r="646" spans="1:14" x14ac:dyDescent="0.3">
      <c r="A646" t="s">
        <v>433</v>
      </c>
      <c r="B646" s="2">
        <v>46230</v>
      </c>
      <c r="C646" s="2">
        <v>46231</v>
      </c>
      <c r="D646" s="1" t="s">
        <v>423</v>
      </c>
      <c r="E646" t="s">
        <v>424</v>
      </c>
      <c r="F646" t="s">
        <v>425</v>
      </c>
      <c r="G646" s="5">
        <v>264</v>
      </c>
      <c r="H646" s="5">
        <v>212</v>
      </c>
      <c r="I646" s="5">
        <v>196</v>
      </c>
      <c r="J646" s="5">
        <v>16</v>
      </c>
      <c r="K646" s="8">
        <f t="shared" si="22"/>
        <v>80.303030303030297</v>
      </c>
      <c r="L646" s="8">
        <f t="shared" si="23"/>
        <v>8.1632653061224492</v>
      </c>
      <c r="M646" t="s">
        <v>20</v>
      </c>
      <c r="N646" t="s">
        <v>421</v>
      </c>
    </row>
    <row r="647" spans="1:14" x14ac:dyDescent="0.3">
      <c r="A647" t="s">
        <v>434</v>
      </c>
      <c r="B647" s="2">
        <v>46231</v>
      </c>
      <c r="C647" s="2">
        <v>46232</v>
      </c>
      <c r="D647" s="1" t="s">
        <v>423</v>
      </c>
      <c r="E647" t="s">
        <v>424</v>
      </c>
      <c r="F647" t="s">
        <v>425</v>
      </c>
      <c r="G647" s="5">
        <v>792</v>
      </c>
      <c r="H647" s="5">
        <v>671</v>
      </c>
      <c r="I647" s="5">
        <v>637</v>
      </c>
      <c r="J647" s="5">
        <v>34</v>
      </c>
      <c r="K647" s="8">
        <f t="shared" si="22"/>
        <v>84.722222222222214</v>
      </c>
      <c r="L647" s="8">
        <f t="shared" si="23"/>
        <v>5.3375196232339093</v>
      </c>
      <c r="M647" t="s">
        <v>20</v>
      </c>
      <c r="N647" t="s">
        <v>421</v>
      </c>
    </row>
    <row r="648" spans="1:14" x14ac:dyDescent="0.3">
      <c r="A648" t="s">
        <v>435</v>
      </c>
      <c r="B648" s="2">
        <v>46216</v>
      </c>
      <c r="C648" s="2">
        <v>46217</v>
      </c>
      <c r="D648" s="1" t="s">
        <v>436</v>
      </c>
      <c r="E648" t="s">
        <v>437</v>
      </c>
      <c r="F648" t="s">
        <v>438</v>
      </c>
      <c r="G648" s="5">
        <v>334</v>
      </c>
      <c r="H648" s="5">
        <v>332</v>
      </c>
      <c r="I648" s="5">
        <v>330</v>
      </c>
      <c r="J648" s="5">
        <v>2</v>
      </c>
      <c r="K648" s="8">
        <f t="shared" si="22"/>
        <v>99.401197604790411</v>
      </c>
      <c r="L648" s="8">
        <f t="shared" si="23"/>
        <v>0.60606060606060608</v>
      </c>
      <c r="M648" t="s">
        <v>20</v>
      </c>
      <c r="N648" t="s">
        <v>421</v>
      </c>
    </row>
    <row r="649" spans="1:14" x14ac:dyDescent="0.3">
      <c r="A649" t="s">
        <v>439</v>
      </c>
      <c r="B649" s="2">
        <v>46217</v>
      </c>
      <c r="C649" s="2">
        <v>46218</v>
      </c>
      <c r="D649" s="1" t="s">
        <v>436</v>
      </c>
      <c r="E649" t="s">
        <v>437</v>
      </c>
      <c r="F649" t="s">
        <v>438</v>
      </c>
      <c r="G649" s="5">
        <v>334</v>
      </c>
      <c r="H649" s="5">
        <v>340</v>
      </c>
      <c r="I649" s="5">
        <v>340</v>
      </c>
      <c r="J649" s="5">
        <v>0</v>
      </c>
      <c r="K649" s="8">
        <f t="shared" si="22"/>
        <v>101.79640718562875</v>
      </c>
      <c r="L649" s="8">
        <f t="shared" si="23"/>
        <v>0</v>
      </c>
      <c r="M649" t="s">
        <v>20</v>
      </c>
      <c r="N649" t="s">
        <v>421</v>
      </c>
    </row>
    <row r="650" spans="1:14" x14ac:dyDescent="0.3">
      <c r="A650" t="s">
        <v>440</v>
      </c>
      <c r="B650" s="2">
        <v>46218</v>
      </c>
      <c r="C650" s="2">
        <v>46219</v>
      </c>
      <c r="D650" s="1" t="s">
        <v>436</v>
      </c>
      <c r="E650" t="s">
        <v>437</v>
      </c>
      <c r="F650" t="s">
        <v>438</v>
      </c>
      <c r="G650" s="5">
        <v>501</v>
      </c>
      <c r="H650" s="5">
        <v>528</v>
      </c>
      <c r="I650" s="5">
        <v>525</v>
      </c>
      <c r="J650" s="5">
        <v>3</v>
      </c>
      <c r="K650" s="8">
        <f t="shared" si="22"/>
        <v>105.38922155688624</v>
      </c>
      <c r="L650" s="8">
        <f t="shared" si="23"/>
        <v>0.5714285714285714</v>
      </c>
      <c r="M650" t="s">
        <v>20</v>
      </c>
      <c r="N650" t="s">
        <v>421</v>
      </c>
    </row>
    <row r="651" spans="1:14" x14ac:dyDescent="0.3">
      <c r="A651" t="s">
        <v>441</v>
      </c>
      <c r="B651" s="2">
        <v>46219</v>
      </c>
      <c r="C651" s="2">
        <v>46220</v>
      </c>
      <c r="D651" s="1" t="s">
        <v>436</v>
      </c>
      <c r="E651" t="s">
        <v>437</v>
      </c>
      <c r="F651" t="s">
        <v>438</v>
      </c>
      <c r="G651" s="5">
        <v>501</v>
      </c>
      <c r="H651" s="5">
        <v>473</v>
      </c>
      <c r="I651" s="5">
        <v>470</v>
      </c>
      <c r="J651" s="5">
        <v>3</v>
      </c>
      <c r="K651" s="8">
        <f t="shared" si="22"/>
        <v>94.411177644710577</v>
      </c>
      <c r="L651" s="8">
        <f t="shared" si="23"/>
        <v>0.63829787234042545</v>
      </c>
      <c r="M651" t="s">
        <v>20</v>
      </c>
      <c r="N651" t="s">
        <v>421</v>
      </c>
    </row>
    <row r="652" spans="1:14" x14ac:dyDescent="0.3">
      <c r="A652" t="s">
        <v>442</v>
      </c>
      <c r="B652" s="2">
        <v>46221</v>
      </c>
      <c r="C652" s="2">
        <v>46223</v>
      </c>
      <c r="D652" s="1" t="s">
        <v>436</v>
      </c>
      <c r="E652" t="s">
        <v>437</v>
      </c>
      <c r="F652" t="s">
        <v>438</v>
      </c>
      <c r="G652" s="5">
        <v>334</v>
      </c>
      <c r="H652" s="5">
        <v>247</v>
      </c>
      <c r="I652" s="5">
        <v>235</v>
      </c>
      <c r="J652" s="5">
        <v>12</v>
      </c>
      <c r="K652" s="8">
        <f t="shared" si="22"/>
        <v>73.952095808383234</v>
      </c>
      <c r="L652" s="8">
        <f t="shared" si="23"/>
        <v>5.1063829787234036</v>
      </c>
      <c r="M652" t="s">
        <v>20</v>
      </c>
      <c r="N652" t="s">
        <v>421</v>
      </c>
    </row>
    <row r="653" spans="1:14" x14ac:dyDescent="0.3">
      <c r="A653" t="s">
        <v>443</v>
      </c>
      <c r="B653" s="2">
        <v>46223</v>
      </c>
      <c r="C653" s="2">
        <v>46224</v>
      </c>
      <c r="D653" s="1" t="s">
        <v>436</v>
      </c>
      <c r="E653" t="s">
        <v>437</v>
      </c>
      <c r="F653" t="s">
        <v>438</v>
      </c>
      <c r="G653" s="5">
        <v>334</v>
      </c>
      <c r="H653" s="5">
        <v>350</v>
      </c>
      <c r="I653" s="5">
        <v>350</v>
      </c>
      <c r="J653" s="5">
        <v>0</v>
      </c>
      <c r="K653" s="8">
        <f t="shared" si="22"/>
        <v>104.79041916167664</v>
      </c>
      <c r="L653" s="8">
        <f t="shared" si="23"/>
        <v>0</v>
      </c>
      <c r="M653" t="s">
        <v>20</v>
      </c>
      <c r="N653" t="s">
        <v>421</v>
      </c>
    </row>
    <row r="654" spans="1:14" x14ac:dyDescent="0.3">
      <c r="A654" t="s">
        <v>444</v>
      </c>
      <c r="B654" s="2">
        <v>46225</v>
      </c>
      <c r="C654" s="2">
        <v>46226</v>
      </c>
      <c r="D654" s="1" t="s">
        <v>436</v>
      </c>
      <c r="E654" t="s">
        <v>437</v>
      </c>
      <c r="F654" t="s">
        <v>438</v>
      </c>
      <c r="G654" s="5">
        <v>334</v>
      </c>
      <c r="H654" s="5">
        <v>339</v>
      </c>
      <c r="I654" s="5">
        <v>265</v>
      </c>
      <c r="J654" s="5">
        <v>74</v>
      </c>
      <c r="K654" s="8">
        <f t="shared" si="22"/>
        <v>101.49700598802396</v>
      </c>
      <c r="L654" s="8">
        <f t="shared" si="23"/>
        <v>27.924528301886792</v>
      </c>
      <c r="M654" t="s">
        <v>20</v>
      </c>
      <c r="N654" t="s">
        <v>421</v>
      </c>
    </row>
    <row r="655" spans="1:14" x14ac:dyDescent="0.3">
      <c r="A655" t="s">
        <v>445</v>
      </c>
      <c r="B655" s="2">
        <v>46226</v>
      </c>
      <c r="C655" s="2">
        <v>46227</v>
      </c>
      <c r="D655" s="1" t="s">
        <v>436</v>
      </c>
      <c r="E655" t="s">
        <v>437</v>
      </c>
      <c r="F655" t="s">
        <v>438</v>
      </c>
      <c r="G655" s="5">
        <v>501</v>
      </c>
      <c r="H655" s="5">
        <v>515</v>
      </c>
      <c r="I655" s="5">
        <v>435</v>
      </c>
      <c r="J655" s="5">
        <v>80</v>
      </c>
      <c r="K655" s="8">
        <f t="shared" si="22"/>
        <v>102.79441117764472</v>
      </c>
      <c r="L655" s="8">
        <f t="shared" si="23"/>
        <v>18.390804597701148</v>
      </c>
      <c r="M655" t="s">
        <v>20</v>
      </c>
      <c r="N655" t="s">
        <v>421</v>
      </c>
    </row>
    <row r="656" spans="1:14" x14ac:dyDescent="0.3">
      <c r="A656" t="s">
        <v>446</v>
      </c>
      <c r="B656" s="2">
        <v>46227</v>
      </c>
      <c r="C656" s="2">
        <v>46228</v>
      </c>
      <c r="D656" s="1" t="s">
        <v>436</v>
      </c>
      <c r="E656" t="s">
        <v>437</v>
      </c>
      <c r="F656" t="s">
        <v>438</v>
      </c>
      <c r="G656" s="5">
        <v>334</v>
      </c>
      <c r="H656" s="5">
        <v>525</v>
      </c>
      <c r="I656" s="5">
        <v>515</v>
      </c>
      <c r="J656" s="5">
        <v>10</v>
      </c>
      <c r="K656" s="8">
        <f t="shared" si="22"/>
        <v>157.18562874251495</v>
      </c>
      <c r="L656" s="8">
        <f t="shared" si="23"/>
        <v>1.9417475728155338</v>
      </c>
      <c r="M656" t="s">
        <v>20</v>
      </c>
      <c r="N656" t="s">
        <v>421</v>
      </c>
    </row>
    <row r="657" spans="1:14" x14ac:dyDescent="0.3">
      <c r="A657" t="s">
        <v>447</v>
      </c>
      <c r="B657" s="2">
        <v>46230</v>
      </c>
      <c r="C657" s="2">
        <v>46231</v>
      </c>
      <c r="D657" s="1" t="s">
        <v>436</v>
      </c>
      <c r="E657" t="s">
        <v>437</v>
      </c>
      <c r="F657" t="s">
        <v>438</v>
      </c>
      <c r="G657" s="5">
        <v>167</v>
      </c>
      <c r="H657" s="5">
        <v>176</v>
      </c>
      <c r="I657" s="5">
        <v>175</v>
      </c>
      <c r="J657" s="5">
        <v>1</v>
      </c>
      <c r="K657" s="8">
        <f t="shared" si="22"/>
        <v>105.38922155688624</v>
      </c>
      <c r="L657" s="8">
        <f t="shared" si="23"/>
        <v>0.5714285714285714</v>
      </c>
      <c r="M657" t="s">
        <v>20</v>
      </c>
      <c r="N657" t="s">
        <v>421</v>
      </c>
    </row>
    <row r="658" spans="1:14" x14ac:dyDescent="0.3">
      <c r="A658" t="s">
        <v>448</v>
      </c>
      <c r="B658" s="2">
        <v>46231</v>
      </c>
      <c r="C658" s="2">
        <v>46232</v>
      </c>
      <c r="D658" s="1" t="s">
        <v>436</v>
      </c>
      <c r="E658" t="s">
        <v>437</v>
      </c>
      <c r="F658" t="s">
        <v>438</v>
      </c>
      <c r="G658" s="5">
        <v>501</v>
      </c>
      <c r="H658" s="5">
        <v>501</v>
      </c>
      <c r="I658" s="5">
        <v>495</v>
      </c>
      <c r="J658" s="5">
        <v>6</v>
      </c>
      <c r="K658" s="8">
        <f t="shared" si="22"/>
        <v>100</v>
      </c>
      <c r="L658" s="8">
        <f t="shared" si="23"/>
        <v>1.2121212121212122</v>
      </c>
      <c r="M658" t="s">
        <v>20</v>
      </c>
      <c r="N658" t="s">
        <v>421</v>
      </c>
    </row>
    <row r="659" spans="1:14" x14ac:dyDescent="0.3">
      <c r="A659" t="s">
        <v>449</v>
      </c>
      <c r="B659" s="2">
        <v>46232</v>
      </c>
      <c r="C659" s="2">
        <v>46233</v>
      </c>
      <c r="D659" s="1" t="s">
        <v>436</v>
      </c>
      <c r="E659" t="s">
        <v>437</v>
      </c>
      <c r="F659" t="s">
        <v>438</v>
      </c>
      <c r="G659" s="5">
        <v>334</v>
      </c>
      <c r="H659" s="5">
        <v>338</v>
      </c>
      <c r="I659" s="5">
        <v>330</v>
      </c>
      <c r="J659" s="5">
        <v>8</v>
      </c>
      <c r="K659" s="8">
        <f t="shared" si="22"/>
        <v>101.19760479041918</v>
      </c>
      <c r="L659" s="8">
        <f t="shared" si="23"/>
        <v>2.4242424242424243</v>
      </c>
      <c r="M659" t="s">
        <v>20</v>
      </c>
      <c r="N659" t="s">
        <v>421</v>
      </c>
    </row>
    <row r="660" spans="1:14" x14ac:dyDescent="0.3">
      <c r="A660" t="s">
        <v>450</v>
      </c>
      <c r="B660" s="2">
        <v>46216</v>
      </c>
      <c r="C660" s="2">
        <v>46217</v>
      </c>
      <c r="D660" s="1" t="s">
        <v>451</v>
      </c>
      <c r="E660" t="s">
        <v>452</v>
      </c>
      <c r="F660" t="s">
        <v>425</v>
      </c>
      <c r="G660" s="5">
        <v>1152</v>
      </c>
      <c r="H660" s="5">
        <v>1010</v>
      </c>
      <c r="I660" s="5">
        <v>1010</v>
      </c>
      <c r="J660" s="5">
        <v>0</v>
      </c>
      <c r="K660" s="8">
        <f t="shared" si="22"/>
        <v>87.673611111111114</v>
      </c>
      <c r="L660" s="8">
        <f t="shared" si="23"/>
        <v>0</v>
      </c>
      <c r="M660" t="s">
        <v>20</v>
      </c>
      <c r="N660" t="s">
        <v>421</v>
      </c>
    </row>
    <row r="661" spans="1:14" x14ac:dyDescent="0.3">
      <c r="A661" t="s">
        <v>453</v>
      </c>
      <c r="B661" s="2">
        <v>46217</v>
      </c>
      <c r="C661" s="2">
        <v>46218</v>
      </c>
      <c r="D661" s="1" t="s">
        <v>451</v>
      </c>
      <c r="E661" t="s">
        <v>452</v>
      </c>
      <c r="F661" t="s">
        <v>425</v>
      </c>
      <c r="G661" s="5">
        <v>1152</v>
      </c>
      <c r="H661" s="5">
        <v>1081</v>
      </c>
      <c r="I661" s="5">
        <v>1040</v>
      </c>
      <c r="J661" s="5">
        <v>41</v>
      </c>
      <c r="K661" s="8">
        <f t="shared" si="22"/>
        <v>93.836805555555557</v>
      </c>
      <c r="L661" s="8">
        <f t="shared" si="23"/>
        <v>3.9423076923076921</v>
      </c>
      <c r="M661" t="s">
        <v>20</v>
      </c>
      <c r="N661" t="s">
        <v>421</v>
      </c>
    </row>
    <row r="662" spans="1:14" x14ac:dyDescent="0.3">
      <c r="A662" t="s">
        <v>454</v>
      </c>
      <c r="B662" s="2">
        <v>46218</v>
      </c>
      <c r="C662" s="2">
        <v>46219</v>
      </c>
      <c r="D662" s="1" t="s">
        <v>451</v>
      </c>
      <c r="E662" t="s">
        <v>452</v>
      </c>
      <c r="F662" t="s">
        <v>425</v>
      </c>
      <c r="G662" s="5">
        <v>1152</v>
      </c>
      <c r="H662" s="5">
        <v>967</v>
      </c>
      <c r="I662" s="5">
        <v>930</v>
      </c>
      <c r="J662" s="5">
        <v>37</v>
      </c>
      <c r="K662" s="8">
        <f t="shared" si="22"/>
        <v>83.940972222222214</v>
      </c>
      <c r="L662" s="8">
        <f t="shared" si="23"/>
        <v>3.978494623655914</v>
      </c>
      <c r="M662" t="s">
        <v>20</v>
      </c>
      <c r="N662" t="s">
        <v>421</v>
      </c>
    </row>
    <row r="663" spans="1:14" x14ac:dyDescent="0.3">
      <c r="A663" t="s">
        <v>455</v>
      </c>
      <c r="B663" s="2">
        <v>46219</v>
      </c>
      <c r="C663" s="2">
        <v>46220</v>
      </c>
      <c r="D663" s="1" t="s">
        <v>451</v>
      </c>
      <c r="E663" t="s">
        <v>452</v>
      </c>
      <c r="F663" t="s">
        <v>425</v>
      </c>
      <c r="G663" s="5">
        <v>2304</v>
      </c>
      <c r="H663" s="5">
        <v>2061</v>
      </c>
      <c r="I663" s="5">
        <v>1960</v>
      </c>
      <c r="J663" s="5">
        <v>101</v>
      </c>
      <c r="K663" s="8">
        <f t="shared" si="22"/>
        <v>89.453125</v>
      </c>
      <c r="L663" s="8">
        <f t="shared" si="23"/>
        <v>5.1530612244897958</v>
      </c>
      <c r="M663" t="s">
        <v>20</v>
      </c>
      <c r="N663" t="s">
        <v>421</v>
      </c>
    </row>
    <row r="664" spans="1:14" x14ac:dyDescent="0.3">
      <c r="A664" t="s">
        <v>456</v>
      </c>
      <c r="B664" s="2">
        <v>46223</v>
      </c>
      <c r="C664" s="2">
        <v>46224</v>
      </c>
      <c r="D664" s="1" t="s">
        <v>451</v>
      </c>
      <c r="E664" t="s">
        <v>452</v>
      </c>
      <c r="F664" t="s">
        <v>425</v>
      </c>
      <c r="G664" s="5">
        <v>1152</v>
      </c>
      <c r="H664" s="5">
        <v>2048</v>
      </c>
      <c r="I664" s="5">
        <v>1870</v>
      </c>
      <c r="J664" s="5">
        <v>178</v>
      </c>
      <c r="K664" s="8">
        <f t="shared" si="22"/>
        <v>177.77777777777777</v>
      </c>
      <c r="L664" s="8">
        <f t="shared" si="23"/>
        <v>9.5187165775401059</v>
      </c>
      <c r="M664" t="s">
        <v>20</v>
      </c>
      <c r="N664" t="s">
        <v>421</v>
      </c>
    </row>
    <row r="665" spans="1:14" x14ac:dyDescent="0.3">
      <c r="A665" t="s">
        <v>457</v>
      </c>
      <c r="B665" s="2">
        <v>46226</v>
      </c>
      <c r="C665" s="2">
        <v>46233</v>
      </c>
      <c r="D665" s="1" t="s">
        <v>451</v>
      </c>
      <c r="E665" t="s">
        <v>452</v>
      </c>
      <c r="F665" t="s">
        <v>425</v>
      </c>
      <c r="G665" s="5">
        <v>2304</v>
      </c>
      <c r="H665" s="5">
        <v>1617</v>
      </c>
      <c r="I665" s="5">
        <v>1460</v>
      </c>
      <c r="J665" s="5">
        <v>157</v>
      </c>
      <c r="K665" s="8">
        <f t="shared" si="22"/>
        <v>70.182291666666657</v>
      </c>
      <c r="L665" s="8">
        <f t="shared" si="23"/>
        <v>10.753424657534246</v>
      </c>
      <c r="M665" t="s">
        <v>20</v>
      </c>
      <c r="N665" t="s">
        <v>421</v>
      </c>
    </row>
    <row r="666" spans="1:14" x14ac:dyDescent="0.3">
      <c r="A666" t="s">
        <v>458</v>
      </c>
      <c r="B666" s="2">
        <v>46231</v>
      </c>
      <c r="C666" s="2">
        <v>46233</v>
      </c>
      <c r="D666" s="1" t="s">
        <v>451</v>
      </c>
      <c r="E666" t="s">
        <v>452</v>
      </c>
      <c r="F666" t="s">
        <v>425</v>
      </c>
      <c r="G666" s="5">
        <v>2304</v>
      </c>
      <c r="H666" s="5">
        <v>1460</v>
      </c>
      <c r="I666" s="5">
        <v>1324</v>
      </c>
      <c r="J666" s="5">
        <v>136</v>
      </c>
      <c r="K666" s="8">
        <f t="shared" si="22"/>
        <v>63.368055555555557</v>
      </c>
      <c r="L666" s="8">
        <f t="shared" si="23"/>
        <v>10.271903323262841</v>
      </c>
      <c r="M666" t="s">
        <v>20</v>
      </c>
      <c r="N666" t="s">
        <v>421</v>
      </c>
    </row>
    <row r="667" spans="1:14" x14ac:dyDescent="0.3">
      <c r="A667" t="s">
        <v>459</v>
      </c>
      <c r="B667" s="2">
        <v>46216</v>
      </c>
      <c r="C667" s="2">
        <v>46217</v>
      </c>
      <c r="D667" s="1" t="s">
        <v>460</v>
      </c>
      <c r="E667" t="s">
        <v>461</v>
      </c>
      <c r="F667" t="s">
        <v>425</v>
      </c>
      <c r="G667" s="5">
        <v>825</v>
      </c>
      <c r="H667" s="5">
        <v>588</v>
      </c>
      <c r="I667" s="5">
        <v>520</v>
      </c>
      <c r="J667" s="5">
        <v>68</v>
      </c>
      <c r="K667" s="8">
        <f t="shared" si="22"/>
        <v>71.27272727272728</v>
      </c>
      <c r="L667" s="8">
        <f t="shared" si="23"/>
        <v>13.076923076923078</v>
      </c>
      <c r="M667" t="s">
        <v>20</v>
      </c>
      <c r="N667" t="s">
        <v>421</v>
      </c>
    </row>
    <row r="668" spans="1:14" x14ac:dyDescent="0.3">
      <c r="A668" t="s">
        <v>462</v>
      </c>
      <c r="B668" s="2">
        <v>46218</v>
      </c>
      <c r="C668" s="2">
        <v>46219</v>
      </c>
      <c r="D668" s="1" t="s">
        <v>460</v>
      </c>
      <c r="E668" t="s">
        <v>461</v>
      </c>
      <c r="F668" t="s">
        <v>425</v>
      </c>
      <c r="G668" s="5">
        <v>825</v>
      </c>
      <c r="H668" s="5">
        <v>601</v>
      </c>
      <c r="I668" s="5">
        <v>450</v>
      </c>
      <c r="J668" s="5">
        <v>151</v>
      </c>
      <c r="K668" s="8">
        <f t="shared" si="22"/>
        <v>72.848484848484844</v>
      </c>
      <c r="L668" s="8">
        <f t="shared" si="23"/>
        <v>33.555555555555557</v>
      </c>
      <c r="M668" t="s">
        <v>20</v>
      </c>
      <c r="N668" t="s">
        <v>421</v>
      </c>
    </row>
    <row r="669" spans="1:14" x14ac:dyDescent="0.3">
      <c r="A669" t="s">
        <v>463</v>
      </c>
      <c r="B669" s="2">
        <v>46219</v>
      </c>
      <c r="C669" s="2">
        <v>46220</v>
      </c>
      <c r="D669" s="1" t="s">
        <v>460</v>
      </c>
      <c r="E669" t="s">
        <v>461</v>
      </c>
      <c r="F669" t="s">
        <v>425</v>
      </c>
      <c r="G669" s="5">
        <v>825</v>
      </c>
      <c r="H669" s="5">
        <v>552</v>
      </c>
      <c r="I669" s="5">
        <v>490</v>
      </c>
      <c r="J669" s="5">
        <v>62</v>
      </c>
      <c r="K669" s="8">
        <f t="shared" si="22"/>
        <v>66.909090909090907</v>
      </c>
      <c r="L669" s="8">
        <f t="shared" si="23"/>
        <v>12.653061224489795</v>
      </c>
      <c r="M669" t="s">
        <v>20</v>
      </c>
      <c r="N669" t="s">
        <v>421</v>
      </c>
    </row>
    <row r="670" spans="1:14" x14ac:dyDescent="0.3">
      <c r="A670" t="s">
        <v>464</v>
      </c>
      <c r="B670" s="2">
        <v>46223</v>
      </c>
      <c r="C670" s="2">
        <v>46224</v>
      </c>
      <c r="D670" s="1" t="s">
        <v>460</v>
      </c>
      <c r="E670" t="s">
        <v>461</v>
      </c>
      <c r="F670" t="s">
        <v>425</v>
      </c>
      <c r="G670" s="5">
        <v>825</v>
      </c>
      <c r="H670" s="5">
        <v>553</v>
      </c>
      <c r="I670" s="5">
        <v>480</v>
      </c>
      <c r="J670" s="5">
        <v>73</v>
      </c>
      <c r="K670" s="8">
        <f t="shared" si="22"/>
        <v>67.030303030303031</v>
      </c>
      <c r="L670" s="8">
        <f t="shared" si="23"/>
        <v>15.208333333333332</v>
      </c>
      <c r="M670" t="s">
        <v>20</v>
      </c>
      <c r="N670" t="s">
        <v>421</v>
      </c>
    </row>
    <row r="671" spans="1:14" x14ac:dyDescent="0.3">
      <c r="A671" t="s">
        <v>465</v>
      </c>
      <c r="B671" s="2">
        <v>46225</v>
      </c>
      <c r="C671" s="2">
        <v>46226</v>
      </c>
      <c r="D671" s="1" t="s">
        <v>460</v>
      </c>
      <c r="E671" t="s">
        <v>461</v>
      </c>
      <c r="F671" t="s">
        <v>425</v>
      </c>
      <c r="G671" s="5">
        <v>825</v>
      </c>
      <c r="H671" s="5">
        <v>558</v>
      </c>
      <c r="I671" s="5">
        <v>520</v>
      </c>
      <c r="J671" s="5">
        <v>38</v>
      </c>
      <c r="K671" s="8">
        <f t="shared" si="22"/>
        <v>67.63636363636364</v>
      </c>
      <c r="L671" s="8">
        <f t="shared" si="23"/>
        <v>7.3076923076923084</v>
      </c>
      <c r="M671" t="s">
        <v>20</v>
      </c>
      <c r="N671" t="s">
        <v>421</v>
      </c>
    </row>
    <row r="672" spans="1:14" x14ac:dyDescent="0.3">
      <c r="A672" t="s">
        <v>466</v>
      </c>
      <c r="B672" s="2">
        <v>46227</v>
      </c>
      <c r="C672" s="2">
        <v>46231</v>
      </c>
      <c r="D672" s="1" t="s">
        <v>460</v>
      </c>
      <c r="E672" t="s">
        <v>461</v>
      </c>
      <c r="F672" t="s">
        <v>425</v>
      </c>
      <c r="G672" s="5">
        <v>825</v>
      </c>
      <c r="H672" s="5">
        <v>522</v>
      </c>
      <c r="I672" s="5">
        <v>522</v>
      </c>
      <c r="J672" s="5">
        <v>0</v>
      </c>
      <c r="K672" s="8">
        <f t="shared" si="22"/>
        <v>63.272727272727266</v>
      </c>
      <c r="L672" s="8">
        <f t="shared" si="23"/>
        <v>0</v>
      </c>
      <c r="M672" t="s">
        <v>20</v>
      </c>
      <c r="N672" t="s">
        <v>421</v>
      </c>
    </row>
    <row r="673" spans="1:14" x14ac:dyDescent="0.3">
      <c r="A673" t="s">
        <v>467</v>
      </c>
      <c r="B673" s="2">
        <v>46225</v>
      </c>
      <c r="C673" s="2">
        <v>46226</v>
      </c>
      <c r="D673" s="1" t="s">
        <v>468</v>
      </c>
      <c r="E673" t="s">
        <v>469</v>
      </c>
      <c r="F673" t="s">
        <v>438</v>
      </c>
      <c r="G673" s="5">
        <v>540</v>
      </c>
      <c r="H673" s="5">
        <v>486</v>
      </c>
      <c r="I673" s="5">
        <v>486</v>
      </c>
      <c r="J673" s="5">
        <v>0</v>
      </c>
      <c r="K673" s="8">
        <f t="shared" si="22"/>
        <v>90</v>
      </c>
      <c r="L673" s="8">
        <f t="shared" si="23"/>
        <v>0</v>
      </c>
      <c r="M673" t="s">
        <v>20</v>
      </c>
      <c r="N673" t="s">
        <v>421</v>
      </c>
    </row>
    <row r="674" spans="1:14" x14ac:dyDescent="0.3">
      <c r="A674" t="s">
        <v>470</v>
      </c>
      <c r="B674" s="2">
        <v>46232</v>
      </c>
      <c r="C674" s="2">
        <v>46233</v>
      </c>
      <c r="D674" s="1" t="s">
        <v>468</v>
      </c>
      <c r="E674" t="s">
        <v>469</v>
      </c>
      <c r="F674" t="s">
        <v>438</v>
      </c>
      <c r="G674" s="5">
        <v>540</v>
      </c>
      <c r="H674" s="5">
        <v>513</v>
      </c>
      <c r="I674" s="5">
        <v>450</v>
      </c>
      <c r="J674" s="5">
        <v>63</v>
      </c>
      <c r="K674" s="8">
        <f t="shared" si="22"/>
        <v>95</v>
      </c>
      <c r="L674" s="8">
        <f t="shared" si="23"/>
        <v>14.000000000000002</v>
      </c>
      <c r="M674" t="s">
        <v>20</v>
      </c>
      <c r="N674" t="s">
        <v>421</v>
      </c>
    </row>
    <row r="675" spans="1:14" x14ac:dyDescent="0.3">
      <c r="A675" t="s">
        <v>471</v>
      </c>
      <c r="B675" s="2">
        <v>46218</v>
      </c>
      <c r="C675" s="2">
        <v>46219</v>
      </c>
      <c r="D675" s="1" t="s">
        <v>472</v>
      </c>
      <c r="E675" t="s">
        <v>473</v>
      </c>
      <c r="F675" t="s">
        <v>438</v>
      </c>
      <c r="G675" s="5">
        <v>254</v>
      </c>
      <c r="H675" s="5">
        <v>264</v>
      </c>
      <c r="I675" s="5">
        <v>264</v>
      </c>
      <c r="J675" s="5">
        <v>0</v>
      </c>
      <c r="K675" s="8">
        <f t="shared" si="22"/>
        <v>103.93700787401573</v>
      </c>
      <c r="L675" s="8">
        <f t="shared" si="23"/>
        <v>0</v>
      </c>
      <c r="M675" t="s">
        <v>20</v>
      </c>
      <c r="N675" t="s">
        <v>421</v>
      </c>
    </row>
    <row r="676" spans="1:14" x14ac:dyDescent="0.3">
      <c r="A676" t="s">
        <v>474</v>
      </c>
      <c r="B676" s="2">
        <v>46221</v>
      </c>
      <c r="C676" s="2">
        <v>46223</v>
      </c>
      <c r="D676" s="1" t="s">
        <v>472</v>
      </c>
      <c r="E676" t="s">
        <v>473</v>
      </c>
      <c r="F676" t="s">
        <v>438</v>
      </c>
      <c r="G676" s="5">
        <v>254</v>
      </c>
      <c r="H676" s="5">
        <v>276</v>
      </c>
      <c r="I676" s="5">
        <v>272</v>
      </c>
      <c r="J676" s="5">
        <v>4</v>
      </c>
      <c r="K676" s="8">
        <f t="shared" si="22"/>
        <v>108.66141732283465</v>
      </c>
      <c r="L676" s="8">
        <f t="shared" si="23"/>
        <v>1.4705882352941175</v>
      </c>
      <c r="M676" t="s">
        <v>20</v>
      </c>
      <c r="N676" t="s">
        <v>421</v>
      </c>
    </row>
    <row r="677" spans="1:14" x14ac:dyDescent="0.3">
      <c r="A677" t="s">
        <v>475</v>
      </c>
      <c r="B677" s="2">
        <v>46223</v>
      </c>
      <c r="C677" s="2">
        <v>46224</v>
      </c>
      <c r="D677" s="1" t="s">
        <v>472</v>
      </c>
      <c r="E677" t="s">
        <v>473</v>
      </c>
      <c r="F677" t="s">
        <v>438</v>
      </c>
      <c r="G677" s="5">
        <v>254</v>
      </c>
      <c r="H677" s="5">
        <v>266</v>
      </c>
      <c r="I677" s="5">
        <v>264</v>
      </c>
      <c r="J677" s="5">
        <v>2</v>
      </c>
      <c r="K677" s="8">
        <f t="shared" si="22"/>
        <v>104.72440944881889</v>
      </c>
      <c r="L677" s="8">
        <f t="shared" si="23"/>
        <v>0.75757575757575757</v>
      </c>
      <c r="M677" t="s">
        <v>20</v>
      </c>
      <c r="N677" t="s">
        <v>421</v>
      </c>
    </row>
    <row r="678" spans="1:14" x14ac:dyDescent="0.3">
      <c r="A678" t="s">
        <v>476</v>
      </c>
      <c r="B678" s="2">
        <v>46225</v>
      </c>
      <c r="C678" s="2">
        <v>46226</v>
      </c>
      <c r="D678" s="1" t="s">
        <v>472</v>
      </c>
      <c r="E678" t="s">
        <v>473</v>
      </c>
      <c r="F678" t="s">
        <v>438</v>
      </c>
      <c r="G678" s="5">
        <v>254</v>
      </c>
      <c r="H678" s="5">
        <v>256</v>
      </c>
      <c r="I678" s="5">
        <v>212</v>
      </c>
      <c r="J678" s="5">
        <v>44</v>
      </c>
      <c r="K678" s="8">
        <f t="shared" si="22"/>
        <v>100.78740157480314</v>
      </c>
      <c r="L678" s="8">
        <f t="shared" si="23"/>
        <v>20.754716981132077</v>
      </c>
      <c r="M678" t="s">
        <v>20</v>
      </c>
      <c r="N678" t="s">
        <v>421</v>
      </c>
    </row>
    <row r="679" spans="1:14" x14ac:dyDescent="0.3">
      <c r="A679" t="s">
        <v>477</v>
      </c>
      <c r="B679" s="2">
        <v>46226</v>
      </c>
      <c r="C679" s="2">
        <v>46227</v>
      </c>
      <c r="D679" s="1" t="s">
        <v>472</v>
      </c>
      <c r="E679" t="s">
        <v>473</v>
      </c>
      <c r="F679" t="s">
        <v>438</v>
      </c>
      <c r="G679" s="5">
        <v>254</v>
      </c>
      <c r="H679" s="5">
        <v>256</v>
      </c>
      <c r="I679" s="5">
        <v>248</v>
      </c>
      <c r="J679" s="5">
        <v>8</v>
      </c>
      <c r="K679" s="8">
        <f t="shared" si="22"/>
        <v>100.78740157480314</v>
      </c>
      <c r="L679" s="8">
        <f t="shared" si="23"/>
        <v>3.225806451612903</v>
      </c>
      <c r="M679" t="s">
        <v>20</v>
      </c>
      <c r="N679" t="s">
        <v>421</v>
      </c>
    </row>
    <row r="680" spans="1:14" x14ac:dyDescent="0.3">
      <c r="A680" t="s">
        <v>478</v>
      </c>
      <c r="B680" s="2">
        <v>46227</v>
      </c>
      <c r="C680" s="2">
        <v>46228</v>
      </c>
      <c r="D680" s="1" t="s">
        <v>472</v>
      </c>
      <c r="E680" t="s">
        <v>473</v>
      </c>
      <c r="F680" t="s">
        <v>438</v>
      </c>
      <c r="G680" s="5">
        <v>234</v>
      </c>
      <c r="H680" s="5">
        <v>231</v>
      </c>
      <c r="I680" s="5">
        <v>228</v>
      </c>
      <c r="J680" s="5">
        <v>3</v>
      </c>
      <c r="K680" s="8">
        <f t="shared" si="22"/>
        <v>98.71794871794873</v>
      </c>
      <c r="L680" s="8">
        <f t="shared" si="23"/>
        <v>1.3157894736842104</v>
      </c>
      <c r="M680" t="s">
        <v>20</v>
      </c>
      <c r="N680" t="s">
        <v>421</v>
      </c>
    </row>
    <row r="681" spans="1:14" x14ac:dyDescent="0.3">
      <c r="A681" t="s">
        <v>479</v>
      </c>
      <c r="B681" s="2">
        <v>46230</v>
      </c>
      <c r="C681" s="2">
        <v>46231</v>
      </c>
      <c r="D681" s="1" t="s">
        <v>472</v>
      </c>
      <c r="E681" t="s">
        <v>473</v>
      </c>
      <c r="F681" t="s">
        <v>438</v>
      </c>
      <c r="G681" s="5">
        <v>234</v>
      </c>
      <c r="H681" s="5">
        <v>263</v>
      </c>
      <c r="I681" s="5">
        <v>256</v>
      </c>
      <c r="J681" s="5">
        <v>7</v>
      </c>
      <c r="K681" s="8">
        <f t="shared" si="22"/>
        <v>112.3931623931624</v>
      </c>
      <c r="L681" s="8">
        <f t="shared" si="23"/>
        <v>2.734375</v>
      </c>
      <c r="M681" t="s">
        <v>20</v>
      </c>
      <c r="N681" t="s">
        <v>421</v>
      </c>
    </row>
    <row r="682" spans="1:14" x14ac:dyDescent="0.3">
      <c r="A682" t="s">
        <v>480</v>
      </c>
      <c r="B682" s="2">
        <v>46231</v>
      </c>
      <c r="C682" s="2">
        <v>46232</v>
      </c>
      <c r="D682" s="1" t="s">
        <v>472</v>
      </c>
      <c r="E682" t="s">
        <v>473</v>
      </c>
      <c r="F682" t="s">
        <v>438</v>
      </c>
      <c r="G682" s="5">
        <v>234</v>
      </c>
      <c r="H682" s="5">
        <v>260</v>
      </c>
      <c r="I682" s="5">
        <v>256</v>
      </c>
      <c r="J682" s="5">
        <v>4</v>
      </c>
      <c r="K682" s="8">
        <f t="shared" si="22"/>
        <v>111.11111111111111</v>
      </c>
      <c r="L682" s="8">
        <f t="shared" si="23"/>
        <v>1.5625</v>
      </c>
      <c r="M682" t="s">
        <v>20</v>
      </c>
      <c r="N682" t="s">
        <v>421</v>
      </c>
    </row>
    <row r="683" spans="1:14" x14ac:dyDescent="0.3">
      <c r="A683" t="s">
        <v>481</v>
      </c>
      <c r="B683" s="2">
        <v>46232</v>
      </c>
      <c r="C683" s="2">
        <v>46233</v>
      </c>
      <c r="D683" s="1" t="s">
        <v>472</v>
      </c>
      <c r="E683" t="s">
        <v>473</v>
      </c>
      <c r="F683" t="s">
        <v>438</v>
      </c>
      <c r="G683" s="5">
        <v>234</v>
      </c>
      <c r="H683" s="5">
        <v>263</v>
      </c>
      <c r="I683" s="5">
        <v>260</v>
      </c>
      <c r="J683" s="5">
        <v>3</v>
      </c>
      <c r="K683" s="8">
        <f t="shared" si="22"/>
        <v>112.3931623931624</v>
      </c>
      <c r="L683" s="8">
        <f t="shared" si="23"/>
        <v>1.153846153846154</v>
      </c>
      <c r="M683" t="s">
        <v>20</v>
      </c>
      <c r="N683" t="s">
        <v>421</v>
      </c>
    </row>
    <row r="684" spans="1:14" x14ac:dyDescent="0.3">
      <c r="A684" t="s">
        <v>482</v>
      </c>
      <c r="B684" s="2">
        <v>46219</v>
      </c>
      <c r="C684" s="2">
        <v>46221</v>
      </c>
      <c r="D684" s="1" t="s">
        <v>483</v>
      </c>
      <c r="E684" t="s">
        <v>484</v>
      </c>
      <c r="F684" t="s">
        <v>425</v>
      </c>
      <c r="G684" s="5">
        <v>1152</v>
      </c>
      <c r="H684" s="5">
        <v>812</v>
      </c>
      <c r="I684" s="5">
        <v>720</v>
      </c>
      <c r="J684" s="5">
        <v>92</v>
      </c>
      <c r="K684" s="8">
        <f t="shared" si="22"/>
        <v>70.486111111111114</v>
      </c>
      <c r="L684" s="8">
        <f t="shared" si="23"/>
        <v>12.777777777777777</v>
      </c>
      <c r="M684" t="s">
        <v>20</v>
      </c>
      <c r="N684" t="s">
        <v>421</v>
      </c>
    </row>
    <row r="685" spans="1:14" x14ac:dyDescent="0.3">
      <c r="A685" t="s">
        <v>485</v>
      </c>
      <c r="B685" s="2">
        <v>46223</v>
      </c>
      <c r="C685" s="2">
        <v>46224</v>
      </c>
      <c r="D685" s="1" t="s">
        <v>483</v>
      </c>
      <c r="E685" t="s">
        <v>484</v>
      </c>
      <c r="F685" t="s">
        <v>425</v>
      </c>
      <c r="G685" s="5">
        <v>1152</v>
      </c>
      <c r="H685" s="5">
        <v>1173</v>
      </c>
      <c r="I685" s="5">
        <v>1109</v>
      </c>
      <c r="J685" s="5">
        <v>64</v>
      </c>
      <c r="K685" s="8">
        <f t="shared" si="22"/>
        <v>101.82291666666667</v>
      </c>
      <c r="L685" s="8">
        <f t="shared" si="23"/>
        <v>5.7709648331830472</v>
      </c>
      <c r="M685" t="s">
        <v>20</v>
      </c>
      <c r="N685" t="s">
        <v>421</v>
      </c>
    </row>
    <row r="686" spans="1:14" x14ac:dyDescent="0.3">
      <c r="A686" t="s">
        <v>486</v>
      </c>
      <c r="B686" s="2">
        <v>46227</v>
      </c>
      <c r="C686" s="2">
        <v>46228</v>
      </c>
      <c r="D686" s="1" t="s">
        <v>483</v>
      </c>
      <c r="E686" t="s">
        <v>484</v>
      </c>
      <c r="F686" t="s">
        <v>425</v>
      </c>
      <c r="G686" s="5">
        <v>1152</v>
      </c>
      <c r="H686" s="5">
        <v>1030</v>
      </c>
      <c r="I686" s="5">
        <v>880</v>
      </c>
      <c r="J686" s="5">
        <v>150</v>
      </c>
      <c r="K686" s="8">
        <f t="shared" si="22"/>
        <v>89.409722222222214</v>
      </c>
      <c r="L686" s="8">
        <f t="shared" si="23"/>
        <v>17.045454545454543</v>
      </c>
      <c r="M686" t="s">
        <v>20</v>
      </c>
      <c r="N686" t="s">
        <v>421</v>
      </c>
    </row>
    <row r="687" spans="1:14" x14ac:dyDescent="0.3">
      <c r="A687" t="s">
        <v>487</v>
      </c>
      <c r="B687" s="2">
        <v>46230</v>
      </c>
      <c r="C687" s="2">
        <v>46231</v>
      </c>
      <c r="D687" s="1" t="s">
        <v>483</v>
      </c>
      <c r="E687" t="s">
        <v>484</v>
      </c>
      <c r="F687" t="s">
        <v>425</v>
      </c>
      <c r="G687" s="5">
        <v>1152</v>
      </c>
      <c r="H687" s="5">
        <v>1002</v>
      </c>
      <c r="I687" s="5">
        <v>840</v>
      </c>
      <c r="J687" s="5">
        <v>162</v>
      </c>
      <c r="K687" s="8">
        <f t="shared" si="22"/>
        <v>86.979166666666657</v>
      </c>
      <c r="L687" s="8">
        <f t="shared" si="23"/>
        <v>19.285714285714288</v>
      </c>
      <c r="M687" t="s">
        <v>20</v>
      </c>
      <c r="N687" t="s">
        <v>421</v>
      </c>
    </row>
    <row r="688" spans="1:14" x14ac:dyDescent="0.3">
      <c r="A688" t="s">
        <v>488</v>
      </c>
      <c r="B688" s="2">
        <v>46213</v>
      </c>
      <c r="C688" s="2">
        <v>46216</v>
      </c>
      <c r="D688" s="1" t="s">
        <v>489</v>
      </c>
      <c r="E688" t="s">
        <v>490</v>
      </c>
      <c r="F688" t="s">
        <v>491</v>
      </c>
      <c r="G688" s="5">
        <v>20</v>
      </c>
      <c r="H688" s="5">
        <v>20</v>
      </c>
      <c r="I688" s="5">
        <v>20</v>
      </c>
      <c r="J688" s="5">
        <v>0</v>
      </c>
      <c r="K688" s="8">
        <f t="shared" si="22"/>
        <v>100</v>
      </c>
      <c r="L688" s="8">
        <f t="shared" si="23"/>
        <v>0</v>
      </c>
      <c r="M688" t="s">
        <v>20</v>
      </c>
      <c r="N688" t="s">
        <v>421</v>
      </c>
    </row>
    <row r="689" spans="1:14" x14ac:dyDescent="0.3">
      <c r="A689" t="s">
        <v>492</v>
      </c>
      <c r="B689" s="2">
        <v>46218</v>
      </c>
      <c r="C689" s="2">
        <v>46219</v>
      </c>
      <c r="D689" s="1" t="s">
        <v>493</v>
      </c>
      <c r="E689" t="s">
        <v>494</v>
      </c>
      <c r="F689" t="s">
        <v>495</v>
      </c>
      <c r="G689" s="5">
        <v>212</v>
      </c>
      <c r="H689" s="5">
        <v>150</v>
      </c>
      <c r="I689" s="5">
        <v>150</v>
      </c>
      <c r="J689" s="5">
        <v>0</v>
      </c>
      <c r="K689" s="8">
        <f t="shared" si="22"/>
        <v>70.754716981132077</v>
      </c>
      <c r="L689" s="8">
        <f t="shared" si="23"/>
        <v>0</v>
      </c>
      <c r="M689" t="s">
        <v>20</v>
      </c>
      <c r="N689" t="s">
        <v>421</v>
      </c>
    </row>
    <row r="690" spans="1:14" x14ac:dyDescent="0.3">
      <c r="A690" t="s">
        <v>496</v>
      </c>
      <c r="B690" s="2">
        <v>46210</v>
      </c>
      <c r="C690" s="2">
        <v>46216</v>
      </c>
      <c r="D690" s="1" t="s">
        <v>497</v>
      </c>
      <c r="E690" t="s">
        <v>498</v>
      </c>
      <c r="F690" t="s">
        <v>438</v>
      </c>
      <c r="G690" s="5">
        <v>1052</v>
      </c>
      <c r="H690" s="5">
        <v>1065</v>
      </c>
      <c r="I690" s="5">
        <v>1010</v>
      </c>
      <c r="J690" s="5">
        <v>55</v>
      </c>
      <c r="K690" s="8">
        <f t="shared" si="22"/>
        <v>101.23574144486692</v>
      </c>
      <c r="L690" s="8">
        <f t="shared" si="23"/>
        <v>5.4455445544554459</v>
      </c>
      <c r="M690" t="s">
        <v>20</v>
      </c>
      <c r="N690" t="s">
        <v>421</v>
      </c>
    </row>
    <row r="691" spans="1:14" x14ac:dyDescent="0.3">
      <c r="A691" t="s">
        <v>499</v>
      </c>
      <c r="B691" s="2">
        <v>46226</v>
      </c>
      <c r="C691" s="2">
        <v>46227</v>
      </c>
      <c r="D691" s="1" t="s">
        <v>497</v>
      </c>
      <c r="E691" t="s">
        <v>498</v>
      </c>
      <c r="F691" t="s">
        <v>438</v>
      </c>
      <c r="G691" s="5">
        <v>1052</v>
      </c>
      <c r="H691" s="5">
        <v>1047</v>
      </c>
      <c r="I691" s="5">
        <v>1030</v>
      </c>
      <c r="J691" s="5">
        <v>17</v>
      </c>
      <c r="K691" s="8">
        <f t="shared" si="22"/>
        <v>99.524714828897345</v>
      </c>
      <c r="L691" s="8">
        <f t="shared" si="23"/>
        <v>1.650485436893204</v>
      </c>
      <c r="M691" t="s">
        <v>20</v>
      </c>
      <c r="N691" t="s">
        <v>421</v>
      </c>
    </row>
    <row r="692" spans="1:14" x14ac:dyDescent="0.3">
      <c r="A692" t="s">
        <v>500</v>
      </c>
      <c r="B692" s="2">
        <v>46231</v>
      </c>
      <c r="C692" s="2">
        <v>46233</v>
      </c>
      <c r="D692" s="1" t="s">
        <v>497</v>
      </c>
      <c r="E692" t="s">
        <v>498</v>
      </c>
      <c r="F692" t="s">
        <v>438</v>
      </c>
      <c r="G692" s="5">
        <v>1052</v>
      </c>
      <c r="H692" s="5">
        <v>1118</v>
      </c>
      <c r="I692" s="5">
        <v>1100</v>
      </c>
      <c r="J692" s="5">
        <v>18</v>
      </c>
      <c r="K692" s="8">
        <f t="shared" si="22"/>
        <v>106.27376425855513</v>
      </c>
      <c r="L692" s="8">
        <f t="shared" si="23"/>
        <v>1.6363636363636365</v>
      </c>
      <c r="M692" t="s">
        <v>20</v>
      </c>
      <c r="N692" t="s">
        <v>421</v>
      </c>
    </row>
    <row r="693" spans="1:14" x14ac:dyDescent="0.3">
      <c r="A693" t="s">
        <v>501</v>
      </c>
      <c r="B693" s="2">
        <v>46216</v>
      </c>
      <c r="C693" s="2">
        <v>46217</v>
      </c>
      <c r="D693" s="1" t="s">
        <v>502</v>
      </c>
      <c r="E693" t="s">
        <v>503</v>
      </c>
      <c r="F693" t="s">
        <v>438</v>
      </c>
      <c r="G693" s="5">
        <v>123</v>
      </c>
      <c r="H693" s="5">
        <v>120</v>
      </c>
      <c r="I693" s="5">
        <v>117</v>
      </c>
      <c r="J693" s="5">
        <v>3</v>
      </c>
      <c r="K693" s="8">
        <f t="shared" si="22"/>
        <v>97.560975609756099</v>
      </c>
      <c r="L693" s="8">
        <f t="shared" si="23"/>
        <v>2.5641025641025639</v>
      </c>
      <c r="M693" t="s">
        <v>20</v>
      </c>
      <c r="N693" t="s">
        <v>421</v>
      </c>
    </row>
    <row r="694" spans="1:14" x14ac:dyDescent="0.3">
      <c r="A694" t="s">
        <v>504</v>
      </c>
      <c r="B694" s="2">
        <v>46218</v>
      </c>
      <c r="C694" s="2">
        <v>46219</v>
      </c>
      <c r="D694" s="1" t="s">
        <v>502</v>
      </c>
      <c r="E694" t="s">
        <v>503</v>
      </c>
      <c r="F694" t="s">
        <v>438</v>
      </c>
      <c r="G694" s="5">
        <v>123</v>
      </c>
      <c r="H694" s="5">
        <v>124</v>
      </c>
      <c r="I694" s="5">
        <v>119</v>
      </c>
      <c r="J694" s="5">
        <v>5</v>
      </c>
      <c r="K694" s="8">
        <f t="shared" si="22"/>
        <v>100.8130081300813</v>
      </c>
      <c r="L694" s="8">
        <f t="shared" si="23"/>
        <v>4.2016806722689077</v>
      </c>
      <c r="M694" t="s">
        <v>20</v>
      </c>
      <c r="N694" t="s">
        <v>421</v>
      </c>
    </row>
    <row r="695" spans="1:14" x14ac:dyDescent="0.3">
      <c r="A695" t="s">
        <v>505</v>
      </c>
      <c r="B695" s="2">
        <v>46216</v>
      </c>
      <c r="C695" s="2">
        <v>46217</v>
      </c>
      <c r="D695" s="1" t="s">
        <v>506</v>
      </c>
      <c r="E695" t="s">
        <v>507</v>
      </c>
      <c r="F695" t="s">
        <v>425</v>
      </c>
      <c r="G695" s="5">
        <v>115</v>
      </c>
      <c r="H695" s="5">
        <v>107</v>
      </c>
      <c r="I695" s="5">
        <v>94</v>
      </c>
      <c r="J695" s="5">
        <v>13</v>
      </c>
      <c r="K695" s="8">
        <f t="shared" si="22"/>
        <v>93.043478260869563</v>
      </c>
      <c r="L695" s="8">
        <f t="shared" si="23"/>
        <v>13.829787234042554</v>
      </c>
      <c r="M695" t="s">
        <v>20</v>
      </c>
      <c r="N695" t="s">
        <v>421</v>
      </c>
    </row>
    <row r="696" spans="1:14" x14ac:dyDescent="0.3">
      <c r="A696" t="s">
        <v>508</v>
      </c>
      <c r="B696" s="2">
        <v>46223</v>
      </c>
      <c r="C696" s="2">
        <v>46224</v>
      </c>
      <c r="D696" s="1" t="s">
        <v>506</v>
      </c>
      <c r="E696" t="s">
        <v>507</v>
      </c>
      <c r="F696" t="s">
        <v>425</v>
      </c>
      <c r="G696" s="5">
        <v>115</v>
      </c>
      <c r="H696" s="5" t="s">
        <v>222</v>
      </c>
      <c r="I696" s="5" t="s">
        <v>222</v>
      </c>
      <c r="J696" s="5">
        <v>0</v>
      </c>
      <c r="K696" s="8"/>
      <c r="L696" s="8"/>
      <c r="M696" t="s">
        <v>20</v>
      </c>
      <c r="N696" t="s">
        <v>421</v>
      </c>
    </row>
    <row r="697" spans="1:14" x14ac:dyDescent="0.3">
      <c r="A697" t="s">
        <v>509</v>
      </c>
      <c r="B697" s="2">
        <v>46227</v>
      </c>
      <c r="C697" s="2">
        <v>46228</v>
      </c>
      <c r="D697" s="1" t="s">
        <v>506</v>
      </c>
      <c r="E697" t="s">
        <v>507</v>
      </c>
      <c r="F697" t="s">
        <v>425</v>
      </c>
      <c r="G697" s="5">
        <v>115</v>
      </c>
      <c r="H697" s="5">
        <v>114</v>
      </c>
      <c r="I697" s="5">
        <v>114</v>
      </c>
      <c r="J697" s="5">
        <v>0</v>
      </c>
      <c r="K697" s="8">
        <f t="shared" si="22"/>
        <v>99.130434782608702</v>
      </c>
      <c r="L697" s="8">
        <f t="shared" si="23"/>
        <v>0</v>
      </c>
      <c r="M697" t="s">
        <v>20</v>
      </c>
      <c r="N697" t="s">
        <v>421</v>
      </c>
    </row>
    <row r="698" spans="1:14" x14ac:dyDescent="0.3">
      <c r="A698" t="s">
        <v>510</v>
      </c>
      <c r="B698" s="2">
        <v>46230</v>
      </c>
      <c r="C698" s="2">
        <v>46231</v>
      </c>
      <c r="D698" s="1" t="s">
        <v>506</v>
      </c>
      <c r="E698" t="s">
        <v>507</v>
      </c>
      <c r="F698" t="s">
        <v>425</v>
      </c>
      <c r="G698" s="5">
        <v>115</v>
      </c>
      <c r="H698" s="5">
        <v>115</v>
      </c>
      <c r="I698" s="5">
        <v>115</v>
      </c>
      <c r="J698" s="5">
        <v>0</v>
      </c>
      <c r="K698" s="8">
        <f t="shared" si="22"/>
        <v>100</v>
      </c>
      <c r="L698" s="8">
        <f t="shared" si="23"/>
        <v>0</v>
      </c>
      <c r="M698" t="s">
        <v>20</v>
      </c>
      <c r="N698" t="s">
        <v>421</v>
      </c>
    </row>
    <row r="699" spans="1:14" x14ac:dyDescent="0.3">
      <c r="A699" t="s">
        <v>511</v>
      </c>
      <c r="B699" s="2">
        <v>46216</v>
      </c>
      <c r="C699" s="2">
        <v>46217</v>
      </c>
      <c r="D699" s="1" t="s">
        <v>512</v>
      </c>
      <c r="E699" t="s">
        <v>513</v>
      </c>
      <c r="F699" t="s">
        <v>495</v>
      </c>
      <c r="G699" s="5">
        <v>838</v>
      </c>
      <c r="H699" s="5">
        <v>888</v>
      </c>
      <c r="I699" s="5">
        <v>853</v>
      </c>
      <c r="J699" s="5">
        <v>35</v>
      </c>
      <c r="K699" s="8">
        <f t="shared" si="22"/>
        <v>105.96658711217184</v>
      </c>
      <c r="L699" s="8">
        <f t="shared" si="23"/>
        <v>4.1031652989449006</v>
      </c>
      <c r="M699" t="s">
        <v>20</v>
      </c>
      <c r="N699" t="s">
        <v>421</v>
      </c>
    </row>
    <row r="700" spans="1:14" x14ac:dyDescent="0.3">
      <c r="A700" t="s">
        <v>514</v>
      </c>
      <c r="B700" s="2">
        <v>46217</v>
      </c>
      <c r="C700" s="2">
        <v>46220</v>
      </c>
      <c r="D700" s="1" t="s">
        <v>512</v>
      </c>
      <c r="E700" t="s">
        <v>513</v>
      </c>
      <c r="F700" t="s">
        <v>495</v>
      </c>
      <c r="G700" s="5">
        <v>419</v>
      </c>
      <c r="H700" s="5">
        <v>432</v>
      </c>
      <c r="I700" s="5">
        <v>423</v>
      </c>
      <c r="J700" s="5">
        <v>9</v>
      </c>
      <c r="K700" s="8">
        <f t="shared" si="22"/>
        <v>103.10262529832937</v>
      </c>
      <c r="L700" s="8">
        <f t="shared" si="23"/>
        <v>2.1276595744680851</v>
      </c>
      <c r="M700" t="s">
        <v>20</v>
      </c>
      <c r="N700" t="s">
        <v>421</v>
      </c>
    </row>
    <row r="701" spans="1:14" x14ac:dyDescent="0.3">
      <c r="A701" t="s">
        <v>515</v>
      </c>
      <c r="B701" s="2">
        <v>46224</v>
      </c>
      <c r="C701" s="2">
        <v>46225</v>
      </c>
      <c r="D701" s="1" t="s">
        <v>512</v>
      </c>
      <c r="E701" t="s">
        <v>513</v>
      </c>
      <c r="F701" t="s">
        <v>495</v>
      </c>
      <c r="G701" s="5">
        <v>1257</v>
      </c>
      <c r="H701" s="5">
        <v>1291</v>
      </c>
      <c r="I701" s="5">
        <v>1255</v>
      </c>
      <c r="J701" s="5">
        <v>36</v>
      </c>
      <c r="K701" s="8">
        <f t="shared" ref="K701:K764" si="24">(H701/G701)*100</f>
        <v>102.70485282418456</v>
      </c>
      <c r="L701" s="8">
        <f t="shared" si="23"/>
        <v>2.8685258964143427</v>
      </c>
      <c r="M701" t="s">
        <v>20</v>
      </c>
      <c r="N701" t="s">
        <v>421</v>
      </c>
    </row>
    <row r="702" spans="1:14" x14ac:dyDescent="0.3">
      <c r="A702" t="s">
        <v>516</v>
      </c>
      <c r="B702" s="2">
        <v>46231</v>
      </c>
      <c r="C702" s="2">
        <v>46232</v>
      </c>
      <c r="D702" s="1" t="s">
        <v>512</v>
      </c>
      <c r="E702" t="s">
        <v>513</v>
      </c>
      <c r="F702" t="s">
        <v>495</v>
      </c>
      <c r="G702" s="5">
        <v>1257</v>
      </c>
      <c r="H702" s="5">
        <v>1280</v>
      </c>
      <c r="I702" s="5">
        <v>1166</v>
      </c>
      <c r="J702" s="5">
        <v>114</v>
      </c>
      <c r="K702" s="8">
        <f t="shared" si="24"/>
        <v>101.82975338106604</v>
      </c>
      <c r="L702" s="8">
        <f t="shared" ref="L702:L765" si="25">((H702-I702)/I702)*100</f>
        <v>9.7770154373927962</v>
      </c>
      <c r="M702" t="s">
        <v>20</v>
      </c>
      <c r="N702" t="s">
        <v>421</v>
      </c>
    </row>
    <row r="703" spans="1:14" x14ac:dyDescent="0.3">
      <c r="A703" t="s">
        <v>517</v>
      </c>
      <c r="B703" s="2">
        <v>46226</v>
      </c>
      <c r="C703" s="2">
        <v>46227</v>
      </c>
      <c r="D703" s="1" t="s">
        <v>518</v>
      </c>
      <c r="E703" t="s">
        <v>519</v>
      </c>
      <c r="F703" t="s">
        <v>438</v>
      </c>
      <c r="G703" s="5">
        <v>194</v>
      </c>
      <c r="H703" s="5">
        <v>190</v>
      </c>
      <c r="I703" s="5">
        <v>190</v>
      </c>
      <c r="J703" s="5">
        <v>0</v>
      </c>
      <c r="K703" s="8">
        <f t="shared" si="24"/>
        <v>97.9381443298969</v>
      </c>
      <c r="L703" s="8">
        <f t="shared" si="25"/>
        <v>0</v>
      </c>
      <c r="M703" t="s">
        <v>20</v>
      </c>
      <c r="N703" t="s">
        <v>421</v>
      </c>
    </row>
    <row r="704" spans="1:14" x14ac:dyDescent="0.3">
      <c r="A704" t="s">
        <v>520</v>
      </c>
      <c r="B704" s="2">
        <v>46227</v>
      </c>
      <c r="C704" s="2">
        <v>46228</v>
      </c>
      <c r="D704" s="1" t="s">
        <v>518</v>
      </c>
      <c r="E704" t="s">
        <v>519</v>
      </c>
      <c r="F704" t="s">
        <v>438</v>
      </c>
      <c r="G704" s="5">
        <v>97</v>
      </c>
      <c r="H704" s="5">
        <v>91</v>
      </c>
      <c r="I704" s="5">
        <v>91</v>
      </c>
      <c r="J704" s="5">
        <v>0</v>
      </c>
      <c r="K704" s="8">
        <f t="shared" si="24"/>
        <v>93.814432989690715</v>
      </c>
      <c r="L704" s="8">
        <f t="shared" si="25"/>
        <v>0</v>
      </c>
      <c r="M704" t="s">
        <v>20</v>
      </c>
      <c r="N704" t="s">
        <v>421</v>
      </c>
    </row>
    <row r="705" spans="1:14" x14ac:dyDescent="0.3">
      <c r="A705" t="s">
        <v>521</v>
      </c>
      <c r="B705" s="2">
        <v>46231</v>
      </c>
      <c r="C705" s="2">
        <v>46232</v>
      </c>
      <c r="D705" s="1" t="s">
        <v>518</v>
      </c>
      <c r="E705" t="s">
        <v>519</v>
      </c>
      <c r="F705" t="s">
        <v>438</v>
      </c>
      <c r="G705" s="5">
        <v>194</v>
      </c>
      <c r="H705" s="5">
        <v>197</v>
      </c>
      <c r="I705" s="5">
        <v>197</v>
      </c>
      <c r="J705" s="5">
        <v>0</v>
      </c>
      <c r="K705" s="8">
        <f t="shared" si="24"/>
        <v>101.54639175257731</v>
      </c>
      <c r="L705" s="8">
        <f t="shared" si="25"/>
        <v>0</v>
      </c>
      <c r="M705" t="s">
        <v>20</v>
      </c>
      <c r="N705" t="s">
        <v>421</v>
      </c>
    </row>
    <row r="706" spans="1:14" x14ac:dyDescent="0.3">
      <c r="A706" t="s">
        <v>522</v>
      </c>
      <c r="B706" s="2">
        <v>46232</v>
      </c>
      <c r="C706" s="2">
        <v>46233</v>
      </c>
      <c r="D706" s="1" t="s">
        <v>518</v>
      </c>
      <c r="E706" t="s">
        <v>519</v>
      </c>
      <c r="F706" t="s">
        <v>438</v>
      </c>
      <c r="G706" s="5">
        <v>194</v>
      </c>
      <c r="H706" s="5">
        <v>195</v>
      </c>
      <c r="I706" s="5">
        <v>195</v>
      </c>
      <c r="J706" s="5">
        <v>0</v>
      </c>
      <c r="K706" s="8">
        <f t="shared" si="24"/>
        <v>100.51546391752578</v>
      </c>
      <c r="L706" s="8">
        <f t="shared" si="25"/>
        <v>0</v>
      </c>
      <c r="M706" t="s">
        <v>20</v>
      </c>
      <c r="N706" t="s">
        <v>421</v>
      </c>
    </row>
    <row r="707" spans="1:14" x14ac:dyDescent="0.3">
      <c r="A707" t="s">
        <v>523</v>
      </c>
      <c r="B707" s="2">
        <v>46219</v>
      </c>
      <c r="C707" s="2">
        <v>46220</v>
      </c>
      <c r="D707" s="1" t="s">
        <v>524</v>
      </c>
      <c r="E707" t="s">
        <v>525</v>
      </c>
      <c r="F707" t="s">
        <v>438</v>
      </c>
      <c r="G707" s="5">
        <v>112</v>
      </c>
      <c r="H707" s="5">
        <v>98</v>
      </c>
      <c r="I707" s="5">
        <v>95</v>
      </c>
      <c r="J707" s="5">
        <v>3</v>
      </c>
      <c r="K707" s="8">
        <f t="shared" si="24"/>
        <v>87.5</v>
      </c>
      <c r="L707" s="8">
        <f t="shared" si="25"/>
        <v>3.1578947368421053</v>
      </c>
      <c r="M707" t="s">
        <v>20</v>
      </c>
      <c r="N707" t="s">
        <v>421</v>
      </c>
    </row>
    <row r="708" spans="1:14" x14ac:dyDescent="0.3">
      <c r="A708" t="s">
        <v>526</v>
      </c>
      <c r="B708" s="2">
        <v>46225</v>
      </c>
      <c r="C708" s="2">
        <v>46228</v>
      </c>
      <c r="D708" s="1" t="s">
        <v>524</v>
      </c>
      <c r="E708" t="s">
        <v>525</v>
      </c>
      <c r="F708" t="s">
        <v>438</v>
      </c>
      <c r="G708" s="5">
        <v>112</v>
      </c>
      <c r="H708" s="5">
        <v>111</v>
      </c>
      <c r="I708" s="5">
        <v>111</v>
      </c>
      <c r="J708" s="5">
        <v>0</v>
      </c>
      <c r="K708" s="8">
        <f t="shared" si="24"/>
        <v>99.107142857142861</v>
      </c>
      <c r="L708" s="8">
        <f t="shared" si="25"/>
        <v>0</v>
      </c>
      <c r="M708" t="s">
        <v>20</v>
      </c>
      <c r="N708" t="s">
        <v>421</v>
      </c>
    </row>
    <row r="709" spans="1:14" x14ac:dyDescent="0.3">
      <c r="A709" t="s">
        <v>527</v>
      </c>
      <c r="B709" s="2">
        <v>46231</v>
      </c>
      <c r="C709" s="2">
        <v>46232</v>
      </c>
      <c r="D709" s="1" t="s">
        <v>524</v>
      </c>
      <c r="E709" t="s">
        <v>525</v>
      </c>
      <c r="F709" t="s">
        <v>438</v>
      </c>
      <c r="G709" s="5">
        <v>112</v>
      </c>
      <c r="H709" s="5">
        <v>110</v>
      </c>
      <c r="I709" s="5">
        <v>110</v>
      </c>
      <c r="J709" s="5">
        <v>0</v>
      </c>
      <c r="K709" s="8">
        <f t="shared" si="24"/>
        <v>98.214285714285708</v>
      </c>
      <c r="L709" s="8">
        <f t="shared" si="25"/>
        <v>0</v>
      </c>
      <c r="M709" t="s">
        <v>20</v>
      </c>
      <c r="N709" t="s">
        <v>421</v>
      </c>
    </row>
    <row r="710" spans="1:14" x14ac:dyDescent="0.3">
      <c r="A710" t="s">
        <v>528</v>
      </c>
      <c r="B710" s="2">
        <v>46232</v>
      </c>
      <c r="C710" s="2">
        <v>46233</v>
      </c>
      <c r="D710" s="1" t="s">
        <v>524</v>
      </c>
      <c r="E710" t="s">
        <v>525</v>
      </c>
      <c r="F710" t="s">
        <v>438</v>
      </c>
      <c r="G710" s="5">
        <v>112</v>
      </c>
      <c r="H710" s="5">
        <v>101</v>
      </c>
      <c r="I710" s="5">
        <v>100</v>
      </c>
      <c r="J710" s="5">
        <v>1</v>
      </c>
      <c r="K710" s="8">
        <f t="shared" si="24"/>
        <v>90.178571428571431</v>
      </c>
      <c r="L710" s="8">
        <f t="shared" si="25"/>
        <v>1</v>
      </c>
      <c r="M710" t="s">
        <v>20</v>
      </c>
      <c r="N710" t="s">
        <v>421</v>
      </c>
    </row>
    <row r="711" spans="1:14" x14ac:dyDescent="0.3">
      <c r="A711" t="s">
        <v>529</v>
      </c>
      <c r="B711" s="2">
        <v>46232</v>
      </c>
      <c r="C711" s="2">
        <v>46233</v>
      </c>
      <c r="D711" s="1" t="s">
        <v>530</v>
      </c>
      <c r="E711" t="s">
        <v>531</v>
      </c>
      <c r="F711" t="s">
        <v>532</v>
      </c>
      <c r="G711" s="5">
        <v>725</v>
      </c>
      <c r="H711" s="5">
        <v>690</v>
      </c>
      <c r="I711" s="5">
        <v>631</v>
      </c>
      <c r="J711" s="5">
        <v>59</v>
      </c>
      <c r="K711" s="8">
        <f t="shared" si="24"/>
        <v>95.172413793103445</v>
      </c>
      <c r="L711" s="8">
        <f t="shared" si="25"/>
        <v>9.3502377179080813</v>
      </c>
      <c r="M711" t="s">
        <v>20</v>
      </c>
      <c r="N711" t="s">
        <v>421</v>
      </c>
    </row>
    <row r="712" spans="1:14" x14ac:dyDescent="0.3">
      <c r="A712" t="s">
        <v>533</v>
      </c>
      <c r="B712" s="2">
        <v>46217</v>
      </c>
      <c r="C712" s="2">
        <v>46218</v>
      </c>
      <c r="D712" s="1" t="s">
        <v>534</v>
      </c>
      <c r="E712" t="s">
        <v>535</v>
      </c>
      <c r="F712" t="s">
        <v>438</v>
      </c>
      <c r="G712" s="5">
        <v>194</v>
      </c>
      <c r="H712" s="5">
        <v>201</v>
      </c>
      <c r="I712" s="5">
        <v>201</v>
      </c>
      <c r="J712" s="5">
        <v>0</v>
      </c>
      <c r="K712" s="8">
        <f t="shared" si="24"/>
        <v>103.60824742268042</v>
      </c>
      <c r="L712" s="8">
        <f t="shared" si="25"/>
        <v>0</v>
      </c>
      <c r="M712" t="s">
        <v>20</v>
      </c>
      <c r="N712" t="s">
        <v>421</v>
      </c>
    </row>
    <row r="713" spans="1:14" x14ac:dyDescent="0.3">
      <c r="A713" t="s">
        <v>536</v>
      </c>
      <c r="B713" s="2">
        <v>46219</v>
      </c>
      <c r="C713" s="2">
        <v>46220</v>
      </c>
      <c r="D713" s="1" t="s">
        <v>534</v>
      </c>
      <c r="E713" t="s">
        <v>535</v>
      </c>
      <c r="F713" t="s">
        <v>438</v>
      </c>
      <c r="G713" s="5">
        <v>194</v>
      </c>
      <c r="H713" s="5">
        <v>208</v>
      </c>
      <c r="I713" s="5">
        <v>208</v>
      </c>
      <c r="J713" s="5">
        <v>0</v>
      </c>
      <c r="K713" s="8">
        <f t="shared" si="24"/>
        <v>107.21649484536083</v>
      </c>
      <c r="L713" s="8">
        <f t="shared" si="25"/>
        <v>0</v>
      </c>
      <c r="M713" t="s">
        <v>20</v>
      </c>
      <c r="N713" t="s">
        <v>421</v>
      </c>
    </row>
    <row r="714" spans="1:14" x14ac:dyDescent="0.3">
      <c r="A714" t="s">
        <v>537</v>
      </c>
      <c r="B714" s="2">
        <v>46223</v>
      </c>
      <c r="C714" s="2">
        <v>46224</v>
      </c>
      <c r="D714" s="1" t="s">
        <v>534</v>
      </c>
      <c r="E714" t="s">
        <v>535</v>
      </c>
      <c r="F714" t="s">
        <v>438</v>
      </c>
      <c r="G714" s="5">
        <v>97</v>
      </c>
      <c r="H714" s="5">
        <v>200</v>
      </c>
      <c r="I714" s="5">
        <v>200</v>
      </c>
      <c r="J714" s="5">
        <v>0</v>
      </c>
      <c r="K714" s="8">
        <f t="shared" si="24"/>
        <v>206.18556701030926</v>
      </c>
      <c r="L714" s="8">
        <f t="shared" si="25"/>
        <v>0</v>
      </c>
      <c r="M714" t="s">
        <v>20</v>
      </c>
      <c r="N714" t="s">
        <v>421</v>
      </c>
    </row>
    <row r="715" spans="1:14" x14ac:dyDescent="0.3">
      <c r="A715" t="s">
        <v>538</v>
      </c>
      <c r="B715" s="2">
        <v>46225</v>
      </c>
      <c r="C715" s="2">
        <v>46226</v>
      </c>
      <c r="D715" s="1" t="s">
        <v>534</v>
      </c>
      <c r="E715" t="s">
        <v>535</v>
      </c>
      <c r="F715" t="s">
        <v>438</v>
      </c>
      <c r="G715" s="5">
        <v>194</v>
      </c>
      <c r="H715" s="5">
        <v>200</v>
      </c>
      <c r="I715" s="5">
        <v>200</v>
      </c>
      <c r="J715" s="5">
        <v>0</v>
      </c>
      <c r="K715" s="8">
        <f t="shared" si="24"/>
        <v>103.09278350515463</v>
      </c>
      <c r="L715" s="8">
        <f t="shared" si="25"/>
        <v>0</v>
      </c>
      <c r="M715" t="s">
        <v>20</v>
      </c>
      <c r="N715" t="s">
        <v>421</v>
      </c>
    </row>
    <row r="716" spans="1:14" x14ac:dyDescent="0.3">
      <c r="A716" t="s">
        <v>539</v>
      </c>
      <c r="B716" s="2">
        <v>46230</v>
      </c>
      <c r="C716" s="2">
        <v>46231</v>
      </c>
      <c r="D716" s="1" t="s">
        <v>534</v>
      </c>
      <c r="E716" t="s">
        <v>535</v>
      </c>
      <c r="F716" t="s">
        <v>438</v>
      </c>
      <c r="G716" s="5">
        <v>194</v>
      </c>
      <c r="H716" s="5">
        <v>199</v>
      </c>
      <c r="I716" s="5">
        <v>199</v>
      </c>
      <c r="J716" s="5">
        <v>0</v>
      </c>
      <c r="K716" s="8">
        <f t="shared" si="24"/>
        <v>102.57731958762886</v>
      </c>
      <c r="L716" s="8">
        <f t="shared" si="25"/>
        <v>0</v>
      </c>
      <c r="M716" t="s">
        <v>20</v>
      </c>
      <c r="N716" t="s">
        <v>421</v>
      </c>
    </row>
    <row r="717" spans="1:14" x14ac:dyDescent="0.3">
      <c r="A717" t="s">
        <v>540</v>
      </c>
      <c r="B717" s="2">
        <v>46232</v>
      </c>
      <c r="C717" s="2">
        <v>46233</v>
      </c>
      <c r="D717" s="1" t="s">
        <v>534</v>
      </c>
      <c r="E717" t="s">
        <v>535</v>
      </c>
      <c r="F717" t="s">
        <v>438</v>
      </c>
      <c r="G717" s="5">
        <v>194</v>
      </c>
      <c r="H717" s="5">
        <v>198</v>
      </c>
      <c r="I717" s="5">
        <v>198</v>
      </c>
      <c r="J717" s="5">
        <v>0</v>
      </c>
      <c r="K717" s="8">
        <f t="shared" si="24"/>
        <v>102.06185567010309</v>
      </c>
      <c r="L717" s="8">
        <f t="shared" si="25"/>
        <v>0</v>
      </c>
      <c r="M717" t="s">
        <v>20</v>
      </c>
      <c r="N717" t="s">
        <v>421</v>
      </c>
    </row>
    <row r="718" spans="1:14" x14ac:dyDescent="0.3">
      <c r="A718" t="s">
        <v>541</v>
      </c>
      <c r="B718" s="2">
        <v>46216</v>
      </c>
      <c r="C718" s="2">
        <v>46217</v>
      </c>
      <c r="D718" s="1" t="s">
        <v>542</v>
      </c>
      <c r="E718" t="s">
        <v>543</v>
      </c>
      <c r="F718" t="s">
        <v>425</v>
      </c>
      <c r="G718" s="5">
        <v>170</v>
      </c>
      <c r="H718" s="5">
        <v>172</v>
      </c>
      <c r="I718" s="5">
        <v>172</v>
      </c>
      <c r="J718" s="5">
        <v>0</v>
      </c>
      <c r="K718" s="8">
        <f t="shared" si="24"/>
        <v>101.17647058823529</v>
      </c>
      <c r="L718" s="8">
        <f t="shared" si="25"/>
        <v>0</v>
      </c>
      <c r="M718" t="s">
        <v>20</v>
      </c>
      <c r="N718" t="s">
        <v>421</v>
      </c>
    </row>
    <row r="719" spans="1:14" x14ac:dyDescent="0.3">
      <c r="A719" t="s">
        <v>544</v>
      </c>
      <c r="B719" s="2">
        <v>46218</v>
      </c>
      <c r="C719" s="2">
        <v>46219</v>
      </c>
      <c r="D719" s="1" t="s">
        <v>542</v>
      </c>
      <c r="E719" t="s">
        <v>543</v>
      </c>
      <c r="F719" t="s">
        <v>425</v>
      </c>
      <c r="G719" s="5">
        <v>340</v>
      </c>
      <c r="H719" s="5">
        <v>342</v>
      </c>
      <c r="I719" s="5">
        <v>342</v>
      </c>
      <c r="J719" s="5">
        <v>0</v>
      </c>
      <c r="K719" s="8">
        <f t="shared" si="24"/>
        <v>100.58823529411765</v>
      </c>
      <c r="L719" s="8">
        <f t="shared" si="25"/>
        <v>0</v>
      </c>
      <c r="M719" t="s">
        <v>20</v>
      </c>
      <c r="N719" t="s">
        <v>421</v>
      </c>
    </row>
    <row r="720" spans="1:14" x14ac:dyDescent="0.3">
      <c r="A720" t="s">
        <v>545</v>
      </c>
      <c r="B720" s="2">
        <v>46226</v>
      </c>
      <c r="C720" s="2">
        <v>46227</v>
      </c>
      <c r="D720" s="1" t="s">
        <v>542</v>
      </c>
      <c r="E720" t="s">
        <v>543</v>
      </c>
      <c r="F720" t="s">
        <v>425</v>
      </c>
      <c r="G720" s="5">
        <v>340</v>
      </c>
      <c r="H720" s="5">
        <v>343</v>
      </c>
      <c r="I720" s="5">
        <v>343</v>
      </c>
      <c r="J720" s="5">
        <v>0</v>
      </c>
      <c r="K720" s="8">
        <f t="shared" si="24"/>
        <v>100.88235294117646</v>
      </c>
      <c r="L720" s="8">
        <f t="shared" si="25"/>
        <v>0</v>
      </c>
      <c r="M720" t="s">
        <v>20</v>
      </c>
      <c r="N720" t="s">
        <v>421</v>
      </c>
    </row>
    <row r="721" spans="1:14" x14ac:dyDescent="0.3">
      <c r="A721" t="s">
        <v>546</v>
      </c>
      <c r="B721" s="2">
        <v>46230</v>
      </c>
      <c r="C721" s="2">
        <v>46232</v>
      </c>
      <c r="D721" s="1" t="s">
        <v>542</v>
      </c>
      <c r="E721" t="s">
        <v>543</v>
      </c>
      <c r="F721" t="s">
        <v>425</v>
      </c>
      <c r="G721" s="5">
        <v>170</v>
      </c>
      <c r="H721" s="5">
        <v>170</v>
      </c>
      <c r="I721" s="5">
        <v>170</v>
      </c>
      <c r="J721" s="5">
        <v>0</v>
      </c>
      <c r="K721" s="8">
        <f t="shared" si="24"/>
        <v>100</v>
      </c>
      <c r="L721" s="8">
        <f t="shared" si="25"/>
        <v>0</v>
      </c>
      <c r="M721" t="s">
        <v>20</v>
      </c>
      <c r="N721" t="s">
        <v>421</v>
      </c>
    </row>
    <row r="722" spans="1:14" x14ac:dyDescent="0.3">
      <c r="A722" t="s">
        <v>547</v>
      </c>
      <c r="B722" s="2">
        <v>46231</v>
      </c>
      <c r="C722" s="2">
        <v>46233</v>
      </c>
      <c r="D722" s="1" t="s">
        <v>542</v>
      </c>
      <c r="E722" t="s">
        <v>543</v>
      </c>
      <c r="F722" t="s">
        <v>425</v>
      </c>
      <c r="G722" s="5">
        <v>340</v>
      </c>
      <c r="H722" s="5">
        <v>344</v>
      </c>
      <c r="I722" s="5">
        <v>344</v>
      </c>
      <c r="J722" s="5">
        <v>0</v>
      </c>
      <c r="K722" s="8">
        <f t="shared" si="24"/>
        <v>101.17647058823529</v>
      </c>
      <c r="L722" s="8">
        <f t="shared" si="25"/>
        <v>0</v>
      </c>
      <c r="M722" t="s">
        <v>20</v>
      </c>
      <c r="N722" t="s">
        <v>421</v>
      </c>
    </row>
    <row r="723" spans="1:14" x14ac:dyDescent="0.3">
      <c r="A723" t="s">
        <v>548</v>
      </c>
      <c r="B723" s="2">
        <v>46217</v>
      </c>
      <c r="C723" s="2">
        <v>46218</v>
      </c>
      <c r="D723" s="1" t="s">
        <v>549</v>
      </c>
      <c r="E723" t="s">
        <v>550</v>
      </c>
      <c r="F723" t="s">
        <v>491</v>
      </c>
      <c r="G723" s="5">
        <v>87</v>
      </c>
      <c r="H723" s="5">
        <v>87</v>
      </c>
      <c r="I723" s="5">
        <v>87</v>
      </c>
      <c r="J723" s="5">
        <v>0</v>
      </c>
      <c r="K723" s="8">
        <f t="shared" si="24"/>
        <v>100</v>
      </c>
      <c r="L723" s="8">
        <f t="shared" si="25"/>
        <v>0</v>
      </c>
      <c r="M723" t="s">
        <v>20</v>
      </c>
      <c r="N723" t="s">
        <v>421</v>
      </c>
    </row>
    <row r="724" spans="1:14" x14ac:dyDescent="0.3">
      <c r="A724" t="s">
        <v>551</v>
      </c>
      <c r="B724" s="2">
        <v>46220</v>
      </c>
      <c r="C724" s="2">
        <v>46221</v>
      </c>
      <c r="D724" s="1" t="s">
        <v>549</v>
      </c>
      <c r="E724" t="s">
        <v>550</v>
      </c>
      <c r="F724" t="s">
        <v>491</v>
      </c>
      <c r="G724" s="5">
        <v>120</v>
      </c>
      <c r="H724" s="5">
        <v>120</v>
      </c>
      <c r="I724" s="5">
        <v>120</v>
      </c>
      <c r="J724" s="5">
        <v>0</v>
      </c>
      <c r="K724" s="8">
        <f t="shared" si="24"/>
        <v>100</v>
      </c>
      <c r="L724" s="8">
        <f t="shared" si="25"/>
        <v>0</v>
      </c>
      <c r="M724" t="s">
        <v>20</v>
      </c>
      <c r="N724" t="s">
        <v>421</v>
      </c>
    </row>
    <row r="725" spans="1:14" x14ac:dyDescent="0.3">
      <c r="A725" t="s">
        <v>552</v>
      </c>
      <c r="B725" s="2">
        <v>46224</v>
      </c>
      <c r="C725" s="2">
        <v>46225</v>
      </c>
      <c r="D725" s="1" t="s">
        <v>549</v>
      </c>
      <c r="E725" t="s">
        <v>550</v>
      </c>
      <c r="F725" t="s">
        <v>491</v>
      </c>
      <c r="G725" s="5">
        <v>62</v>
      </c>
      <c r="H725" s="5">
        <v>62</v>
      </c>
      <c r="I725" s="5">
        <v>62</v>
      </c>
      <c r="J725" s="5">
        <v>0</v>
      </c>
      <c r="K725" s="8">
        <f t="shared" si="24"/>
        <v>100</v>
      </c>
      <c r="L725" s="8">
        <f t="shared" si="25"/>
        <v>0</v>
      </c>
      <c r="M725" t="s">
        <v>20</v>
      </c>
      <c r="N725" t="s">
        <v>421</v>
      </c>
    </row>
    <row r="726" spans="1:14" x14ac:dyDescent="0.3">
      <c r="A726" t="s">
        <v>553</v>
      </c>
      <c r="B726" s="2">
        <v>46227</v>
      </c>
      <c r="C726" s="2">
        <v>46228</v>
      </c>
      <c r="D726" s="1" t="s">
        <v>549</v>
      </c>
      <c r="E726" t="s">
        <v>550</v>
      </c>
      <c r="F726" t="s">
        <v>491</v>
      </c>
      <c r="G726" s="5">
        <v>130</v>
      </c>
      <c r="H726" s="5">
        <v>130</v>
      </c>
      <c r="I726" s="5">
        <v>130</v>
      </c>
      <c r="J726" s="5">
        <v>0</v>
      </c>
      <c r="K726" s="8">
        <f t="shared" si="24"/>
        <v>100</v>
      </c>
      <c r="L726" s="8">
        <f t="shared" si="25"/>
        <v>0</v>
      </c>
      <c r="M726" t="s">
        <v>20</v>
      </c>
      <c r="N726" t="s">
        <v>421</v>
      </c>
    </row>
    <row r="727" spans="1:14" x14ac:dyDescent="0.3">
      <c r="A727" t="s">
        <v>554</v>
      </c>
      <c r="B727" s="2">
        <v>46231</v>
      </c>
      <c r="C727" s="2">
        <v>46232</v>
      </c>
      <c r="D727" s="1" t="s">
        <v>549</v>
      </c>
      <c r="E727" t="s">
        <v>550</v>
      </c>
      <c r="F727" t="s">
        <v>491</v>
      </c>
      <c r="G727" s="5">
        <v>103</v>
      </c>
      <c r="H727" s="5">
        <v>103</v>
      </c>
      <c r="I727" s="5">
        <v>103</v>
      </c>
      <c r="J727" s="5">
        <v>0</v>
      </c>
      <c r="K727" s="8">
        <f t="shared" si="24"/>
        <v>100</v>
      </c>
      <c r="L727" s="8">
        <f t="shared" si="25"/>
        <v>0</v>
      </c>
      <c r="M727" t="s">
        <v>20</v>
      </c>
      <c r="N727" t="s">
        <v>421</v>
      </c>
    </row>
    <row r="728" spans="1:14" x14ac:dyDescent="0.3">
      <c r="A728" t="s">
        <v>555</v>
      </c>
      <c r="B728" s="2">
        <v>46226</v>
      </c>
      <c r="C728" s="2">
        <v>46227</v>
      </c>
      <c r="D728" s="1" t="s">
        <v>556</v>
      </c>
      <c r="E728" t="s">
        <v>557</v>
      </c>
      <c r="F728" t="s">
        <v>438</v>
      </c>
      <c r="G728" s="5">
        <v>875</v>
      </c>
      <c r="H728" s="5">
        <v>836</v>
      </c>
      <c r="I728" s="5">
        <v>800</v>
      </c>
      <c r="J728" s="5">
        <v>36</v>
      </c>
      <c r="K728" s="8">
        <f t="shared" si="24"/>
        <v>95.542857142857144</v>
      </c>
      <c r="L728" s="8">
        <f t="shared" si="25"/>
        <v>4.5</v>
      </c>
      <c r="M728" t="s">
        <v>20</v>
      </c>
      <c r="N728" t="s">
        <v>421</v>
      </c>
    </row>
    <row r="729" spans="1:14" x14ac:dyDescent="0.3">
      <c r="A729" t="s">
        <v>558</v>
      </c>
      <c r="B729" s="2">
        <v>46225</v>
      </c>
      <c r="C729" s="2">
        <v>46226</v>
      </c>
      <c r="D729" s="1" t="s">
        <v>559</v>
      </c>
      <c r="E729" t="s">
        <v>560</v>
      </c>
      <c r="F729" t="s">
        <v>438</v>
      </c>
      <c r="G729" s="5">
        <v>600</v>
      </c>
      <c r="H729" s="5">
        <v>643</v>
      </c>
      <c r="I729" s="5">
        <v>640</v>
      </c>
      <c r="J729" s="5">
        <v>3</v>
      </c>
      <c r="K729" s="8">
        <f t="shared" si="24"/>
        <v>107.16666666666667</v>
      </c>
      <c r="L729" s="8">
        <f t="shared" si="25"/>
        <v>0.46875</v>
      </c>
      <c r="M729" t="s">
        <v>20</v>
      </c>
      <c r="N729" t="s">
        <v>421</v>
      </c>
    </row>
    <row r="730" spans="1:14" x14ac:dyDescent="0.3">
      <c r="A730" t="s">
        <v>561</v>
      </c>
      <c r="B730" s="2">
        <v>46223</v>
      </c>
      <c r="C730" s="2">
        <v>46224</v>
      </c>
      <c r="D730" s="1" t="s">
        <v>562</v>
      </c>
      <c r="E730" t="s">
        <v>563</v>
      </c>
      <c r="F730" t="s">
        <v>438</v>
      </c>
      <c r="G730" s="5">
        <v>662</v>
      </c>
      <c r="H730" s="5">
        <v>629</v>
      </c>
      <c r="I730" s="5">
        <v>620</v>
      </c>
      <c r="J730" s="5">
        <v>9</v>
      </c>
      <c r="K730" s="8">
        <f t="shared" si="24"/>
        <v>95.015105740181269</v>
      </c>
      <c r="L730" s="8">
        <f t="shared" si="25"/>
        <v>1.4516129032258065</v>
      </c>
      <c r="M730" t="s">
        <v>20</v>
      </c>
      <c r="N730" t="s">
        <v>421</v>
      </c>
    </row>
    <row r="731" spans="1:14" x14ac:dyDescent="0.3">
      <c r="A731" t="s">
        <v>564</v>
      </c>
      <c r="B731" s="2">
        <v>46226</v>
      </c>
      <c r="C731" s="2">
        <v>46227</v>
      </c>
      <c r="D731" s="1" t="s">
        <v>562</v>
      </c>
      <c r="E731" t="s">
        <v>563</v>
      </c>
      <c r="F731" t="s">
        <v>438</v>
      </c>
      <c r="G731" s="5">
        <v>662</v>
      </c>
      <c r="H731" s="5">
        <v>682</v>
      </c>
      <c r="I731" s="5">
        <v>610</v>
      </c>
      <c r="J731" s="5">
        <v>72</v>
      </c>
      <c r="K731" s="8">
        <f t="shared" si="24"/>
        <v>103.02114803625378</v>
      </c>
      <c r="L731" s="8">
        <f t="shared" si="25"/>
        <v>11.803278688524591</v>
      </c>
      <c r="M731" t="s">
        <v>20</v>
      </c>
      <c r="N731" t="s">
        <v>421</v>
      </c>
    </row>
    <row r="732" spans="1:14" x14ac:dyDescent="0.3">
      <c r="A732" t="s">
        <v>565</v>
      </c>
      <c r="B732" s="2">
        <v>46218</v>
      </c>
      <c r="C732" s="2">
        <v>46220</v>
      </c>
      <c r="D732" s="1" t="s">
        <v>566</v>
      </c>
      <c r="E732" t="s">
        <v>567</v>
      </c>
      <c r="F732" t="s">
        <v>438</v>
      </c>
      <c r="G732" s="5">
        <v>1660</v>
      </c>
      <c r="H732" s="5">
        <v>1775</v>
      </c>
      <c r="I732" s="5">
        <v>1770</v>
      </c>
      <c r="J732" s="5">
        <v>5</v>
      </c>
      <c r="K732" s="8">
        <f t="shared" si="24"/>
        <v>106.92771084337349</v>
      </c>
      <c r="L732" s="8">
        <f t="shared" si="25"/>
        <v>0.2824858757062147</v>
      </c>
      <c r="M732" t="s">
        <v>20</v>
      </c>
      <c r="N732" t="s">
        <v>421</v>
      </c>
    </row>
    <row r="733" spans="1:14" x14ac:dyDescent="0.3">
      <c r="A733" t="s">
        <v>568</v>
      </c>
      <c r="B733" s="2">
        <v>46223</v>
      </c>
      <c r="C733" s="2">
        <v>46224</v>
      </c>
      <c r="D733" s="1" t="s">
        <v>566</v>
      </c>
      <c r="E733" t="s">
        <v>567</v>
      </c>
      <c r="F733" t="s">
        <v>438</v>
      </c>
      <c r="G733" s="5">
        <v>1660</v>
      </c>
      <c r="H733" s="5">
        <v>1771</v>
      </c>
      <c r="I733" s="5">
        <v>1770</v>
      </c>
      <c r="J733" s="5">
        <v>1</v>
      </c>
      <c r="K733" s="8">
        <f t="shared" si="24"/>
        <v>106.68674698795179</v>
      </c>
      <c r="L733" s="8">
        <f t="shared" si="25"/>
        <v>5.6497175141242938E-2</v>
      </c>
      <c r="M733" t="s">
        <v>20</v>
      </c>
      <c r="N733" t="s">
        <v>421</v>
      </c>
    </row>
    <row r="734" spans="1:14" x14ac:dyDescent="0.3">
      <c r="A734" t="s">
        <v>569</v>
      </c>
      <c r="B734" s="2">
        <v>46226</v>
      </c>
      <c r="C734" s="2">
        <v>46228</v>
      </c>
      <c r="D734" s="1" t="s">
        <v>566</v>
      </c>
      <c r="E734" t="s">
        <v>567</v>
      </c>
      <c r="F734" t="s">
        <v>438</v>
      </c>
      <c r="G734" s="5">
        <v>1660</v>
      </c>
      <c r="H734" s="5">
        <v>1712</v>
      </c>
      <c r="I734" s="5">
        <v>1710</v>
      </c>
      <c r="J734" s="5">
        <v>2</v>
      </c>
      <c r="K734" s="8">
        <f t="shared" si="24"/>
        <v>103.13253012048193</v>
      </c>
      <c r="L734" s="8">
        <f t="shared" si="25"/>
        <v>0.11695906432748539</v>
      </c>
      <c r="M734" t="s">
        <v>20</v>
      </c>
      <c r="N734" t="s">
        <v>421</v>
      </c>
    </row>
    <row r="735" spans="1:14" x14ac:dyDescent="0.3">
      <c r="A735" t="s">
        <v>570</v>
      </c>
      <c r="B735" s="2">
        <v>46231</v>
      </c>
      <c r="C735" s="2">
        <v>46232</v>
      </c>
      <c r="D735" s="1" t="s">
        <v>566</v>
      </c>
      <c r="E735" t="s">
        <v>567</v>
      </c>
      <c r="F735" t="s">
        <v>438</v>
      </c>
      <c r="G735" s="5">
        <v>1660</v>
      </c>
      <c r="H735" s="5">
        <v>1649</v>
      </c>
      <c r="I735" s="5">
        <v>1620</v>
      </c>
      <c r="J735" s="5">
        <v>29</v>
      </c>
      <c r="K735" s="8">
        <f t="shared" si="24"/>
        <v>99.337349397590359</v>
      </c>
      <c r="L735" s="8">
        <f t="shared" si="25"/>
        <v>1.7901234567901234</v>
      </c>
      <c r="M735" t="s">
        <v>20</v>
      </c>
      <c r="N735" t="s">
        <v>421</v>
      </c>
    </row>
    <row r="736" spans="1:14" x14ac:dyDescent="0.3">
      <c r="A736" t="s">
        <v>571</v>
      </c>
      <c r="B736" s="2">
        <v>46216</v>
      </c>
      <c r="C736" s="2">
        <v>46217</v>
      </c>
      <c r="D736" s="1" t="s">
        <v>572</v>
      </c>
      <c r="E736" t="s">
        <v>573</v>
      </c>
      <c r="F736" t="s">
        <v>495</v>
      </c>
      <c r="G736" s="5">
        <v>392</v>
      </c>
      <c r="H736" s="5">
        <v>402</v>
      </c>
      <c r="I736" s="5">
        <v>372</v>
      </c>
      <c r="J736" s="5">
        <v>30</v>
      </c>
      <c r="K736" s="8">
        <f t="shared" si="24"/>
        <v>102.55102040816327</v>
      </c>
      <c r="L736" s="8">
        <f t="shared" si="25"/>
        <v>8.064516129032258</v>
      </c>
      <c r="M736" t="s">
        <v>20</v>
      </c>
      <c r="N736" t="s">
        <v>421</v>
      </c>
    </row>
    <row r="737" spans="1:14" x14ac:dyDescent="0.3">
      <c r="A737" t="s">
        <v>574</v>
      </c>
      <c r="B737" s="2">
        <v>46217</v>
      </c>
      <c r="C737" s="2">
        <v>46218</v>
      </c>
      <c r="D737" s="1" t="s">
        <v>572</v>
      </c>
      <c r="E737" t="s">
        <v>573</v>
      </c>
      <c r="F737" t="s">
        <v>495</v>
      </c>
      <c r="G737" s="5">
        <v>392</v>
      </c>
      <c r="H737" s="5">
        <v>400</v>
      </c>
      <c r="I737" s="5">
        <v>380</v>
      </c>
      <c r="J737" s="5">
        <v>20</v>
      </c>
      <c r="K737" s="8">
        <f t="shared" si="24"/>
        <v>102.04081632653062</v>
      </c>
      <c r="L737" s="8">
        <f t="shared" si="25"/>
        <v>5.2631578947368416</v>
      </c>
      <c r="M737" t="s">
        <v>20</v>
      </c>
      <c r="N737" t="s">
        <v>421</v>
      </c>
    </row>
    <row r="738" spans="1:14" x14ac:dyDescent="0.3">
      <c r="A738" t="s">
        <v>575</v>
      </c>
      <c r="B738" s="2">
        <v>46218</v>
      </c>
      <c r="C738" s="2">
        <v>46219</v>
      </c>
      <c r="D738" s="1" t="s">
        <v>572</v>
      </c>
      <c r="E738" t="s">
        <v>573</v>
      </c>
      <c r="F738" t="s">
        <v>495</v>
      </c>
      <c r="G738" s="5">
        <v>392</v>
      </c>
      <c r="H738" s="5">
        <v>395</v>
      </c>
      <c r="I738" s="5">
        <v>369</v>
      </c>
      <c r="J738" s="5">
        <v>26</v>
      </c>
      <c r="K738" s="8">
        <f t="shared" si="24"/>
        <v>100.76530612244898</v>
      </c>
      <c r="L738" s="8">
        <f t="shared" si="25"/>
        <v>7.0460704607046063</v>
      </c>
      <c r="M738" t="s">
        <v>20</v>
      </c>
      <c r="N738" t="s">
        <v>421</v>
      </c>
    </row>
    <row r="739" spans="1:14" x14ac:dyDescent="0.3">
      <c r="A739" t="s">
        <v>576</v>
      </c>
      <c r="B739" s="2">
        <v>46219</v>
      </c>
      <c r="C739" s="2">
        <v>46220</v>
      </c>
      <c r="D739" s="1" t="s">
        <v>572</v>
      </c>
      <c r="E739" t="s">
        <v>573</v>
      </c>
      <c r="F739" t="s">
        <v>495</v>
      </c>
      <c r="G739" s="5">
        <v>392</v>
      </c>
      <c r="H739" s="5">
        <v>400</v>
      </c>
      <c r="I739" s="5">
        <v>374</v>
      </c>
      <c r="J739" s="5">
        <v>26</v>
      </c>
      <c r="K739" s="8">
        <f t="shared" si="24"/>
        <v>102.04081632653062</v>
      </c>
      <c r="L739" s="8">
        <f t="shared" si="25"/>
        <v>6.9518716577540109</v>
      </c>
      <c r="M739" t="s">
        <v>20</v>
      </c>
      <c r="N739" t="s">
        <v>421</v>
      </c>
    </row>
    <row r="740" spans="1:14" x14ac:dyDescent="0.3">
      <c r="A740" t="s">
        <v>577</v>
      </c>
      <c r="B740" s="2">
        <v>46223</v>
      </c>
      <c r="C740" s="2">
        <v>46224</v>
      </c>
      <c r="D740" s="1" t="s">
        <v>572</v>
      </c>
      <c r="E740" t="s">
        <v>573</v>
      </c>
      <c r="F740" t="s">
        <v>495</v>
      </c>
      <c r="G740" s="5">
        <v>980</v>
      </c>
      <c r="H740" s="5">
        <v>1018</v>
      </c>
      <c r="I740" s="5">
        <v>961</v>
      </c>
      <c r="J740" s="5">
        <v>57</v>
      </c>
      <c r="K740" s="8">
        <f t="shared" si="24"/>
        <v>103.87755102040816</v>
      </c>
      <c r="L740" s="8">
        <f t="shared" si="25"/>
        <v>5.9313215400624353</v>
      </c>
      <c r="M740" t="s">
        <v>20</v>
      </c>
      <c r="N740" t="s">
        <v>421</v>
      </c>
    </row>
    <row r="741" spans="1:14" x14ac:dyDescent="0.3">
      <c r="A741" t="s">
        <v>578</v>
      </c>
      <c r="B741" s="2">
        <v>46225</v>
      </c>
      <c r="C741" s="2">
        <v>46226</v>
      </c>
      <c r="D741" s="1" t="s">
        <v>572</v>
      </c>
      <c r="E741" t="s">
        <v>573</v>
      </c>
      <c r="F741" t="s">
        <v>495</v>
      </c>
      <c r="G741" s="5">
        <v>196</v>
      </c>
      <c r="H741" s="5">
        <v>199</v>
      </c>
      <c r="I741" s="5">
        <v>186</v>
      </c>
      <c r="J741" s="5">
        <v>13</v>
      </c>
      <c r="K741" s="8">
        <f t="shared" si="24"/>
        <v>101.53061224489797</v>
      </c>
      <c r="L741" s="8">
        <f t="shared" si="25"/>
        <v>6.9892473118279561</v>
      </c>
      <c r="M741" t="s">
        <v>20</v>
      </c>
      <c r="N741" t="s">
        <v>421</v>
      </c>
    </row>
    <row r="742" spans="1:14" x14ac:dyDescent="0.3">
      <c r="A742" t="s">
        <v>579</v>
      </c>
      <c r="B742" s="2">
        <v>46226</v>
      </c>
      <c r="C742" s="2">
        <v>46227</v>
      </c>
      <c r="D742" s="1" t="s">
        <v>572</v>
      </c>
      <c r="E742" t="s">
        <v>573</v>
      </c>
      <c r="F742" t="s">
        <v>495</v>
      </c>
      <c r="G742" s="5">
        <v>980</v>
      </c>
      <c r="H742" s="5">
        <v>1016</v>
      </c>
      <c r="I742" s="5">
        <v>923</v>
      </c>
      <c r="J742" s="5">
        <v>93</v>
      </c>
      <c r="K742" s="8">
        <f t="shared" si="24"/>
        <v>103.67346938775511</v>
      </c>
      <c r="L742" s="8">
        <f t="shared" si="25"/>
        <v>10.075839653304442</v>
      </c>
      <c r="M742" t="s">
        <v>20</v>
      </c>
      <c r="N742" t="s">
        <v>421</v>
      </c>
    </row>
    <row r="743" spans="1:14" x14ac:dyDescent="0.3">
      <c r="A743" t="s">
        <v>580</v>
      </c>
      <c r="B743" s="2">
        <v>46230</v>
      </c>
      <c r="C743" s="2">
        <v>46231</v>
      </c>
      <c r="D743" s="1" t="s">
        <v>572</v>
      </c>
      <c r="E743" t="s">
        <v>573</v>
      </c>
      <c r="F743" t="s">
        <v>495</v>
      </c>
      <c r="G743" s="5">
        <v>980</v>
      </c>
      <c r="H743" s="5">
        <v>1022</v>
      </c>
      <c r="I743" s="5">
        <v>924</v>
      </c>
      <c r="J743" s="5">
        <v>98</v>
      </c>
      <c r="K743" s="8">
        <f t="shared" si="24"/>
        <v>104.28571428571429</v>
      </c>
      <c r="L743" s="8">
        <f t="shared" si="25"/>
        <v>10.606060606060606</v>
      </c>
      <c r="M743" t="s">
        <v>20</v>
      </c>
      <c r="N743" t="s">
        <v>421</v>
      </c>
    </row>
    <row r="744" spans="1:14" x14ac:dyDescent="0.3">
      <c r="A744" t="s">
        <v>581</v>
      </c>
      <c r="B744" s="2">
        <v>46218</v>
      </c>
      <c r="C744" s="2">
        <v>46219</v>
      </c>
      <c r="D744" s="1" t="s">
        <v>582</v>
      </c>
      <c r="E744" t="s">
        <v>583</v>
      </c>
      <c r="F744" t="s">
        <v>495</v>
      </c>
      <c r="G744" s="5">
        <v>318</v>
      </c>
      <c r="H744" s="5">
        <v>305</v>
      </c>
      <c r="I744" s="5">
        <v>300</v>
      </c>
      <c r="J744" s="5">
        <v>5</v>
      </c>
      <c r="K744" s="8">
        <f t="shared" si="24"/>
        <v>95.911949685534594</v>
      </c>
      <c r="L744" s="8">
        <f t="shared" si="25"/>
        <v>1.6666666666666667</v>
      </c>
      <c r="M744" t="s">
        <v>20</v>
      </c>
      <c r="N744" t="s">
        <v>421</v>
      </c>
    </row>
    <row r="745" spans="1:14" x14ac:dyDescent="0.3">
      <c r="A745" t="s">
        <v>584</v>
      </c>
      <c r="B745" s="2">
        <v>46213</v>
      </c>
      <c r="C745" s="2">
        <v>46217</v>
      </c>
      <c r="D745" s="1" t="s">
        <v>585</v>
      </c>
      <c r="E745" t="s">
        <v>586</v>
      </c>
      <c r="F745" t="s">
        <v>495</v>
      </c>
      <c r="G745" s="5">
        <v>684</v>
      </c>
      <c r="H745" s="5">
        <v>591</v>
      </c>
      <c r="I745" s="5">
        <v>568</v>
      </c>
      <c r="J745" s="5">
        <v>23</v>
      </c>
      <c r="K745" s="8">
        <f t="shared" si="24"/>
        <v>86.403508771929822</v>
      </c>
      <c r="L745" s="8">
        <f t="shared" si="25"/>
        <v>4.0492957746478879</v>
      </c>
      <c r="M745" t="s">
        <v>20</v>
      </c>
      <c r="N745" t="s">
        <v>421</v>
      </c>
    </row>
    <row r="746" spans="1:14" x14ac:dyDescent="0.3">
      <c r="A746" t="s">
        <v>587</v>
      </c>
      <c r="B746" s="2">
        <v>46219</v>
      </c>
      <c r="C746" s="2">
        <v>46220</v>
      </c>
      <c r="D746" s="1" t="s">
        <v>585</v>
      </c>
      <c r="E746" t="s">
        <v>586</v>
      </c>
      <c r="F746" t="s">
        <v>495</v>
      </c>
      <c r="G746" s="5">
        <v>684</v>
      </c>
      <c r="H746" s="5">
        <v>646</v>
      </c>
      <c r="I746" s="5">
        <v>621</v>
      </c>
      <c r="J746" s="5">
        <v>25</v>
      </c>
      <c r="K746" s="8">
        <f t="shared" si="24"/>
        <v>94.444444444444443</v>
      </c>
      <c r="L746" s="8">
        <f t="shared" si="25"/>
        <v>4.0257648953301128</v>
      </c>
      <c r="M746" t="s">
        <v>20</v>
      </c>
      <c r="N746" t="s">
        <v>421</v>
      </c>
    </row>
    <row r="747" spans="1:14" x14ac:dyDescent="0.3">
      <c r="A747" t="s">
        <v>588</v>
      </c>
      <c r="B747" s="2">
        <v>46225</v>
      </c>
      <c r="C747" s="2">
        <v>46226</v>
      </c>
      <c r="D747" s="1" t="s">
        <v>585</v>
      </c>
      <c r="E747" t="s">
        <v>586</v>
      </c>
      <c r="F747" t="s">
        <v>495</v>
      </c>
      <c r="G747" s="5">
        <v>684</v>
      </c>
      <c r="H747" s="5">
        <v>625</v>
      </c>
      <c r="I747" s="5">
        <v>612</v>
      </c>
      <c r="J747" s="5">
        <v>13</v>
      </c>
      <c r="K747" s="8">
        <f t="shared" si="24"/>
        <v>91.37426900584795</v>
      </c>
      <c r="L747" s="8">
        <f t="shared" si="25"/>
        <v>2.1241830065359477</v>
      </c>
      <c r="M747" t="s">
        <v>20</v>
      </c>
      <c r="N747" t="s">
        <v>421</v>
      </c>
    </row>
    <row r="748" spans="1:14" x14ac:dyDescent="0.3">
      <c r="A748" t="s">
        <v>589</v>
      </c>
      <c r="B748" s="2">
        <v>46232</v>
      </c>
      <c r="C748" s="2">
        <v>46233</v>
      </c>
      <c r="D748" s="1" t="s">
        <v>585</v>
      </c>
      <c r="E748" t="s">
        <v>586</v>
      </c>
      <c r="F748" t="s">
        <v>495</v>
      </c>
      <c r="G748" s="5">
        <v>684</v>
      </c>
      <c r="H748" s="5">
        <v>597</v>
      </c>
      <c r="I748" s="5">
        <v>574</v>
      </c>
      <c r="J748" s="5">
        <v>23</v>
      </c>
      <c r="K748" s="8">
        <f t="shared" si="24"/>
        <v>87.280701754385973</v>
      </c>
      <c r="L748" s="8">
        <f t="shared" si="25"/>
        <v>4.0069686411149821</v>
      </c>
      <c r="M748" t="s">
        <v>20</v>
      </c>
      <c r="N748" t="s">
        <v>421</v>
      </c>
    </row>
    <row r="749" spans="1:14" x14ac:dyDescent="0.3">
      <c r="A749" t="s">
        <v>590</v>
      </c>
      <c r="B749" s="2">
        <v>46217</v>
      </c>
      <c r="C749" s="2">
        <v>46218</v>
      </c>
      <c r="D749" s="1" t="s">
        <v>591</v>
      </c>
      <c r="E749" t="s">
        <v>592</v>
      </c>
      <c r="F749" t="s">
        <v>438</v>
      </c>
      <c r="G749" s="5">
        <v>1560</v>
      </c>
      <c r="H749" s="5">
        <v>1488</v>
      </c>
      <c r="I749" s="5">
        <v>1440</v>
      </c>
      <c r="J749" s="5">
        <v>48</v>
      </c>
      <c r="K749" s="8">
        <f t="shared" si="24"/>
        <v>95.384615384615387</v>
      </c>
      <c r="L749" s="8">
        <f t="shared" si="25"/>
        <v>3.3333333333333335</v>
      </c>
      <c r="M749" t="s">
        <v>20</v>
      </c>
      <c r="N749" t="s">
        <v>421</v>
      </c>
    </row>
    <row r="750" spans="1:14" x14ac:dyDescent="0.3">
      <c r="A750" t="s">
        <v>593</v>
      </c>
      <c r="B750" s="2">
        <v>46218</v>
      </c>
      <c r="C750" s="2">
        <v>46232</v>
      </c>
      <c r="D750" s="1" t="s">
        <v>591</v>
      </c>
      <c r="E750" t="s">
        <v>592</v>
      </c>
      <c r="F750" t="s">
        <v>438</v>
      </c>
      <c r="G750" s="5">
        <v>2340</v>
      </c>
      <c r="H750" s="5">
        <v>533</v>
      </c>
      <c r="I750" s="5">
        <v>512</v>
      </c>
      <c r="J750" s="5">
        <v>21</v>
      </c>
      <c r="K750" s="8">
        <f t="shared" si="24"/>
        <v>22.777777777777779</v>
      </c>
      <c r="L750" s="8">
        <f t="shared" si="25"/>
        <v>4.1015625</v>
      </c>
      <c r="M750" t="s">
        <v>20</v>
      </c>
      <c r="N750" t="s">
        <v>421</v>
      </c>
    </row>
    <row r="751" spans="1:14" x14ac:dyDescent="0.3">
      <c r="A751" t="s">
        <v>594</v>
      </c>
      <c r="B751" s="2">
        <v>46219</v>
      </c>
      <c r="C751" s="2">
        <v>46220</v>
      </c>
      <c r="D751" s="1" t="s">
        <v>591</v>
      </c>
      <c r="E751" t="s">
        <v>592</v>
      </c>
      <c r="F751" t="s">
        <v>438</v>
      </c>
      <c r="G751" s="5">
        <v>1560</v>
      </c>
      <c r="H751" s="5">
        <v>1148</v>
      </c>
      <c r="I751" s="5">
        <v>1008</v>
      </c>
      <c r="J751" s="5">
        <v>140</v>
      </c>
      <c r="K751" s="8">
        <f t="shared" si="24"/>
        <v>73.589743589743591</v>
      </c>
      <c r="L751" s="8">
        <f t="shared" si="25"/>
        <v>13.888888888888889</v>
      </c>
      <c r="M751" t="s">
        <v>20</v>
      </c>
      <c r="N751" t="s">
        <v>421</v>
      </c>
    </row>
    <row r="752" spans="1:14" x14ac:dyDescent="0.3">
      <c r="A752" t="s">
        <v>595</v>
      </c>
      <c r="B752" s="2">
        <v>46223</v>
      </c>
      <c r="C752" s="2">
        <v>46224</v>
      </c>
      <c r="D752" s="1" t="s">
        <v>591</v>
      </c>
      <c r="E752" t="s">
        <v>592</v>
      </c>
      <c r="F752" t="s">
        <v>438</v>
      </c>
      <c r="G752" s="5">
        <v>1560</v>
      </c>
      <c r="H752" s="5">
        <v>1351</v>
      </c>
      <c r="I752" s="5">
        <v>1296</v>
      </c>
      <c r="J752" s="5">
        <v>55</v>
      </c>
      <c r="K752" s="8">
        <f t="shared" si="24"/>
        <v>86.602564102564102</v>
      </c>
      <c r="L752" s="8">
        <f t="shared" si="25"/>
        <v>4.2438271604938276</v>
      </c>
      <c r="M752" t="s">
        <v>20</v>
      </c>
      <c r="N752" t="s">
        <v>421</v>
      </c>
    </row>
    <row r="753" spans="1:14" x14ac:dyDescent="0.3">
      <c r="A753" t="s">
        <v>596</v>
      </c>
      <c r="B753" s="2">
        <v>46225</v>
      </c>
      <c r="C753" s="2">
        <v>46227</v>
      </c>
      <c r="D753" s="1" t="s">
        <v>591</v>
      </c>
      <c r="E753" t="s">
        <v>592</v>
      </c>
      <c r="F753" t="s">
        <v>438</v>
      </c>
      <c r="G753" s="5">
        <v>1560</v>
      </c>
      <c r="H753" s="5">
        <v>1719</v>
      </c>
      <c r="I753" s="5">
        <v>1064</v>
      </c>
      <c r="J753" s="5">
        <v>655</v>
      </c>
      <c r="K753" s="8">
        <f t="shared" si="24"/>
        <v>110.19230769230771</v>
      </c>
      <c r="L753" s="8">
        <f t="shared" si="25"/>
        <v>61.560150375939848</v>
      </c>
      <c r="M753" t="s">
        <v>20</v>
      </c>
      <c r="N753" t="s">
        <v>421</v>
      </c>
    </row>
    <row r="754" spans="1:14" x14ac:dyDescent="0.3">
      <c r="A754" t="s">
        <v>597</v>
      </c>
      <c r="B754" s="2">
        <v>46226</v>
      </c>
      <c r="C754" s="2">
        <v>46228</v>
      </c>
      <c r="D754" s="1" t="s">
        <v>591</v>
      </c>
      <c r="E754" t="s">
        <v>592</v>
      </c>
      <c r="F754" t="s">
        <v>438</v>
      </c>
      <c r="G754" s="5">
        <v>1560</v>
      </c>
      <c r="H754" s="5">
        <v>1304</v>
      </c>
      <c r="I754" s="5">
        <v>1128</v>
      </c>
      <c r="J754" s="5">
        <v>176</v>
      </c>
      <c r="K754" s="8">
        <f t="shared" si="24"/>
        <v>83.589743589743591</v>
      </c>
      <c r="L754" s="8">
        <f t="shared" si="25"/>
        <v>15.602836879432624</v>
      </c>
      <c r="M754" t="s">
        <v>20</v>
      </c>
      <c r="N754" t="s">
        <v>421</v>
      </c>
    </row>
    <row r="755" spans="1:14" x14ac:dyDescent="0.3">
      <c r="A755" t="s">
        <v>598</v>
      </c>
      <c r="B755" s="2">
        <v>46227</v>
      </c>
      <c r="C755" s="2">
        <v>46232</v>
      </c>
      <c r="D755" s="1" t="s">
        <v>591</v>
      </c>
      <c r="E755" t="s">
        <v>592</v>
      </c>
      <c r="F755" t="s">
        <v>438</v>
      </c>
      <c r="G755" s="5">
        <v>2340</v>
      </c>
      <c r="H755" s="5">
        <v>1230</v>
      </c>
      <c r="I755" s="5">
        <v>1152</v>
      </c>
      <c r="J755" s="5">
        <v>78</v>
      </c>
      <c r="K755" s="8">
        <f t="shared" si="24"/>
        <v>52.564102564102569</v>
      </c>
      <c r="L755" s="8">
        <f t="shared" si="25"/>
        <v>6.770833333333333</v>
      </c>
      <c r="M755" t="s">
        <v>20</v>
      </c>
      <c r="N755" t="s">
        <v>421</v>
      </c>
    </row>
    <row r="756" spans="1:14" x14ac:dyDescent="0.3">
      <c r="A756" t="s">
        <v>599</v>
      </c>
      <c r="B756" s="2">
        <v>46230</v>
      </c>
      <c r="C756" s="2">
        <v>46231</v>
      </c>
      <c r="D756" s="1" t="s">
        <v>591</v>
      </c>
      <c r="E756" t="s">
        <v>592</v>
      </c>
      <c r="F756" t="s">
        <v>438</v>
      </c>
      <c r="G756" s="5">
        <v>780</v>
      </c>
      <c r="H756" s="5">
        <v>1448</v>
      </c>
      <c r="I756" s="5">
        <v>1400</v>
      </c>
      <c r="J756" s="5">
        <v>48</v>
      </c>
      <c r="K756" s="8">
        <f t="shared" si="24"/>
        <v>185.64102564102564</v>
      </c>
      <c r="L756" s="8">
        <f t="shared" si="25"/>
        <v>3.4285714285714288</v>
      </c>
      <c r="M756" t="s">
        <v>20</v>
      </c>
      <c r="N756" t="s">
        <v>421</v>
      </c>
    </row>
    <row r="757" spans="1:14" x14ac:dyDescent="0.3">
      <c r="A757" t="s">
        <v>600</v>
      </c>
      <c r="B757" s="2">
        <v>46231</v>
      </c>
      <c r="C757" s="2">
        <v>46233</v>
      </c>
      <c r="D757" s="1" t="s">
        <v>591</v>
      </c>
      <c r="E757" t="s">
        <v>592</v>
      </c>
      <c r="F757" t="s">
        <v>438</v>
      </c>
      <c r="G757" s="5">
        <v>2340</v>
      </c>
      <c r="H757" s="5">
        <v>1007</v>
      </c>
      <c r="I757" s="5">
        <v>800</v>
      </c>
      <c r="J757" s="5">
        <v>207</v>
      </c>
      <c r="K757" s="8">
        <f t="shared" si="24"/>
        <v>43.034188034188034</v>
      </c>
      <c r="L757" s="8">
        <f t="shared" si="25"/>
        <v>25.874999999999996</v>
      </c>
      <c r="M757" t="s">
        <v>20</v>
      </c>
      <c r="N757" t="s">
        <v>421</v>
      </c>
    </row>
    <row r="758" spans="1:14" x14ac:dyDescent="0.3">
      <c r="A758" t="s">
        <v>601</v>
      </c>
      <c r="B758" s="2">
        <v>46232</v>
      </c>
      <c r="C758" s="2">
        <v>46233</v>
      </c>
      <c r="D758" s="1" t="s">
        <v>591</v>
      </c>
      <c r="E758" t="s">
        <v>592</v>
      </c>
      <c r="F758" t="s">
        <v>438</v>
      </c>
      <c r="G758" s="5">
        <v>2340</v>
      </c>
      <c r="H758" s="5">
        <v>2540</v>
      </c>
      <c r="I758" s="5">
        <v>2280</v>
      </c>
      <c r="J758" s="5">
        <v>260</v>
      </c>
      <c r="K758" s="8">
        <f t="shared" si="24"/>
        <v>108.54700854700855</v>
      </c>
      <c r="L758" s="8">
        <f t="shared" si="25"/>
        <v>11.403508771929824</v>
      </c>
      <c r="M758" t="s">
        <v>20</v>
      </c>
      <c r="N758" t="s">
        <v>421</v>
      </c>
    </row>
    <row r="759" spans="1:14" x14ac:dyDescent="0.3">
      <c r="A759" t="s">
        <v>602</v>
      </c>
      <c r="B759" s="2">
        <v>46218</v>
      </c>
      <c r="C759" s="2">
        <v>46219</v>
      </c>
      <c r="D759" s="1" t="s">
        <v>603</v>
      </c>
      <c r="E759" t="s">
        <v>604</v>
      </c>
      <c r="F759" t="s">
        <v>438</v>
      </c>
      <c r="G759" s="5">
        <v>900</v>
      </c>
      <c r="H759" s="5">
        <v>795</v>
      </c>
      <c r="I759" s="5">
        <v>792</v>
      </c>
      <c r="J759" s="5">
        <v>3</v>
      </c>
      <c r="K759" s="8">
        <f t="shared" si="24"/>
        <v>88.333333333333329</v>
      </c>
      <c r="L759" s="8">
        <f t="shared" si="25"/>
        <v>0.37878787878787878</v>
      </c>
      <c r="M759" t="s">
        <v>20</v>
      </c>
      <c r="N759" t="s">
        <v>421</v>
      </c>
    </row>
    <row r="760" spans="1:14" x14ac:dyDescent="0.3">
      <c r="A760" t="s">
        <v>605</v>
      </c>
      <c r="B760" s="2">
        <v>46226</v>
      </c>
      <c r="C760" s="2">
        <v>46228</v>
      </c>
      <c r="D760" s="1" t="s">
        <v>603</v>
      </c>
      <c r="E760" t="s">
        <v>604</v>
      </c>
      <c r="F760" t="s">
        <v>438</v>
      </c>
      <c r="G760" s="5">
        <v>1800</v>
      </c>
      <c r="H760" s="5">
        <v>1569</v>
      </c>
      <c r="I760" s="5">
        <v>1528</v>
      </c>
      <c r="J760" s="5">
        <v>41</v>
      </c>
      <c r="K760" s="8">
        <f t="shared" si="24"/>
        <v>87.166666666666671</v>
      </c>
      <c r="L760" s="8">
        <f t="shared" si="25"/>
        <v>2.6832460732984296</v>
      </c>
      <c r="M760" t="s">
        <v>20</v>
      </c>
      <c r="N760" t="s">
        <v>421</v>
      </c>
    </row>
    <row r="761" spans="1:14" x14ac:dyDescent="0.3">
      <c r="A761" t="s">
        <v>606</v>
      </c>
      <c r="B761" s="2">
        <v>46231</v>
      </c>
      <c r="C761" s="2">
        <v>46232</v>
      </c>
      <c r="D761" s="1" t="s">
        <v>603</v>
      </c>
      <c r="E761" t="s">
        <v>604</v>
      </c>
      <c r="F761" t="s">
        <v>438</v>
      </c>
      <c r="G761" s="5">
        <v>900</v>
      </c>
      <c r="H761" s="5">
        <v>688</v>
      </c>
      <c r="I761" s="5">
        <v>648</v>
      </c>
      <c r="J761" s="5">
        <v>40</v>
      </c>
      <c r="K761" s="8">
        <f t="shared" si="24"/>
        <v>76.444444444444443</v>
      </c>
      <c r="L761" s="8">
        <f t="shared" si="25"/>
        <v>6.1728395061728394</v>
      </c>
      <c r="M761" t="s">
        <v>20</v>
      </c>
      <c r="N761" t="s">
        <v>421</v>
      </c>
    </row>
    <row r="762" spans="1:14" x14ac:dyDescent="0.3">
      <c r="A762" t="s">
        <v>607</v>
      </c>
      <c r="B762" s="2">
        <v>46210</v>
      </c>
      <c r="C762" s="2">
        <v>46219</v>
      </c>
      <c r="D762" s="1" t="s">
        <v>608</v>
      </c>
      <c r="E762" t="s">
        <v>609</v>
      </c>
      <c r="F762" t="s">
        <v>438</v>
      </c>
      <c r="G762" s="5">
        <v>1728</v>
      </c>
      <c r="H762" s="5">
        <v>1544</v>
      </c>
      <c r="I762" s="5">
        <v>1530</v>
      </c>
      <c r="J762" s="5">
        <v>14</v>
      </c>
      <c r="K762" s="8">
        <f t="shared" si="24"/>
        <v>89.351851851851848</v>
      </c>
      <c r="L762" s="8">
        <f t="shared" si="25"/>
        <v>0.91503267973856217</v>
      </c>
      <c r="M762" t="s">
        <v>20</v>
      </c>
      <c r="N762" t="s">
        <v>421</v>
      </c>
    </row>
    <row r="763" spans="1:14" x14ac:dyDescent="0.3">
      <c r="A763" t="s">
        <v>610</v>
      </c>
      <c r="B763" s="2">
        <v>46226</v>
      </c>
      <c r="C763" s="2">
        <v>46228</v>
      </c>
      <c r="D763" s="1" t="s">
        <v>611</v>
      </c>
      <c r="E763" t="s">
        <v>612</v>
      </c>
      <c r="F763" t="s">
        <v>495</v>
      </c>
      <c r="G763" s="5">
        <v>50</v>
      </c>
      <c r="H763" s="5">
        <v>38</v>
      </c>
      <c r="I763" s="5">
        <v>38</v>
      </c>
      <c r="J763" s="5">
        <v>0</v>
      </c>
      <c r="K763" s="8">
        <f t="shared" si="24"/>
        <v>76</v>
      </c>
      <c r="L763" s="8">
        <f t="shared" si="25"/>
        <v>0</v>
      </c>
      <c r="M763" t="s">
        <v>20</v>
      </c>
      <c r="N763" t="s">
        <v>421</v>
      </c>
    </row>
    <row r="764" spans="1:14" x14ac:dyDescent="0.3">
      <c r="A764" t="s">
        <v>613</v>
      </c>
      <c r="B764" s="2">
        <v>46226</v>
      </c>
      <c r="C764" s="2">
        <v>46228</v>
      </c>
      <c r="D764" s="1" t="s">
        <v>611</v>
      </c>
      <c r="E764" t="s">
        <v>612</v>
      </c>
      <c r="F764" t="s">
        <v>495</v>
      </c>
      <c r="G764" s="5">
        <v>13</v>
      </c>
      <c r="H764" s="5">
        <v>8</v>
      </c>
      <c r="I764" s="5">
        <v>6</v>
      </c>
      <c r="J764" s="5">
        <v>2</v>
      </c>
      <c r="K764" s="8">
        <f t="shared" si="24"/>
        <v>61.53846153846154</v>
      </c>
      <c r="L764" s="8">
        <f t="shared" si="25"/>
        <v>33.333333333333329</v>
      </c>
      <c r="M764" t="s">
        <v>20</v>
      </c>
      <c r="N764" t="s">
        <v>421</v>
      </c>
    </row>
    <row r="765" spans="1:14" x14ac:dyDescent="0.3">
      <c r="A765" t="s">
        <v>614</v>
      </c>
      <c r="B765" s="2">
        <v>46227</v>
      </c>
      <c r="C765" s="2">
        <v>46228</v>
      </c>
      <c r="D765" s="1" t="s">
        <v>611</v>
      </c>
      <c r="E765" t="s">
        <v>612</v>
      </c>
      <c r="F765" t="s">
        <v>495</v>
      </c>
      <c r="G765" s="5">
        <v>13</v>
      </c>
      <c r="H765" s="5">
        <v>7</v>
      </c>
      <c r="I765" s="5">
        <v>6</v>
      </c>
      <c r="J765" s="5">
        <v>1</v>
      </c>
      <c r="K765" s="8">
        <f t="shared" ref="K765:K828" si="26">(H765/G765)*100</f>
        <v>53.846153846153847</v>
      </c>
      <c r="L765" s="8">
        <f t="shared" si="25"/>
        <v>16.666666666666664</v>
      </c>
      <c r="M765" t="s">
        <v>20</v>
      </c>
      <c r="N765" t="s">
        <v>421</v>
      </c>
    </row>
    <row r="766" spans="1:14" x14ac:dyDescent="0.3">
      <c r="A766" t="s">
        <v>615</v>
      </c>
      <c r="B766" s="2">
        <v>46212</v>
      </c>
      <c r="C766" s="2">
        <v>46220</v>
      </c>
      <c r="D766" s="1" t="s">
        <v>54</v>
      </c>
      <c r="E766" t="s">
        <v>55</v>
      </c>
      <c r="F766" t="s">
        <v>495</v>
      </c>
      <c r="G766" s="5">
        <v>1035</v>
      </c>
      <c r="H766" s="5">
        <v>1017</v>
      </c>
      <c r="I766" s="5">
        <v>992</v>
      </c>
      <c r="J766" s="5">
        <v>25</v>
      </c>
      <c r="K766" s="8">
        <f t="shared" si="26"/>
        <v>98.260869565217391</v>
      </c>
      <c r="L766" s="8">
        <f t="shared" ref="L766:L829" si="27">((H766-I766)/I766)*100</f>
        <v>2.5201612903225805</v>
      </c>
      <c r="M766" t="s">
        <v>20</v>
      </c>
      <c r="N766" t="s">
        <v>421</v>
      </c>
    </row>
    <row r="767" spans="1:14" x14ac:dyDescent="0.3">
      <c r="A767" t="s">
        <v>616</v>
      </c>
      <c r="B767" s="2">
        <v>46219</v>
      </c>
      <c r="C767" s="2">
        <v>46232</v>
      </c>
      <c r="D767" s="1" t="s">
        <v>54</v>
      </c>
      <c r="E767" t="s">
        <v>55</v>
      </c>
      <c r="F767" t="s">
        <v>495</v>
      </c>
      <c r="G767" s="5">
        <v>621</v>
      </c>
      <c r="H767" s="5">
        <v>410</v>
      </c>
      <c r="I767" s="5">
        <v>400</v>
      </c>
      <c r="J767" s="5">
        <v>10</v>
      </c>
      <c r="K767" s="8">
        <f t="shared" si="26"/>
        <v>66.022544283413851</v>
      </c>
      <c r="L767" s="8">
        <f t="shared" si="27"/>
        <v>2.5</v>
      </c>
      <c r="M767" t="s">
        <v>20</v>
      </c>
      <c r="N767" t="s">
        <v>421</v>
      </c>
    </row>
    <row r="768" spans="1:14" x14ac:dyDescent="0.3">
      <c r="A768" t="s">
        <v>617</v>
      </c>
      <c r="B768" s="2">
        <v>46224</v>
      </c>
      <c r="C768" s="2">
        <v>46225</v>
      </c>
      <c r="D768" s="1" t="s">
        <v>54</v>
      </c>
      <c r="E768" t="s">
        <v>55</v>
      </c>
      <c r="F768" t="s">
        <v>495</v>
      </c>
      <c r="G768" s="5">
        <v>414</v>
      </c>
      <c r="H768" s="5">
        <v>386</v>
      </c>
      <c r="I768" s="5">
        <v>379</v>
      </c>
      <c r="J768" s="5">
        <v>7</v>
      </c>
      <c r="K768" s="8">
        <f t="shared" si="26"/>
        <v>93.236714975845416</v>
      </c>
      <c r="L768" s="8">
        <f t="shared" si="27"/>
        <v>1.8469656992084433</v>
      </c>
      <c r="M768" t="s">
        <v>20</v>
      </c>
      <c r="N768" t="s">
        <v>421</v>
      </c>
    </row>
    <row r="769" spans="1:14" x14ac:dyDescent="0.3">
      <c r="A769" t="s">
        <v>618</v>
      </c>
      <c r="B769" s="2">
        <v>46216</v>
      </c>
      <c r="C769" s="2">
        <v>46230</v>
      </c>
      <c r="D769" s="1" t="s">
        <v>619</v>
      </c>
      <c r="E769" t="s">
        <v>620</v>
      </c>
      <c r="F769" t="s">
        <v>420</v>
      </c>
      <c r="G769" s="5">
        <v>80</v>
      </c>
      <c r="H769" s="5">
        <v>80</v>
      </c>
      <c r="I769" s="5">
        <v>80</v>
      </c>
      <c r="J769" s="5">
        <v>0</v>
      </c>
      <c r="K769" s="8">
        <f t="shared" si="26"/>
        <v>100</v>
      </c>
      <c r="L769" s="8">
        <f t="shared" si="27"/>
        <v>0</v>
      </c>
      <c r="M769" t="s">
        <v>20</v>
      </c>
      <c r="N769" t="s">
        <v>421</v>
      </c>
    </row>
    <row r="770" spans="1:14" x14ac:dyDescent="0.3">
      <c r="A770" t="s">
        <v>621</v>
      </c>
      <c r="B770" s="2">
        <v>46216</v>
      </c>
      <c r="C770" s="2">
        <v>46230</v>
      </c>
      <c r="D770" s="1" t="s">
        <v>619</v>
      </c>
      <c r="E770" t="s">
        <v>620</v>
      </c>
      <c r="F770" t="s">
        <v>420</v>
      </c>
      <c r="G770" s="5">
        <v>80</v>
      </c>
      <c r="H770" s="5">
        <v>80</v>
      </c>
      <c r="I770" s="5">
        <v>80</v>
      </c>
      <c r="J770" s="5">
        <v>0</v>
      </c>
      <c r="K770" s="8">
        <f t="shared" si="26"/>
        <v>100</v>
      </c>
      <c r="L770" s="8">
        <f t="shared" si="27"/>
        <v>0</v>
      </c>
      <c r="M770" t="s">
        <v>20</v>
      </c>
      <c r="N770" t="s">
        <v>421</v>
      </c>
    </row>
    <row r="771" spans="1:14" x14ac:dyDescent="0.3">
      <c r="A771" t="s">
        <v>622</v>
      </c>
      <c r="B771" s="2">
        <v>46216</v>
      </c>
      <c r="C771" s="2">
        <v>46217</v>
      </c>
      <c r="D771" s="1" t="s">
        <v>619</v>
      </c>
      <c r="E771" t="s">
        <v>620</v>
      </c>
      <c r="F771" t="s">
        <v>420</v>
      </c>
      <c r="G771" s="5">
        <v>80</v>
      </c>
      <c r="H771" s="5">
        <v>80</v>
      </c>
      <c r="I771" s="5">
        <v>80</v>
      </c>
      <c r="J771" s="5">
        <v>0</v>
      </c>
      <c r="K771" s="8">
        <f t="shared" si="26"/>
        <v>100</v>
      </c>
      <c r="L771" s="8">
        <f t="shared" si="27"/>
        <v>0</v>
      </c>
      <c r="M771" t="s">
        <v>20</v>
      </c>
      <c r="N771" t="s">
        <v>421</v>
      </c>
    </row>
    <row r="772" spans="1:14" x14ac:dyDescent="0.3">
      <c r="A772" t="s">
        <v>623</v>
      </c>
      <c r="B772" s="2">
        <v>46217</v>
      </c>
      <c r="C772" s="2">
        <v>46218</v>
      </c>
      <c r="D772" s="1" t="s">
        <v>619</v>
      </c>
      <c r="E772" t="s">
        <v>620</v>
      </c>
      <c r="F772" t="s">
        <v>420</v>
      </c>
      <c r="G772" s="5">
        <v>78</v>
      </c>
      <c r="H772" s="5">
        <v>78</v>
      </c>
      <c r="I772" s="5">
        <v>78</v>
      </c>
      <c r="J772" s="5">
        <v>0</v>
      </c>
      <c r="K772" s="8">
        <f t="shared" si="26"/>
        <v>100</v>
      </c>
      <c r="L772" s="8">
        <f t="shared" si="27"/>
        <v>0</v>
      </c>
      <c r="M772" t="s">
        <v>20</v>
      </c>
      <c r="N772" t="s">
        <v>421</v>
      </c>
    </row>
    <row r="773" spans="1:14" x14ac:dyDescent="0.3">
      <c r="A773" t="s">
        <v>624</v>
      </c>
      <c r="B773" s="2">
        <v>46218</v>
      </c>
      <c r="C773" s="2">
        <v>46219</v>
      </c>
      <c r="D773" s="1" t="s">
        <v>619</v>
      </c>
      <c r="E773" t="s">
        <v>620</v>
      </c>
      <c r="F773" t="s">
        <v>420</v>
      </c>
      <c r="G773" s="5">
        <v>101</v>
      </c>
      <c r="H773" s="5">
        <v>101</v>
      </c>
      <c r="I773" s="5">
        <v>101</v>
      </c>
      <c r="J773" s="5">
        <v>0</v>
      </c>
      <c r="K773" s="8">
        <f t="shared" si="26"/>
        <v>100</v>
      </c>
      <c r="L773" s="8">
        <f t="shared" si="27"/>
        <v>0</v>
      </c>
      <c r="M773" t="s">
        <v>20</v>
      </c>
      <c r="N773" t="s">
        <v>421</v>
      </c>
    </row>
    <row r="774" spans="1:14" x14ac:dyDescent="0.3">
      <c r="A774" t="s">
        <v>625</v>
      </c>
      <c r="B774" s="2">
        <v>46219</v>
      </c>
      <c r="C774" s="2">
        <v>46220</v>
      </c>
      <c r="D774" s="1" t="s">
        <v>619</v>
      </c>
      <c r="E774" t="s">
        <v>620</v>
      </c>
      <c r="F774" t="s">
        <v>420</v>
      </c>
      <c r="G774" s="5">
        <v>78</v>
      </c>
      <c r="H774" s="5">
        <v>78</v>
      </c>
      <c r="I774" s="5">
        <v>78</v>
      </c>
      <c r="J774" s="5">
        <v>0</v>
      </c>
      <c r="K774" s="8">
        <f t="shared" si="26"/>
        <v>100</v>
      </c>
      <c r="L774" s="8">
        <f t="shared" si="27"/>
        <v>0</v>
      </c>
      <c r="M774" t="s">
        <v>20</v>
      </c>
      <c r="N774" t="s">
        <v>421</v>
      </c>
    </row>
    <row r="775" spans="1:14" x14ac:dyDescent="0.3">
      <c r="A775" t="s">
        <v>626</v>
      </c>
      <c r="B775" s="2">
        <v>46220</v>
      </c>
      <c r="C775" s="2">
        <v>46226</v>
      </c>
      <c r="D775" s="1" t="s">
        <v>619</v>
      </c>
      <c r="E775" t="s">
        <v>620</v>
      </c>
      <c r="F775" t="s">
        <v>420</v>
      </c>
      <c r="G775" s="5">
        <v>108</v>
      </c>
      <c r="H775" s="5">
        <v>108</v>
      </c>
      <c r="I775" s="5">
        <v>108</v>
      </c>
      <c r="J775" s="5">
        <v>0</v>
      </c>
      <c r="K775" s="8">
        <f t="shared" si="26"/>
        <v>100</v>
      </c>
      <c r="L775" s="8">
        <f t="shared" si="27"/>
        <v>0</v>
      </c>
      <c r="M775" t="s">
        <v>20</v>
      </c>
      <c r="N775" t="s">
        <v>421</v>
      </c>
    </row>
    <row r="776" spans="1:14" x14ac:dyDescent="0.3">
      <c r="A776" t="s">
        <v>627</v>
      </c>
      <c r="B776" s="2">
        <v>46223</v>
      </c>
      <c r="C776" s="2">
        <v>46226</v>
      </c>
      <c r="D776" s="1" t="s">
        <v>619</v>
      </c>
      <c r="E776" t="s">
        <v>620</v>
      </c>
      <c r="F776" t="s">
        <v>420</v>
      </c>
      <c r="G776" s="5">
        <v>73</v>
      </c>
      <c r="H776" s="5">
        <v>73</v>
      </c>
      <c r="I776" s="5">
        <v>73</v>
      </c>
      <c r="J776" s="5">
        <v>0</v>
      </c>
      <c r="K776" s="8">
        <f t="shared" si="26"/>
        <v>100</v>
      </c>
      <c r="L776" s="8">
        <f t="shared" si="27"/>
        <v>0</v>
      </c>
      <c r="M776" t="s">
        <v>20</v>
      </c>
      <c r="N776" t="s">
        <v>421</v>
      </c>
    </row>
    <row r="777" spans="1:14" x14ac:dyDescent="0.3">
      <c r="A777" t="s">
        <v>628</v>
      </c>
      <c r="B777" s="2">
        <v>46224</v>
      </c>
      <c r="C777" s="2">
        <v>46224</v>
      </c>
      <c r="D777" s="1" t="s">
        <v>619</v>
      </c>
      <c r="E777" t="s">
        <v>620</v>
      </c>
      <c r="F777" t="s">
        <v>420</v>
      </c>
      <c r="G777" s="5">
        <v>23</v>
      </c>
      <c r="H777" s="5">
        <v>23</v>
      </c>
      <c r="I777" s="5">
        <v>23</v>
      </c>
      <c r="J777" s="5">
        <v>0</v>
      </c>
      <c r="K777" s="8">
        <f t="shared" si="26"/>
        <v>100</v>
      </c>
      <c r="L777" s="8">
        <f t="shared" si="27"/>
        <v>0</v>
      </c>
      <c r="M777" t="s">
        <v>20</v>
      </c>
      <c r="N777" t="s">
        <v>421</v>
      </c>
    </row>
    <row r="778" spans="1:14" x14ac:dyDescent="0.3">
      <c r="A778" t="s">
        <v>629</v>
      </c>
      <c r="B778" s="2">
        <v>46225</v>
      </c>
      <c r="C778" s="2">
        <v>46226</v>
      </c>
      <c r="D778" s="1" t="s">
        <v>619</v>
      </c>
      <c r="E778" t="s">
        <v>620</v>
      </c>
      <c r="F778" t="s">
        <v>420</v>
      </c>
      <c r="G778" s="5">
        <v>50</v>
      </c>
      <c r="H778" s="5">
        <v>50</v>
      </c>
      <c r="I778" s="5">
        <v>50</v>
      </c>
      <c r="J778" s="5">
        <v>0</v>
      </c>
      <c r="K778" s="8">
        <f t="shared" si="26"/>
        <v>100</v>
      </c>
      <c r="L778" s="8">
        <f t="shared" si="27"/>
        <v>0</v>
      </c>
      <c r="M778" t="s">
        <v>20</v>
      </c>
      <c r="N778" t="s">
        <v>421</v>
      </c>
    </row>
    <row r="779" spans="1:14" x14ac:dyDescent="0.3">
      <c r="A779" t="s">
        <v>630</v>
      </c>
      <c r="B779" s="2">
        <v>46226</v>
      </c>
      <c r="C779" s="2">
        <v>46227</v>
      </c>
      <c r="D779" s="1" t="s">
        <v>619</v>
      </c>
      <c r="E779" t="s">
        <v>620</v>
      </c>
      <c r="F779" t="s">
        <v>420</v>
      </c>
      <c r="G779" s="5">
        <v>48</v>
      </c>
      <c r="H779" s="5">
        <v>48</v>
      </c>
      <c r="I779" s="5">
        <v>48</v>
      </c>
      <c r="J779" s="5">
        <v>0</v>
      </c>
      <c r="K779" s="8">
        <f t="shared" si="26"/>
        <v>100</v>
      </c>
      <c r="L779" s="8">
        <f t="shared" si="27"/>
        <v>0</v>
      </c>
      <c r="M779" t="s">
        <v>20</v>
      </c>
      <c r="N779" t="s">
        <v>421</v>
      </c>
    </row>
    <row r="780" spans="1:14" x14ac:dyDescent="0.3">
      <c r="A780" t="s">
        <v>631</v>
      </c>
      <c r="B780" s="2">
        <v>46231</v>
      </c>
      <c r="C780" s="2">
        <v>46232</v>
      </c>
      <c r="D780" s="1" t="s">
        <v>619</v>
      </c>
      <c r="E780" t="s">
        <v>620</v>
      </c>
      <c r="F780" t="s">
        <v>420</v>
      </c>
      <c r="G780" s="5">
        <v>89</v>
      </c>
      <c r="H780" s="5">
        <v>89</v>
      </c>
      <c r="I780" s="5">
        <v>89</v>
      </c>
      <c r="J780" s="5">
        <v>0</v>
      </c>
      <c r="K780" s="8">
        <f t="shared" si="26"/>
        <v>100</v>
      </c>
      <c r="L780" s="8">
        <f t="shared" si="27"/>
        <v>0</v>
      </c>
      <c r="M780" t="s">
        <v>20</v>
      </c>
      <c r="N780" t="s">
        <v>421</v>
      </c>
    </row>
    <row r="781" spans="1:14" x14ac:dyDescent="0.3">
      <c r="A781" t="s">
        <v>632</v>
      </c>
      <c r="B781" s="2">
        <v>46232</v>
      </c>
      <c r="C781" s="2">
        <v>46233</v>
      </c>
      <c r="D781" s="1" t="s">
        <v>619</v>
      </c>
      <c r="E781" t="s">
        <v>620</v>
      </c>
      <c r="F781" t="s">
        <v>420</v>
      </c>
      <c r="G781" s="5">
        <v>48</v>
      </c>
      <c r="H781" s="5">
        <v>48</v>
      </c>
      <c r="I781" s="5">
        <v>48</v>
      </c>
      <c r="J781" s="5">
        <v>0</v>
      </c>
      <c r="K781" s="8">
        <f t="shared" si="26"/>
        <v>100</v>
      </c>
      <c r="L781" s="8">
        <f t="shared" si="27"/>
        <v>0</v>
      </c>
      <c r="M781" t="s">
        <v>20</v>
      </c>
      <c r="N781" t="s">
        <v>421</v>
      </c>
    </row>
    <row r="782" spans="1:14" x14ac:dyDescent="0.3">
      <c r="A782" t="s">
        <v>633</v>
      </c>
      <c r="B782" s="2">
        <v>46216</v>
      </c>
      <c r="C782" s="2">
        <v>46217</v>
      </c>
      <c r="D782" s="1" t="s">
        <v>634</v>
      </c>
      <c r="E782" t="s">
        <v>635</v>
      </c>
      <c r="F782" t="s">
        <v>495</v>
      </c>
      <c r="G782" s="5">
        <v>275</v>
      </c>
      <c r="H782" s="5">
        <v>296</v>
      </c>
      <c r="I782" s="5">
        <v>294</v>
      </c>
      <c r="J782" s="5">
        <v>2</v>
      </c>
      <c r="K782" s="8">
        <f t="shared" si="26"/>
        <v>107.63636363636364</v>
      </c>
      <c r="L782" s="8">
        <f t="shared" si="27"/>
        <v>0.68027210884353739</v>
      </c>
      <c r="M782" t="s">
        <v>20</v>
      </c>
      <c r="N782" t="s">
        <v>421</v>
      </c>
    </row>
    <row r="783" spans="1:14" x14ac:dyDescent="0.3">
      <c r="A783" t="s">
        <v>636</v>
      </c>
      <c r="B783" s="2">
        <v>46230</v>
      </c>
      <c r="C783" s="2">
        <v>46231</v>
      </c>
      <c r="D783" s="1" t="s">
        <v>634</v>
      </c>
      <c r="E783" t="s">
        <v>635</v>
      </c>
      <c r="F783" t="s">
        <v>495</v>
      </c>
      <c r="G783" s="5">
        <v>275</v>
      </c>
      <c r="H783" s="5">
        <v>287</v>
      </c>
      <c r="I783" s="5">
        <v>282</v>
      </c>
      <c r="J783" s="5">
        <v>5</v>
      </c>
      <c r="K783" s="8">
        <f t="shared" si="26"/>
        <v>104.36363636363637</v>
      </c>
      <c r="L783" s="8">
        <f t="shared" si="27"/>
        <v>1.773049645390071</v>
      </c>
      <c r="M783" t="s">
        <v>20</v>
      </c>
      <c r="N783" t="s">
        <v>421</v>
      </c>
    </row>
    <row r="784" spans="1:14" x14ac:dyDescent="0.3">
      <c r="A784" t="s">
        <v>637</v>
      </c>
      <c r="B784" s="2">
        <v>46214</v>
      </c>
      <c r="C784" s="2">
        <v>46217</v>
      </c>
      <c r="D784" s="1" t="s">
        <v>638</v>
      </c>
      <c r="E784" t="s">
        <v>639</v>
      </c>
      <c r="F784" t="s">
        <v>532</v>
      </c>
      <c r="G784" s="5">
        <v>2588</v>
      </c>
      <c r="H784" s="5">
        <v>1358</v>
      </c>
      <c r="I784" s="5">
        <v>1314</v>
      </c>
      <c r="J784" s="5">
        <v>44</v>
      </c>
      <c r="K784" s="8">
        <f t="shared" si="26"/>
        <v>52.472952086553327</v>
      </c>
      <c r="L784" s="8">
        <f t="shared" si="27"/>
        <v>3.3485540334855401</v>
      </c>
      <c r="M784" t="s">
        <v>20</v>
      </c>
      <c r="N784" t="s">
        <v>421</v>
      </c>
    </row>
    <row r="785" spans="1:14" x14ac:dyDescent="0.3">
      <c r="A785" t="s">
        <v>640</v>
      </c>
      <c r="B785" s="2">
        <v>46216</v>
      </c>
      <c r="C785" s="2">
        <v>46217</v>
      </c>
      <c r="D785" s="1" t="s">
        <v>638</v>
      </c>
      <c r="E785" t="s">
        <v>639</v>
      </c>
      <c r="F785" t="s">
        <v>532</v>
      </c>
      <c r="G785" s="5">
        <v>2588</v>
      </c>
      <c r="H785" s="5">
        <v>2944</v>
      </c>
      <c r="I785" s="5">
        <v>2898</v>
      </c>
      <c r="J785" s="5">
        <v>46</v>
      </c>
      <c r="K785" s="8">
        <f t="shared" si="26"/>
        <v>113.75579598145286</v>
      </c>
      <c r="L785" s="8">
        <f t="shared" si="27"/>
        <v>1.5873015873015872</v>
      </c>
      <c r="M785" t="s">
        <v>20</v>
      </c>
      <c r="N785" t="s">
        <v>421</v>
      </c>
    </row>
    <row r="786" spans="1:14" x14ac:dyDescent="0.3">
      <c r="A786" t="s">
        <v>641</v>
      </c>
      <c r="B786" s="2">
        <v>46219</v>
      </c>
      <c r="C786" s="2">
        <v>46220</v>
      </c>
      <c r="D786" s="1" t="s">
        <v>638</v>
      </c>
      <c r="E786" t="s">
        <v>639</v>
      </c>
      <c r="F786" t="s">
        <v>532</v>
      </c>
      <c r="G786" s="5">
        <v>6470</v>
      </c>
      <c r="H786" s="5">
        <v>6448</v>
      </c>
      <c r="I786" s="5">
        <v>6228</v>
      </c>
      <c r="J786" s="5">
        <v>220</v>
      </c>
      <c r="K786" s="8">
        <f t="shared" si="26"/>
        <v>99.659969088098919</v>
      </c>
      <c r="L786" s="8">
        <f t="shared" si="27"/>
        <v>3.5324341682723186</v>
      </c>
      <c r="M786" t="s">
        <v>20</v>
      </c>
      <c r="N786" t="s">
        <v>421</v>
      </c>
    </row>
    <row r="787" spans="1:14" x14ac:dyDescent="0.3">
      <c r="A787" t="s">
        <v>642</v>
      </c>
      <c r="B787" s="2">
        <v>46220</v>
      </c>
      <c r="C787" s="2">
        <v>46221</v>
      </c>
      <c r="D787" s="1" t="s">
        <v>638</v>
      </c>
      <c r="E787" t="s">
        <v>639</v>
      </c>
      <c r="F787" t="s">
        <v>532</v>
      </c>
      <c r="G787" s="5">
        <v>2588</v>
      </c>
      <c r="H787" s="5">
        <v>2609</v>
      </c>
      <c r="I787" s="5">
        <v>2556</v>
      </c>
      <c r="J787" s="5">
        <v>53</v>
      </c>
      <c r="K787" s="8">
        <f t="shared" si="26"/>
        <v>100.8114374034003</v>
      </c>
      <c r="L787" s="8">
        <f t="shared" si="27"/>
        <v>2.0735524256651017</v>
      </c>
      <c r="M787" t="s">
        <v>20</v>
      </c>
      <c r="N787" t="s">
        <v>421</v>
      </c>
    </row>
    <row r="788" spans="1:14" x14ac:dyDescent="0.3">
      <c r="A788" t="s">
        <v>643</v>
      </c>
      <c r="B788" s="2">
        <v>46221</v>
      </c>
      <c r="C788" s="2">
        <v>46223</v>
      </c>
      <c r="D788" s="1" t="s">
        <v>638</v>
      </c>
      <c r="E788" t="s">
        <v>639</v>
      </c>
      <c r="F788" t="s">
        <v>532</v>
      </c>
      <c r="G788" s="5">
        <v>1294</v>
      </c>
      <c r="H788" s="5">
        <v>1320</v>
      </c>
      <c r="I788" s="5">
        <v>1296</v>
      </c>
      <c r="J788" s="5">
        <v>24</v>
      </c>
      <c r="K788" s="8">
        <f t="shared" si="26"/>
        <v>102.00927357032457</v>
      </c>
      <c r="L788" s="8">
        <f t="shared" si="27"/>
        <v>1.8518518518518516</v>
      </c>
      <c r="M788" t="s">
        <v>20</v>
      </c>
      <c r="N788" t="s">
        <v>421</v>
      </c>
    </row>
    <row r="789" spans="1:14" x14ac:dyDescent="0.3">
      <c r="A789" t="s">
        <v>644</v>
      </c>
      <c r="B789" s="2">
        <v>46225</v>
      </c>
      <c r="C789" s="2">
        <v>46227</v>
      </c>
      <c r="D789" s="1" t="s">
        <v>638</v>
      </c>
      <c r="E789" t="s">
        <v>639</v>
      </c>
      <c r="F789" t="s">
        <v>532</v>
      </c>
      <c r="G789" s="5">
        <v>5176</v>
      </c>
      <c r="H789" s="5">
        <v>5159</v>
      </c>
      <c r="I789" s="5">
        <v>5058</v>
      </c>
      <c r="J789" s="5">
        <v>101</v>
      </c>
      <c r="K789" s="8">
        <f t="shared" si="26"/>
        <v>99.67156105100463</v>
      </c>
      <c r="L789" s="8">
        <f t="shared" si="27"/>
        <v>1.9968366943455913</v>
      </c>
      <c r="M789" t="s">
        <v>20</v>
      </c>
      <c r="N789" t="s">
        <v>421</v>
      </c>
    </row>
    <row r="790" spans="1:14" x14ac:dyDescent="0.3">
      <c r="A790" t="s">
        <v>645</v>
      </c>
      <c r="B790" s="2">
        <v>46227</v>
      </c>
      <c r="C790" s="2">
        <v>46228</v>
      </c>
      <c r="D790" s="1" t="s">
        <v>638</v>
      </c>
      <c r="E790" t="s">
        <v>639</v>
      </c>
      <c r="F790" t="s">
        <v>532</v>
      </c>
      <c r="G790" s="5">
        <v>5176</v>
      </c>
      <c r="H790" s="5">
        <v>5079</v>
      </c>
      <c r="I790" s="5">
        <v>4992</v>
      </c>
      <c r="J790" s="5">
        <v>87</v>
      </c>
      <c r="K790" s="8">
        <f t="shared" si="26"/>
        <v>98.125965996908818</v>
      </c>
      <c r="L790" s="8">
        <f t="shared" si="27"/>
        <v>1.7427884615384617</v>
      </c>
      <c r="M790" t="s">
        <v>20</v>
      </c>
      <c r="N790" t="s">
        <v>421</v>
      </c>
    </row>
    <row r="791" spans="1:14" x14ac:dyDescent="0.3">
      <c r="A791" t="s">
        <v>646</v>
      </c>
      <c r="B791" s="2">
        <v>46217</v>
      </c>
      <c r="C791" s="2">
        <v>46218</v>
      </c>
      <c r="D791" s="1" t="s">
        <v>647</v>
      </c>
      <c r="E791" t="s">
        <v>648</v>
      </c>
      <c r="F791" t="s">
        <v>532</v>
      </c>
      <c r="G791" s="5">
        <v>1380</v>
      </c>
      <c r="H791" s="5">
        <v>2733</v>
      </c>
      <c r="I791" s="5">
        <v>2718</v>
      </c>
      <c r="J791" s="5">
        <v>15</v>
      </c>
      <c r="K791" s="8">
        <f t="shared" si="26"/>
        <v>198.04347826086956</v>
      </c>
      <c r="L791" s="8">
        <f t="shared" si="27"/>
        <v>0.55187637969094927</v>
      </c>
      <c r="M791" t="s">
        <v>20</v>
      </c>
      <c r="N791" t="s">
        <v>421</v>
      </c>
    </row>
    <row r="792" spans="1:14" x14ac:dyDescent="0.3">
      <c r="A792" t="s">
        <v>649</v>
      </c>
      <c r="B792" s="2">
        <v>46221</v>
      </c>
      <c r="C792" s="2">
        <v>46223</v>
      </c>
      <c r="D792" s="1" t="s">
        <v>647</v>
      </c>
      <c r="E792" t="s">
        <v>648</v>
      </c>
      <c r="F792" t="s">
        <v>532</v>
      </c>
      <c r="G792" s="5">
        <v>1380</v>
      </c>
      <c r="H792" s="5">
        <v>1388</v>
      </c>
      <c r="I792" s="5">
        <v>1350</v>
      </c>
      <c r="J792" s="5">
        <v>38</v>
      </c>
      <c r="K792" s="8">
        <f t="shared" si="26"/>
        <v>100.57971014492753</v>
      </c>
      <c r="L792" s="8">
        <f t="shared" si="27"/>
        <v>2.8148148148148149</v>
      </c>
      <c r="M792" t="s">
        <v>20</v>
      </c>
      <c r="N792" t="s">
        <v>421</v>
      </c>
    </row>
    <row r="793" spans="1:14" x14ac:dyDescent="0.3">
      <c r="A793" t="s">
        <v>650</v>
      </c>
      <c r="B793" s="2">
        <v>46223</v>
      </c>
      <c r="C793" s="2">
        <v>46224</v>
      </c>
      <c r="D793" s="1" t="s">
        <v>647</v>
      </c>
      <c r="E793" t="s">
        <v>648</v>
      </c>
      <c r="F793" t="s">
        <v>532</v>
      </c>
      <c r="G793" s="5">
        <v>4140</v>
      </c>
      <c r="H793" s="5">
        <v>4184</v>
      </c>
      <c r="I793" s="5">
        <v>4128</v>
      </c>
      <c r="J793" s="5">
        <v>56</v>
      </c>
      <c r="K793" s="8">
        <f t="shared" si="26"/>
        <v>101.06280193236714</v>
      </c>
      <c r="L793" s="8">
        <f t="shared" si="27"/>
        <v>1.3565891472868217</v>
      </c>
      <c r="M793" t="s">
        <v>20</v>
      </c>
      <c r="N793" t="s">
        <v>421</v>
      </c>
    </row>
    <row r="794" spans="1:14" x14ac:dyDescent="0.3">
      <c r="A794" t="s">
        <v>651</v>
      </c>
      <c r="B794" s="2">
        <v>46225</v>
      </c>
      <c r="C794" s="2">
        <v>46226</v>
      </c>
      <c r="D794" s="1" t="s">
        <v>647</v>
      </c>
      <c r="E794" t="s">
        <v>648</v>
      </c>
      <c r="F794" t="s">
        <v>532</v>
      </c>
      <c r="G794" s="5">
        <v>1380</v>
      </c>
      <c r="H794" s="5">
        <v>1295</v>
      </c>
      <c r="I794" s="5">
        <v>1272</v>
      </c>
      <c r="J794" s="5">
        <v>23</v>
      </c>
      <c r="K794" s="8">
        <f t="shared" si="26"/>
        <v>93.840579710144922</v>
      </c>
      <c r="L794" s="8">
        <f t="shared" si="27"/>
        <v>1.8081761006289307</v>
      </c>
      <c r="M794" t="s">
        <v>20</v>
      </c>
      <c r="N794" t="s">
        <v>421</v>
      </c>
    </row>
    <row r="795" spans="1:14" x14ac:dyDescent="0.3">
      <c r="A795" t="s">
        <v>652</v>
      </c>
      <c r="B795" s="2">
        <v>46230</v>
      </c>
      <c r="C795" s="2">
        <v>46231</v>
      </c>
      <c r="D795" s="1" t="s">
        <v>647</v>
      </c>
      <c r="E795" t="s">
        <v>648</v>
      </c>
      <c r="F795" t="s">
        <v>532</v>
      </c>
      <c r="G795" s="5">
        <v>4140</v>
      </c>
      <c r="H795" s="5">
        <v>4087</v>
      </c>
      <c r="I795" s="5">
        <v>4032</v>
      </c>
      <c r="J795" s="5">
        <v>55</v>
      </c>
      <c r="K795" s="8">
        <f t="shared" si="26"/>
        <v>98.719806763285021</v>
      </c>
      <c r="L795" s="8">
        <f t="shared" si="27"/>
        <v>1.3640873015873016</v>
      </c>
      <c r="M795" t="s">
        <v>20</v>
      </c>
      <c r="N795" t="s">
        <v>421</v>
      </c>
    </row>
    <row r="796" spans="1:14" x14ac:dyDescent="0.3">
      <c r="A796" t="s">
        <v>653</v>
      </c>
      <c r="B796" s="2">
        <v>46217</v>
      </c>
      <c r="C796" s="2">
        <v>46218</v>
      </c>
      <c r="D796" s="1" t="s">
        <v>654</v>
      </c>
      <c r="E796" t="s">
        <v>655</v>
      </c>
      <c r="F796" t="s">
        <v>438</v>
      </c>
      <c r="G796" s="5">
        <v>160</v>
      </c>
      <c r="H796" s="5">
        <v>180</v>
      </c>
      <c r="I796" s="5">
        <v>180</v>
      </c>
      <c r="J796" s="5">
        <v>0</v>
      </c>
      <c r="K796" s="8">
        <f t="shared" si="26"/>
        <v>112.5</v>
      </c>
      <c r="L796" s="8">
        <f t="shared" si="27"/>
        <v>0</v>
      </c>
      <c r="M796" t="s">
        <v>20</v>
      </c>
      <c r="N796" t="s">
        <v>421</v>
      </c>
    </row>
    <row r="797" spans="1:14" x14ac:dyDescent="0.3">
      <c r="A797" t="s">
        <v>656</v>
      </c>
      <c r="B797" s="2">
        <v>46219</v>
      </c>
      <c r="C797" s="2">
        <v>46220</v>
      </c>
      <c r="D797" s="1" t="s">
        <v>654</v>
      </c>
      <c r="E797" t="s">
        <v>655</v>
      </c>
      <c r="F797" t="s">
        <v>438</v>
      </c>
      <c r="G797" s="5">
        <v>160</v>
      </c>
      <c r="H797" s="5">
        <v>220</v>
      </c>
      <c r="I797" s="5">
        <v>215</v>
      </c>
      <c r="J797" s="5">
        <v>5</v>
      </c>
      <c r="K797" s="8">
        <f t="shared" si="26"/>
        <v>137.5</v>
      </c>
      <c r="L797" s="8">
        <f t="shared" si="27"/>
        <v>2.3255813953488373</v>
      </c>
      <c r="M797" t="s">
        <v>20</v>
      </c>
      <c r="N797" t="s">
        <v>421</v>
      </c>
    </row>
    <row r="798" spans="1:14" x14ac:dyDescent="0.3">
      <c r="A798" t="s">
        <v>657</v>
      </c>
      <c r="B798" s="2">
        <v>46226</v>
      </c>
      <c r="C798" s="2">
        <v>46227</v>
      </c>
      <c r="D798" s="1" t="s">
        <v>654</v>
      </c>
      <c r="E798" t="s">
        <v>655</v>
      </c>
      <c r="F798" t="s">
        <v>438</v>
      </c>
      <c r="G798" s="5">
        <v>160</v>
      </c>
      <c r="H798" s="5">
        <v>179</v>
      </c>
      <c r="I798" s="5">
        <v>175</v>
      </c>
      <c r="J798" s="5">
        <v>4</v>
      </c>
      <c r="K798" s="8">
        <f t="shared" si="26"/>
        <v>111.87499999999999</v>
      </c>
      <c r="L798" s="8">
        <f t="shared" si="27"/>
        <v>2.2857142857142856</v>
      </c>
      <c r="M798" t="s">
        <v>20</v>
      </c>
      <c r="N798" t="s">
        <v>421</v>
      </c>
    </row>
    <row r="799" spans="1:14" x14ac:dyDescent="0.3">
      <c r="A799" t="s">
        <v>658</v>
      </c>
      <c r="B799" s="2">
        <v>46230</v>
      </c>
      <c r="C799" s="2">
        <v>46231</v>
      </c>
      <c r="D799" s="1" t="s">
        <v>654</v>
      </c>
      <c r="E799" t="s">
        <v>655</v>
      </c>
      <c r="F799" t="s">
        <v>438</v>
      </c>
      <c r="G799" s="5">
        <v>160</v>
      </c>
      <c r="H799" s="5">
        <v>168</v>
      </c>
      <c r="I799" s="5">
        <v>165</v>
      </c>
      <c r="J799" s="5">
        <v>3</v>
      </c>
      <c r="K799" s="8">
        <f t="shared" si="26"/>
        <v>105</v>
      </c>
      <c r="L799" s="8">
        <f t="shared" si="27"/>
        <v>1.8181818181818181</v>
      </c>
      <c r="M799" t="s">
        <v>20</v>
      </c>
      <c r="N799" t="s">
        <v>421</v>
      </c>
    </row>
    <row r="800" spans="1:14" x14ac:dyDescent="0.3">
      <c r="A800" t="s">
        <v>659</v>
      </c>
      <c r="B800" s="2">
        <v>46231</v>
      </c>
      <c r="C800" s="2">
        <v>46232</v>
      </c>
      <c r="D800" s="1" t="s">
        <v>654</v>
      </c>
      <c r="E800" t="s">
        <v>655</v>
      </c>
      <c r="F800" t="s">
        <v>438</v>
      </c>
      <c r="G800" s="5">
        <v>160</v>
      </c>
      <c r="H800" s="5">
        <v>171</v>
      </c>
      <c r="I800" s="5">
        <v>170</v>
      </c>
      <c r="J800" s="5">
        <v>1</v>
      </c>
      <c r="K800" s="8">
        <f t="shared" si="26"/>
        <v>106.87500000000001</v>
      </c>
      <c r="L800" s="8">
        <f t="shared" si="27"/>
        <v>0.58823529411764708</v>
      </c>
      <c r="M800" t="s">
        <v>20</v>
      </c>
      <c r="N800" t="s">
        <v>421</v>
      </c>
    </row>
    <row r="801" spans="1:14" x14ac:dyDescent="0.3">
      <c r="A801" t="s">
        <v>660</v>
      </c>
      <c r="B801" s="2">
        <v>46211</v>
      </c>
      <c r="C801" s="2">
        <v>46217</v>
      </c>
      <c r="D801" s="1" t="s">
        <v>661</v>
      </c>
      <c r="E801" t="s">
        <v>662</v>
      </c>
      <c r="F801" t="s">
        <v>532</v>
      </c>
      <c r="G801" s="5">
        <v>700</v>
      </c>
      <c r="H801" s="5">
        <v>532</v>
      </c>
      <c r="I801" s="5">
        <v>350</v>
      </c>
      <c r="J801" s="5">
        <v>182</v>
      </c>
      <c r="K801" s="8">
        <f t="shared" si="26"/>
        <v>76</v>
      </c>
      <c r="L801" s="8">
        <f t="shared" si="27"/>
        <v>52</v>
      </c>
      <c r="M801" t="s">
        <v>20</v>
      </c>
      <c r="N801" t="s">
        <v>421</v>
      </c>
    </row>
    <row r="802" spans="1:14" x14ac:dyDescent="0.3">
      <c r="A802" t="s">
        <v>663</v>
      </c>
      <c r="B802" s="2">
        <v>46217</v>
      </c>
      <c r="C802" s="2">
        <v>46218</v>
      </c>
      <c r="D802" s="1" t="s">
        <v>661</v>
      </c>
      <c r="E802" t="s">
        <v>662</v>
      </c>
      <c r="F802" t="s">
        <v>532</v>
      </c>
      <c r="G802" s="5">
        <v>700</v>
      </c>
      <c r="H802" s="5">
        <v>545</v>
      </c>
      <c r="I802" s="5">
        <v>530</v>
      </c>
      <c r="J802" s="5">
        <v>15</v>
      </c>
      <c r="K802" s="8">
        <f t="shared" si="26"/>
        <v>77.857142857142861</v>
      </c>
      <c r="L802" s="8">
        <f t="shared" si="27"/>
        <v>2.8301886792452833</v>
      </c>
      <c r="M802" t="s">
        <v>20</v>
      </c>
      <c r="N802" t="s">
        <v>421</v>
      </c>
    </row>
    <row r="803" spans="1:14" x14ac:dyDescent="0.3">
      <c r="A803" t="s">
        <v>664</v>
      </c>
      <c r="B803" s="2">
        <v>46218</v>
      </c>
      <c r="C803" s="2">
        <v>46219</v>
      </c>
      <c r="D803" s="1" t="s">
        <v>661</v>
      </c>
      <c r="E803" t="s">
        <v>662</v>
      </c>
      <c r="F803" t="s">
        <v>532</v>
      </c>
      <c r="G803" s="5">
        <v>700</v>
      </c>
      <c r="H803" s="5">
        <v>664</v>
      </c>
      <c r="I803" s="5">
        <v>630</v>
      </c>
      <c r="J803" s="5">
        <v>34</v>
      </c>
      <c r="K803" s="8">
        <f t="shared" si="26"/>
        <v>94.857142857142861</v>
      </c>
      <c r="L803" s="8">
        <f t="shared" si="27"/>
        <v>5.3968253968253972</v>
      </c>
      <c r="M803" t="s">
        <v>20</v>
      </c>
      <c r="N803" t="s">
        <v>421</v>
      </c>
    </row>
    <row r="804" spans="1:14" x14ac:dyDescent="0.3">
      <c r="A804" t="s">
        <v>665</v>
      </c>
      <c r="B804" s="2">
        <v>46221</v>
      </c>
      <c r="C804" s="2">
        <v>46223</v>
      </c>
      <c r="D804" s="1" t="s">
        <v>661</v>
      </c>
      <c r="E804" t="s">
        <v>662</v>
      </c>
      <c r="F804" t="s">
        <v>532</v>
      </c>
      <c r="G804" s="5">
        <v>525</v>
      </c>
      <c r="H804" s="5">
        <v>645</v>
      </c>
      <c r="I804" s="5">
        <v>580</v>
      </c>
      <c r="J804" s="5">
        <v>65</v>
      </c>
      <c r="K804" s="8">
        <f t="shared" si="26"/>
        <v>122.85714285714286</v>
      </c>
      <c r="L804" s="8">
        <f t="shared" si="27"/>
        <v>11.206896551724139</v>
      </c>
      <c r="M804" t="s">
        <v>20</v>
      </c>
      <c r="N804" t="s">
        <v>421</v>
      </c>
    </row>
    <row r="805" spans="1:14" x14ac:dyDescent="0.3">
      <c r="A805" t="s">
        <v>666</v>
      </c>
      <c r="B805" s="2">
        <v>46224</v>
      </c>
      <c r="C805" s="2">
        <v>46225</v>
      </c>
      <c r="D805" s="1" t="s">
        <v>661</v>
      </c>
      <c r="E805" t="s">
        <v>662</v>
      </c>
      <c r="F805" t="s">
        <v>532</v>
      </c>
      <c r="G805" s="5">
        <v>525</v>
      </c>
      <c r="H805" s="5">
        <v>529</v>
      </c>
      <c r="I805" s="5">
        <v>500</v>
      </c>
      <c r="J805" s="5">
        <v>29</v>
      </c>
      <c r="K805" s="8">
        <f t="shared" si="26"/>
        <v>100.76190476190476</v>
      </c>
      <c r="L805" s="8">
        <f t="shared" si="27"/>
        <v>5.8000000000000007</v>
      </c>
      <c r="M805" t="s">
        <v>20</v>
      </c>
      <c r="N805" t="s">
        <v>421</v>
      </c>
    </row>
    <row r="806" spans="1:14" x14ac:dyDescent="0.3">
      <c r="A806" t="s">
        <v>667</v>
      </c>
      <c r="B806" s="2">
        <v>46225</v>
      </c>
      <c r="C806" s="2">
        <v>46227</v>
      </c>
      <c r="D806" s="1" t="s">
        <v>661</v>
      </c>
      <c r="E806" t="s">
        <v>662</v>
      </c>
      <c r="F806" t="s">
        <v>532</v>
      </c>
      <c r="G806" s="5">
        <v>525</v>
      </c>
      <c r="H806" s="5">
        <v>580</v>
      </c>
      <c r="I806" s="5">
        <v>520</v>
      </c>
      <c r="J806" s="5">
        <v>60</v>
      </c>
      <c r="K806" s="8">
        <f t="shared" si="26"/>
        <v>110.47619047619048</v>
      </c>
      <c r="L806" s="8">
        <f t="shared" si="27"/>
        <v>11.538461538461538</v>
      </c>
      <c r="M806" t="s">
        <v>20</v>
      </c>
      <c r="N806" t="s">
        <v>421</v>
      </c>
    </row>
    <row r="807" spans="1:14" x14ac:dyDescent="0.3">
      <c r="A807" t="s">
        <v>668</v>
      </c>
      <c r="B807" s="2">
        <v>46227</v>
      </c>
      <c r="C807" s="2">
        <v>46228</v>
      </c>
      <c r="D807" s="1" t="s">
        <v>661</v>
      </c>
      <c r="E807" t="s">
        <v>662</v>
      </c>
      <c r="F807" t="s">
        <v>532</v>
      </c>
      <c r="G807" s="5">
        <v>525</v>
      </c>
      <c r="H807" s="5">
        <v>610</v>
      </c>
      <c r="I807" s="5">
        <v>600</v>
      </c>
      <c r="J807" s="5">
        <v>10</v>
      </c>
      <c r="K807" s="8">
        <f t="shared" si="26"/>
        <v>116.1904761904762</v>
      </c>
      <c r="L807" s="8">
        <f t="shared" si="27"/>
        <v>1.6666666666666667</v>
      </c>
      <c r="M807" t="s">
        <v>20</v>
      </c>
      <c r="N807" t="s">
        <v>421</v>
      </c>
    </row>
    <row r="808" spans="1:14" x14ac:dyDescent="0.3">
      <c r="A808" t="s">
        <v>669</v>
      </c>
      <c r="B808" s="2">
        <v>46232</v>
      </c>
      <c r="C808" s="2">
        <v>46233</v>
      </c>
      <c r="D808" s="1" t="s">
        <v>661</v>
      </c>
      <c r="E808" t="s">
        <v>662</v>
      </c>
      <c r="F808" t="s">
        <v>532</v>
      </c>
      <c r="G808" s="5">
        <v>525</v>
      </c>
      <c r="H808" s="5">
        <v>590</v>
      </c>
      <c r="I808" s="5">
        <v>582</v>
      </c>
      <c r="J808" s="5">
        <v>8</v>
      </c>
      <c r="K808" s="8">
        <f t="shared" si="26"/>
        <v>112.38095238095238</v>
      </c>
      <c r="L808" s="8">
        <f t="shared" si="27"/>
        <v>1.3745704467353952</v>
      </c>
      <c r="M808" t="s">
        <v>20</v>
      </c>
      <c r="N808" t="s">
        <v>421</v>
      </c>
    </row>
    <row r="809" spans="1:14" x14ac:dyDescent="0.3">
      <c r="A809" t="s">
        <v>670</v>
      </c>
      <c r="B809" s="2">
        <v>46231</v>
      </c>
      <c r="C809" s="2">
        <v>46232</v>
      </c>
      <c r="D809" s="1" t="s">
        <v>671</v>
      </c>
      <c r="E809" t="s">
        <v>672</v>
      </c>
      <c r="F809" t="s">
        <v>532</v>
      </c>
      <c r="G809" s="5">
        <v>750</v>
      </c>
      <c r="H809" s="5">
        <v>731</v>
      </c>
      <c r="I809" s="5">
        <v>730</v>
      </c>
      <c r="J809" s="5">
        <v>1</v>
      </c>
      <c r="K809" s="8">
        <f t="shared" si="26"/>
        <v>97.466666666666669</v>
      </c>
      <c r="L809" s="8">
        <f t="shared" si="27"/>
        <v>0.13698630136986301</v>
      </c>
      <c r="M809" t="s">
        <v>20</v>
      </c>
      <c r="N809" t="s">
        <v>421</v>
      </c>
    </row>
    <row r="810" spans="1:14" x14ac:dyDescent="0.3">
      <c r="A810" t="s">
        <v>673</v>
      </c>
      <c r="B810" s="2">
        <v>46232</v>
      </c>
      <c r="C810" s="2">
        <v>46233</v>
      </c>
      <c r="D810" s="1" t="s">
        <v>671</v>
      </c>
      <c r="E810" t="s">
        <v>672</v>
      </c>
      <c r="F810" t="s">
        <v>532</v>
      </c>
      <c r="G810" s="5">
        <v>750</v>
      </c>
      <c r="H810" s="5">
        <v>774</v>
      </c>
      <c r="I810" s="5">
        <v>770</v>
      </c>
      <c r="J810" s="5">
        <v>4</v>
      </c>
      <c r="K810" s="8">
        <f t="shared" si="26"/>
        <v>103.2</v>
      </c>
      <c r="L810" s="8">
        <f t="shared" si="27"/>
        <v>0.51948051948051943</v>
      </c>
      <c r="M810" t="s">
        <v>20</v>
      </c>
      <c r="N810" t="s">
        <v>421</v>
      </c>
    </row>
    <row r="811" spans="1:14" x14ac:dyDescent="0.3">
      <c r="A811" t="s">
        <v>674</v>
      </c>
      <c r="B811" s="2">
        <v>46216</v>
      </c>
      <c r="C811" s="2">
        <v>46217</v>
      </c>
      <c r="D811" s="1" t="s">
        <v>675</v>
      </c>
      <c r="E811" t="s">
        <v>676</v>
      </c>
      <c r="F811" t="s">
        <v>677</v>
      </c>
      <c r="G811" s="5">
        <v>2000</v>
      </c>
      <c r="H811" s="5">
        <v>2013</v>
      </c>
      <c r="I811" s="5">
        <v>2010</v>
      </c>
      <c r="J811" s="5">
        <v>3</v>
      </c>
      <c r="K811" s="8">
        <f t="shared" si="26"/>
        <v>100.64999999999999</v>
      </c>
      <c r="L811" s="8">
        <f t="shared" si="27"/>
        <v>0.1492537313432836</v>
      </c>
      <c r="M811" t="s">
        <v>20</v>
      </c>
      <c r="N811" t="s">
        <v>421</v>
      </c>
    </row>
    <row r="812" spans="1:14" x14ac:dyDescent="0.3">
      <c r="A812" t="s">
        <v>678</v>
      </c>
      <c r="B812" s="2">
        <v>46232</v>
      </c>
      <c r="C812" s="2">
        <v>46233</v>
      </c>
      <c r="D812" s="1" t="s">
        <v>675</v>
      </c>
      <c r="E812" t="s">
        <v>676</v>
      </c>
      <c r="F812" t="s">
        <v>677</v>
      </c>
      <c r="G812" s="5">
        <v>500</v>
      </c>
      <c r="H812" s="5">
        <v>500</v>
      </c>
      <c r="I812" s="5">
        <v>500</v>
      </c>
      <c r="J812" s="5">
        <v>0</v>
      </c>
      <c r="K812" s="8">
        <f t="shared" si="26"/>
        <v>100</v>
      </c>
      <c r="L812" s="8">
        <f t="shared" si="27"/>
        <v>0</v>
      </c>
      <c r="M812" t="s">
        <v>20</v>
      </c>
      <c r="N812" t="s">
        <v>421</v>
      </c>
    </row>
    <row r="813" spans="1:14" x14ac:dyDescent="0.3">
      <c r="A813" t="s">
        <v>679</v>
      </c>
      <c r="B813" s="2">
        <v>46217</v>
      </c>
      <c r="C813" s="2">
        <v>46218</v>
      </c>
      <c r="D813" s="1" t="s">
        <v>680</v>
      </c>
      <c r="E813" t="s">
        <v>681</v>
      </c>
      <c r="F813" t="s">
        <v>677</v>
      </c>
      <c r="G813" s="5">
        <v>782</v>
      </c>
      <c r="H813" s="5">
        <v>750</v>
      </c>
      <c r="I813" s="5">
        <v>750</v>
      </c>
      <c r="J813" s="5">
        <v>0</v>
      </c>
      <c r="K813" s="8">
        <f t="shared" si="26"/>
        <v>95.907928388746797</v>
      </c>
      <c r="L813" s="8">
        <f t="shared" si="27"/>
        <v>0</v>
      </c>
      <c r="M813" t="s">
        <v>20</v>
      </c>
      <c r="N813" t="s">
        <v>421</v>
      </c>
    </row>
    <row r="814" spans="1:14" x14ac:dyDescent="0.3">
      <c r="A814" t="s">
        <v>682</v>
      </c>
      <c r="B814" s="2">
        <v>46219</v>
      </c>
      <c r="C814" s="2">
        <v>46220</v>
      </c>
      <c r="D814" s="1" t="s">
        <v>680</v>
      </c>
      <c r="E814" t="s">
        <v>681</v>
      </c>
      <c r="F814" t="s">
        <v>677</v>
      </c>
      <c r="G814" s="5">
        <v>782</v>
      </c>
      <c r="H814" s="5">
        <v>743</v>
      </c>
      <c r="I814" s="5">
        <v>740</v>
      </c>
      <c r="J814" s="5">
        <v>3</v>
      </c>
      <c r="K814" s="8">
        <f t="shared" si="26"/>
        <v>95.012787723785166</v>
      </c>
      <c r="L814" s="8">
        <f t="shared" si="27"/>
        <v>0.40540540540540543</v>
      </c>
      <c r="M814" t="s">
        <v>20</v>
      </c>
      <c r="N814" t="s">
        <v>421</v>
      </c>
    </row>
    <row r="815" spans="1:14" x14ac:dyDescent="0.3">
      <c r="A815" t="s">
        <v>683</v>
      </c>
      <c r="B815" s="2">
        <v>46224</v>
      </c>
      <c r="C815" s="2">
        <v>46225</v>
      </c>
      <c r="D815" s="1" t="s">
        <v>680</v>
      </c>
      <c r="E815" t="s">
        <v>681</v>
      </c>
      <c r="F815" t="s">
        <v>677</v>
      </c>
      <c r="G815" s="5">
        <v>782</v>
      </c>
      <c r="H815" s="5">
        <v>827</v>
      </c>
      <c r="I815" s="5">
        <v>820</v>
      </c>
      <c r="J815" s="5">
        <v>7</v>
      </c>
      <c r="K815" s="8">
        <f t="shared" si="26"/>
        <v>105.75447570332481</v>
      </c>
      <c r="L815" s="8">
        <f t="shared" si="27"/>
        <v>0.85365853658536595</v>
      </c>
      <c r="M815" t="s">
        <v>20</v>
      </c>
      <c r="N815" t="s">
        <v>421</v>
      </c>
    </row>
    <row r="816" spans="1:14" x14ac:dyDescent="0.3">
      <c r="A816" t="s">
        <v>684</v>
      </c>
      <c r="B816" s="2">
        <v>46225</v>
      </c>
      <c r="C816" s="2">
        <v>46226</v>
      </c>
      <c r="D816" s="1" t="s">
        <v>680</v>
      </c>
      <c r="E816" t="s">
        <v>681</v>
      </c>
      <c r="F816" t="s">
        <v>677</v>
      </c>
      <c r="G816" s="5">
        <v>782</v>
      </c>
      <c r="H816" s="5">
        <v>720</v>
      </c>
      <c r="I816" s="5">
        <v>720</v>
      </c>
      <c r="J816" s="5">
        <v>0</v>
      </c>
      <c r="K816" s="8">
        <f t="shared" si="26"/>
        <v>92.071611253196934</v>
      </c>
      <c r="L816" s="8">
        <f t="shared" si="27"/>
        <v>0</v>
      </c>
      <c r="M816" t="s">
        <v>20</v>
      </c>
      <c r="N816" t="s">
        <v>421</v>
      </c>
    </row>
    <row r="817" spans="1:14" x14ac:dyDescent="0.3">
      <c r="A817" t="s">
        <v>685</v>
      </c>
      <c r="B817" s="2">
        <v>46226</v>
      </c>
      <c r="C817" s="2">
        <v>46227</v>
      </c>
      <c r="D817" s="1" t="s">
        <v>680</v>
      </c>
      <c r="E817" t="s">
        <v>681</v>
      </c>
      <c r="F817" t="s">
        <v>677</v>
      </c>
      <c r="G817" s="5">
        <v>782</v>
      </c>
      <c r="H817" s="5">
        <v>810</v>
      </c>
      <c r="I817" s="5">
        <v>810</v>
      </c>
      <c r="J817" s="5">
        <v>0</v>
      </c>
      <c r="K817" s="8">
        <f t="shared" si="26"/>
        <v>103.58056265984655</v>
      </c>
      <c r="L817" s="8">
        <f t="shared" si="27"/>
        <v>0</v>
      </c>
      <c r="M817" t="s">
        <v>20</v>
      </c>
      <c r="N817" t="s">
        <v>421</v>
      </c>
    </row>
    <row r="818" spans="1:14" x14ac:dyDescent="0.3">
      <c r="A818" t="s">
        <v>686</v>
      </c>
      <c r="B818" s="2">
        <v>46227</v>
      </c>
      <c r="C818" s="2">
        <v>46228</v>
      </c>
      <c r="D818" s="1" t="s">
        <v>680</v>
      </c>
      <c r="E818" t="s">
        <v>681</v>
      </c>
      <c r="F818" t="s">
        <v>677</v>
      </c>
      <c r="G818" s="5">
        <v>782</v>
      </c>
      <c r="H818" s="5">
        <v>790</v>
      </c>
      <c r="I818" s="5">
        <v>790</v>
      </c>
      <c r="J818" s="5">
        <v>0</v>
      </c>
      <c r="K818" s="8">
        <f t="shared" si="26"/>
        <v>101.02301790281329</v>
      </c>
      <c r="L818" s="8">
        <f t="shared" si="27"/>
        <v>0</v>
      </c>
      <c r="M818" t="s">
        <v>20</v>
      </c>
      <c r="N818" t="s">
        <v>421</v>
      </c>
    </row>
    <row r="819" spans="1:14" x14ac:dyDescent="0.3">
      <c r="A819" t="s">
        <v>687</v>
      </c>
      <c r="B819" s="2">
        <v>46231</v>
      </c>
      <c r="C819" s="2">
        <v>46232</v>
      </c>
      <c r="D819" s="1" t="s">
        <v>680</v>
      </c>
      <c r="E819" t="s">
        <v>681</v>
      </c>
      <c r="F819" t="s">
        <v>677</v>
      </c>
      <c r="G819" s="5">
        <v>782</v>
      </c>
      <c r="H819" s="5">
        <v>800</v>
      </c>
      <c r="I819" s="5">
        <v>800</v>
      </c>
      <c r="J819" s="5">
        <v>0</v>
      </c>
      <c r="K819" s="8">
        <f t="shared" si="26"/>
        <v>102.30179028132993</v>
      </c>
      <c r="L819" s="8">
        <f t="shared" si="27"/>
        <v>0</v>
      </c>
      <c r="M819" t="s">
        <v>20</v>
      </c>
      <c r="N819" t="s">
        <v>421</v>
      </c>
    </row>
    <row r="820" spans="1:14" x14ac:dyDescent="0.3">
      <c r="A820" t="s">
        <v>688</v>
      </c>
      <c r="B820" s="2">
        <v>46218</v>
      </c>
      <c r="C820" s="2">
        <v>46219</v>
      </c>
      <c r="D820" s="1" t="s">
        <v>689</v>
      </c>
      <c r="E820" t="s">
        <v>690</v>
      </c>
      <c r="F820" t="s">
        <v>532</v>
      </c>
      <c r="G820" s="5">
        <v>1500</v>
      </c>
      <c r="H820" s="5">
        <v>1446</v>
      </c>
      <c r="I820" s="5">
        <v>1440</v>
      </c>
      <c r="J820" s="5">
        <v>6</v>
      </c>
      <c r="K820" s="8">
        <f t="shared" si="26"/>
        <v>96.399999999999991</v>
      </c>
      <c r="L820" s="8">
        <f t="shared" si="27"/>
        <v>0.41666666666666669</v>
      </c>
      <c r="M820" t="s">
        <v>20</v>
      </c>
      <c r="N820" t="s">
        <v>421</v>
      </c>
    </row>
    <row r="821" spans="1:14" x14ac:dyDescent="0.3">
      <c r="A821" t="s">
        <v>691</v>
      </c>
      <c r="B821" s="2">
        <v>46221</v>
      </c>
      <c r="C821" s="2">
        <v>46223</v>
      </c>
      <c r="D821" s="1" t="s">
        <v>689</v>
      </c>
      <c r="E821" t="s">
        <v>690</v>
      </c>
      <c r="F821" t="s">
        <v>532</v>
      </c>
      <c r="G821" s="5">
        <v>750</v>
      </c>
      <c r="H821" s="5">
        <v>720</v>
      </c>
      <c r="I821" s="5">
        <v>720</v>
      </c>
      <c r="J821" s="5">
        <v>0</v>
      </c>
      <c r="K821" s="8">
        <f t="shared" si="26"/>
        <v>96</v>
      </c>
      <c r="L821" s="8">
        <f t="shared" si="27"/>
        <v>0</v>
      </c>
      <c r="M821" t="s">
        <v>20</v>
      </c>
      <c r="N821" t="s">
        <v>421</v>
      </c>
    </row>
    <row r="822" spans="1:14" x14ac:dyDescent="0.3">
      <c r="A822" t="s">
        <v>692</v>
      </c>
      <c r="B822" s="2">
        <v>46224</v>
      </c>
      <c r="C822" s="2">
        <v>46226</v>
      </c>
      <c r="D822" s="1" t="s">
        <v>689</v>
      </c>
      <c r="E822" t="s">
        <v>690</v>
      </c>
      <c r="F822" t="s">
        <v>677</v>
      </c>
      <c r="G822" s="5">
        <v>750</v>
      </c>
      <c r="H822" s="5">
        <v>730</v>
      </c>
      <c r="I822" s="5">
        <v>730</v>
      </c>
      <c r="J822" s="5">
        <v>0</v>
      </c>
      <c r="K822" s="8">
        <f t="shared" si="26"/>
        <v>97.333333333333343</v>
      </c>
      <c r="L822" s="8">
        <f t="shared" si="27"/>
        <v>0</v>
      </c>
      <c r="M822" t="s">
        <v>20</v>
      </c>
      <c r="N822" t="s">
        <v>421</v>
      </c>
    </row>
    <row r="823" spans="1:14" x14ac:dyDescent="0.3">
      <c r="A823" t="s">
        <v>693</v>
      </c>
      <c r="B823" s="2">
        <v>46224</v>
      </c>
      <c r="C823" s="2">
        <v>46226</v>
      </c>
      <c r="D823" s="1" t="s">
        <v>689</v>
      </c>
      <c r="E823" t="s">
        <v>690</v>
      </c>
      <c r="F823" t="s">
        <v>532</v>
      </c>
      <c r="G823" s="5">
        <v>750</v>
      </c>
      <c r="H823" s="5">
        <v>721</v>
      </c>
      <c r="I823" s="5">
        <v>720</v>
      </c>
      <c r="J823" s="5">
        <v>1</v>
      </c>
      <c r="K823" s="8">
        <f t="shared" si="26"/>
        <v>96.13333333333334</v>
      </c>
      <c r="L823" s="8">
        <f t="shared" si="27"/>
        <v>0.1388888888888889</v>
      </c>
      <c r="M823" t="s">
        <v>20</v>
      </c>
      <c r="N823" t="s">
        <v>421</v>
      </c>
    </row>
    <row r="824" spans="1:14" x14ac:dyDescent="0.3">
      <c r="A824" t="s">
        <v>694</v>
      </c>
      <c r="B824" s="2">
        <v>46225</v>
      </c>
      <c r="C824" s="2">
        <v>46226</v>
      </c>
      <c r="D824" s="1" t="s">
        <v>689</v>
      </c>
      <c r="E824" t="s">
        <v>690</v>
      </c>
      <c r="F824" t="s">
        <v>677</v>
      </c>
      <c r="G824" s="5">
        <v>750</v>
      </c>
      <c r="H824" s="5">
        <v>720</v>
      </c>
      <c r="I824" s="5">
        <v>720</v>
      </c>
      <c r="J824" s="5">
        <v>0</v>
      </c>
      <c r="K824" s="8">
        <f t="shared" si="26"/>
        <v>96</v>
      </c>
      <c r="L824" s="8">
        <f t="shared" si="27"/>
        <v>0</v>
      </c>
      <c r="M824" t="s">
        <v>20</v>
      </c>
      <c r="N824" t="s">
        <v>421</v>
      </c>
    </row>
    <row r="825" spans="1:14" x14ac:dyDescent="0.3">
      <c r="A825" t="s">
        <v>695</v>
      </c>
      <c r="B825" s="2">
        <v>46218</v>
      </c>
      <c r="C825" s="2">
        <v>46219</v>
      </c>
      <c r="D825" s="1" t="s">
        <v>696</v>
      </c>
      <c r="E825" t="s">
        <v>697</v>
      </c>
      <c r="F825" t="s">
        <v>532</v>
      </c>
      <c r="G825" s="5">
        <v>750</v>
      </c>
      <c r="H825" s="5">
        <v>720</v>
      </c>
      <c r="I825" s="5">
        <v>720</v>
      </c>
      <c r="J825" s="5">
        <v>0</v>
      </c>
      <c r="K825" s="8">
        <f t="shared" si="26"/>
        <v>96</v>
      </c>
      <c r="L825" s="8">
        <f t="shared" si="27"/>
        <v>0</v>
      </c>
      <c r="M825" t="s">
        <v>20</v>
      </c>
      <c r="N825" t="s">
        <v>421</v>
      </c>
    </row>
    <row r="826" spans="1:14" x14ac:dyDescent="0.3">
      <c r="A826" t="s">
        <v>698</v>
      </c>
      <c r="B826" s="2">
        <v>46221</v>
      </c>
      <c r="C826" s="2">
        <v>46223</v>
      </c>
      <c r="D826" s="1" t="s">
        <v>696</v>
      </c>
      <c r="E826" t="s">
        <v>697</v>
      </c>
      <c r="F826" t="s">
        <v>532</v>
      </c>
      <c r="G826" s="5">
        <v>750</v>
      </c>
      <c r="H826" s="5">
        <v>716</v>
      </c>
      <c r="I826" s="5">
        <v>710</v>
      </c>
      <c r="J826" s="5">
        <v>6</v>
      </c>
      <c r="K826" s="8">
        <f t="shared" si="26"/>
        <v>95.466666666666669</v>
      </c>
      <c r="L826" s="8">
        <f t="shared" si="27"/>
        <v>0.84507042253521114</v>
      </c>
      <c r="M826" t="s">
        <v>20</v>
      </c>
      <c r="N826" t="s">
        <v>421</v>
      </c>
    </row>
    <row r="827" spans="1:14" x14ac:dyDescent="0.3">
      <c r="A827" t="s">
        <v>699</v>
      </c>
      <c r="B827" s="2">
        <v>46231</v>
      </c>
      <c r="C827" s="2">
        <v>46232</v>
      </c>
      <c r="D827" s="1" t="s">
        <v>696</v>
      </c>
      <c r="E827" t="s">
        <v>697</v>
      </c>
      <c r="F827" t="s">
        <v>677</v>
      </c>
      <c r="G827" s="5">
        <v>750</v>
      </c>
      <c r="H827" s="5">
        <v>750</v>
      </c>
      <c r="I827" s="5">
        <v>750</v>
      </c>
      <c r="J827" s="5">
        <v>0</v>
      </c>
      <c r="K827" s="8">
        <f t="shared" si="26"/>
        <v>100</v>
      </c>
      <c r="L827" s="8">
        <f t="shared" si="27"/>
        <v>0</v>
      </c>
      <c r="M827" t="s">
        <v>20</v>
      </c>
      <c r="N827" t="s">
        <v>421</v>
      </c>
    </row>
    <row r="828" spans="1:14" x14ac:dyDescent="0.3">
      <c r="A828" t="s">
        <v>700</v>
      </c>
      <c r="B828" s="2">
        <v>46232</v>
      </c>
      <c r="C828" s="2">
        <v>46233</v>
      </c>
      <c r="D828" s="1" t="s">
        <v>696</v>
      </c>
      <c r="E828" t="s">
        <v>697</v>
      </c>
      <c r="F828" t="s">
        <v>677</v>
      </c>
      <c r="G828" s="5">
        <v>750</v>
      </c>
      <c r="H828" s="5">
        <v>781</v>
      </c>
      <c r="I828" s="5">
        <v>780</v>
      </c>
      <c r="J828" s="5">
        <v>1</v>
      </c>
      <c r="K828" s="8">
        <f t="shared" si="26"/>
        <v>104.13333333333334</v>
      </c>
      <c r="L828" s="8">
        <f t="shared" si="27"/>
        <v>0.12820512820512819</v>
      </c>
      <c r="M828" t="s">
        <v>20</v>
      </c>
      <c r="N828" t="s">
        <v>421</v>
      </c>
    </row>
    <row r="829" spans="1:14" x14ac:dyDescent="0.3">
      <c r="A829" t="s">
        <v>701</v>
      </c>
      <c r="B829" s="2">
        <v>46216</v>
      </c>
      <c r="C829" s="2">
        <v>46217</v>
      </c>
      <c r="D829" s="1" t="s">
        <v>702</v>
      </c>
      <c r="E829" t="s">
        <v>703</v>
      </c>
      <c r="F829" t="s">
        <v>438</v>
      </c>
      <c r="G829" s="5">
        <v>157</v>
      </c>
      <c r="H829" s="5">
        <v>152</v>
      </c>
      <c r="I829" s="5">
        <v>147</v>
      </c>
      <c r="J829" s="5">
        <v>5</v>
      </c>
      <c r="K829" s="8">
        <f t="shared" ref="K829:K892" si="28">(H829/G829)*100</f>
        <v>96.815286624203821</v>
      </c>
      <c r="L829" s="8">
        <f t="shared" si="27"/>
        <v>3.4013605442176873</v>
      </c>
      <c r="M829" t="s">
        <v>20</v>
      </c>
      <c r="N829" t="s">
        <v>421</v>
      </c>
    </row>
    <row r="830" spans="1:14" x14ac:dyDescent="0.3">
      <c r="A830" t="s">
        <v>704</v>
      </c>
      <c r="B830" s="2">
        <v>46218</v>
      </c>
      <c r="C830" s="2">
        <v>46219</v>
      </c>
      <c r="D830" s="1" t="s">
        <v>702</v>
      </c>
      <c r="E830" t="s">
        <v>703</v>
      </c>
      <c r="F830" t="s">
        <v>438</v>
      </c>
      <c r="G830" s="5">
        <v>157</v>
      </c>
      <c r="H830" s="5">
        <v>160</v>
      </c>
      <c r="I830" s="5">
        <v>153</v>
      </c>
      <c r="J830" s="5">
        <v>7</v>
      </c>
      <c r="K830" s="8">
        <f t="shared" si="28"/>
        <v>101.91082802547771</v>
      </c>
      <c r="L830" s="8">
        <f t="shared" ref="L830:L893" si="29">((H830-I830)/I830)*100</f>
        <v>4.5751633986928102</v>
      </c>
      <c r="M830" t="s">
        <v>20</v>
      </c>
      <c r="N830" t="s">
        <v>421</v>
      </c>
    </row>
    <row r="831" spans="1:14" x14ac:dyDescent="0.3">
      <c r="A831" t="s">
        <v>705</v>
      </c>
      <c r="B831" s="2">
        <v>46223</v>
      </c>
      <c r="C831" s="2">
        <v>46224</v>
      </c>
      <c r="D831" s="1" t="s">
        <v>702</v>
      </c>
      <c r="E831" t="s">
        <v>703</v>
      </c>
      <c r="F831" t="s">
        <v>438</v>
      </c>
      <c r="G831" s="5">
        <v>157</v>
      </c>
      <c r="H831" s="5">
        <v>151</v>
      </c>
      <c r="I831" s="5">
        <v>117</v>
      </c>
      <c r="J831" s="5">
        <v>34</v>
      </c>
      <c r="K831" s="8">
        <f t="shared" si="28"/>
        <v>96.178343949044589</v>
      </c>
      <c r="L831" s="8">
        <f t="shared" si="29"/>
        <v>29.059829059829063</v>
      </c>
      <c r="M831" t="s">
        <v>20</v>
      </c>
      <c r="N831" t="s">
        <v>421</v>
      </c>
    </row>
    <row r="832" spans="1:14" x14ac:dyDescent="0.3">
      <c r="A832" t="s">
        <v>706</v>
      </c>
      <c r="B832" s="2">
        <v>46225</v>
      </c>
      <c r="C832" s="2">
        <v>46226</v>
      </c>
      <c r="D832" s="1" t="s">
        <v>702</v>
      </c>
      <c r="E832" t="s">
        <v>703</v>
      </c>
      <c r="F832" t="s">
        <v>438</v>
      </c>
      <c r="G832" s="5">
        <v>157</v>
      </c>
      <c r="H832" s="5">
        <v>152</v>
      </c>
      <c r="I832" s="5">
        <v>135</v>
      </c>
      <c r="J832" s="5">
        <v>17</v>
      </c>
      <c r="K832" s="8">
        <f t="shared" si="28"/>
        <v>96.815286624203821</v>
      </c>
      <c r="L832" s="8">
        <f t="shared" si="29"/>
        <v>12.592592592592592</v>
      </c>
      <c r="M832" t="s">
        <v>20</v>
      </c>
      <c r="N832" t="s">
        <v>421</v>
      </c>
    </row>
    <row r="833" spans="1:14" x14ac:dyDescent="0.3">
      <c r="A833" t="s">
        <v>707</v>
      </c>
      <c r="B833" s="2">
        <v>46230</v>
      </c>
      <c r="C833" s="2">
        <v>46231</v>
      </c>
      <c r="D833" s="1" t="s">
        <v>702</v>
      </c>
      <c r="E833" t="s">
        <v>703</v>
      </c>
      <c r="F833" t="s">
        <v>438</v>
      </c>
      <c r="G833" s="5">
        <v>157</v>
      </c>
      <c r="H833" s="5">
        <v>145</v>
      </c>
      <c r="I833" s="5">
        <v>135</v>
      </c>
      <c r="J833" s="5">
        <v>10</v>
      </c>
      <c r="K833" s="8">
        <f t="shared" si="28"/>
        <v>92.356687898089177</v>
      </c>
      <c r="L833" s="8">
        <f t="shared" si="29"/>
        <v>7.4074074074074066</v>
      </c>
      <c r="M833" t="s">
        <v>20</v>
      </c>
      <c r="N833" t="s">
        <v>421</v>
      </c>
    </row>
    <row r="834" spans="1:14" x14ac:dyDescent="0.3">
      <c r="A834" t="s">
        <v>708</v>
      </c>
      <c r="B834" s="2">
        <v>46232</v>
      </c>
      <c r="C834" s="2">
        <v>46233</v>
      </c>
      <c r="D834" s="1" t="s">
        <v>702</v>
      </c>
      <c r="E834" t="s">
        <v>703</v>
      </c>
      <c r="F834" t="s">
        <v>438</v>
      </c>
      <c r="G834" s="5">
        <v>157</v>
      </c>
      <c r="H834" s="5">
        <v>150</v>
      </c>
      <c r="I834" s="5">
        <v>150</v>
      </c>
      <c r="J834" s="5">
        <v>0</v>
      </c>
      <c r="K834" s="8">
        <f t="shared" si="28"/>
        <v>95.541401273885356</v>
      </c>
      <c r="L834" s="8">
        <f t="shared" si="29"/>
        <v>0</v>
      </c>
      <c r="M834" t="s">
        <v>20</v>
      </c>
      <c r="N834" t="s">
        <v>421</v>
      </c>
    </row>
    <row r="835" spans="1:14" x14ac:dyDescent="0.3">
      <c r="A835" t="s">
        <v>709</v>
      </c>
      <c r="B835" s="2">
        <v>46217</v>
      </c>
      <c r="C835" s="2">
        <v>46218</v>
      </c>
      <c r="D835" s="1" t="s">
        <v>710</v>
      </c>
      <c r="E835" t="s">
        <v>711</v>
      </c>
      <c r="F835" t="s">
        <v>438</v>
      </c>
      <c r="G835" s="5">
        <v>8200</v>
      </c>
      <c r="H835" s="5">
        <v>8592</v>
      </c>
      <c r="I835" s="5">
        <v>8336</v>
      </c>
      <c r="J835" s="5">
        <v>256</v>
      </c>
      <c r="K835" s="8">
        <f t="shared" si="28"/>
        <v>104.78048780487805</v>
      </c>
      <c r="L835" s="8">
        <f t="shared" si="29"/>
        <v>3.0710172744721689</v>
      </c>
      <c r="M835" t="s">
        <v>20</v>
      </c>
      <c r="N835" t="s">
        <v>421</v>
      </c>
    </row>
    <row r="836" spans="1:14" x14ac:dyDescent="0.3">
      <c r="A836" t="s">
        <v>712</v>
      </c>
      <c r="B836" s="2">
        <v>46218</v>
      </c>
      <c r="C836" s="2">
        <v>46219</v>
      </c>
      <c r="D836" s="1" t="s">
        <v>710</v>
      </c>
      <c r="E836" t="s">
        <v>711</v>
      </c>
      <c r="F836" t="s">
        <v>438</v>
      </c>
      <c r="G836" s="5">
        <v>4920</v>
      </c>
      <c r="H836" s="5">
        <v>5088</v>
      </c>
      <c r="I836" s="5">
        <v>5040</v>
      </c>
      <c r="J836" s="5">
        <v>48</v>
      </c>
      <c r="K836" s="8">
        <f t="shared" si="28"/>
        <v>103.41463414634147</v>
      </c>
      <c r="L836" s="8">
        <f t="shared" si="29"/>
        <v>0.95238095238095244</v>
      </c>
      <c r="M836" t="s">
        <v>20</v>
      </c>
      <c r="N836" t="s">
        <v>421</v>
      </c>
    </row>
    <row r="837" spans="1:14" x14ac:dyDescent="0.3">
      <c r="A837" t="s">
        <v>713</v>
      </c>
      <c r="B837" s="2">
        <v>46219</v>
      </c>
      <c r="C837" s="2">
        <v>46220</v>
      </c>
      <c r="D837" s="1" t="s">
        <v>710</v>
      </c>
      <c r="E837" t="s">
        <v>711</v>
      </c>
      <c r="F837" t="s">
        <v>438</v>
      </c>
      <c r="G837" s="5">
        <v>6560</v>
      </c>
      <c r="H837" s="5">
        <v>6428</v>
      </c>
      <c r="I837" s="5">
        <v>6256</v>
      </c>
      <c r="J837" s="5">
        <v>172</v>
      </c>
      <c r="K837" s="8">
        <f t="shared" si="28"/>
        <v>97.987804878048777</v>
      </c>
      <c r="L837" s="8">
        <f t="shared" si="29"/>
        <v>2.749360613810742</v>
      </c>
      <c r="M837" t="s">
        <v>20</v>
      </c>
      <c r="N837" t="s">
        <v>421</v>
      </c>
    </row>
    <row r="838" spans="1:14" x14ac:dyDescent="0.3">
      <c r="A838" t="s">
        <v>714</v>
      </c>
      <c r="B838" s="2">
        <v>46221</v>
      </c>
      <c r="C838" s="2">
        <v>46226</v>
      </c>
      <c r="D838" s="1" t="s">
        <v>710</v>
      </c>
      <c r="E838" t="s">
        <v>711</v>
      </c>
      <c r="F838" t="s">
        <v>438</v>
      </c>
      <c r="G838" s="5">
        <v>4920</v>
      </c>
      <c r="H838" s="5">
        <v>4603</v>
      </c>
      <c r="I838" s="5">
        <v>4560</v>
      </c>
      <c r="J838" s="5">
        <v>43</v>
      </c>
      <c r="K838" s="8">
        <f t="shared" si="28"/>
        <v>93.556910569105696</v>
      </c>
      <c r="L838" s="8">
        <f t="shared" si="29"/>
        <v>0.94298245614035081</v>
      </c>
      <c r="M838" t="s">
        <v>20</v>
      </c>
      <c r="N838" t="s">
        <v>421</v>
      </c>
    </row>
    <row r="839" spans="1:14" x14ac:dyDescent="0.3">
      <c r="A839" t="s">
        <v>715</v>
      </c>
      <c r="B839" s="2">
        <v>46223</v>
      </c>
      <c r="C839" s="2">
        <v>46224</v>
      </c>
      <c r="D839" s="1" t="s">
        <v>710</v>
      </c>
      <c r="E839" t="s">
        <v>711</v>
      </c>
      <c r="F839" t="s">
        <v>438</v>
      </c>
      <c r="G839" s="5">
        <v>4920</v>
      </c>
      <c r="H839" s="5">
        <v>3520</v>
      </c>
      <c r="I839" s="5">
        <v>3472</v>
      </c>
      <c r="J839" s="5">
        <v>48</v>
      </c>
      <c r="K839" s="8">
        <f t="shared" si="28"/>
        <v>71.544715447154474</v>
      </c>
      <c r="L839" s="8">
        <f t="shared" si="29"/>
        <v>1.3824884792626728</v>
      </c>
      <c r="M839" t="s">
        <v>20</v>
      </c>
      <c r="N839" t="s">
        <v>421</v>
      </c>
    </row>
    <row r="840" spans="1:14" x14ac:dyDescent="0.3">
      <c r="A840" t="s">
        <v>716</v>
      </c>
      <c r="B840" s="2">
        <v>46225</v>
      </c>
      <c r="C840" s="2">
        <v>46226</v>
      </c>
      <c r="D840" s="1" t="s">
        <v>710</v>
      </c>
      <c r="E840" t="s">
        <v>711</v>
      </c>
      <c r="F840" t="s">
        <v>438</v>
      </c>
      <c r="G840" s="5">
        <v>4920</v>
      </c>
      <c r="H840" s="5">
        <v>5440</v>
      </c>
      <c r="I840" s="5">
        <v>5216</v>
      </c>
      <c r="J840" s="5">
        <v>224</v>
      </c>
      <c r="K840" s="8">
        <f t="shared" si="28"/>
        <v>110.56910569105692</v>
      </c>
      <c r="L840" s="8">
        <f t="shared" si="29"/>
        <v>4.294478527607362</v>
      </c>
      <c r="M840" t="s">
        <v>20</v>
      </c>
      <c r="N840" t="s">
        <v>421</v>
      </c>
    </row>
    <row r="841" spans="1:14" x14ac:dyDescent="0.3">
      <c r="A841" t="s">
        <v>717</v>
      </c>
      <c r="B841" s="2">
        <v>46226</v>
      </c>
      <c r="C841" s="2">
        <v>46227</v>
      </c>
      <c r="D841" s="1" t="s">
        <v>710</v>
      </c>
      <c r="E841" t="s">
        <v>711</v>
      </c>
      <c r="F841" t="s">
        <v>438</v>
      </c>
      <c r="G841" s="5">
        <v>6560</v>
      </c>
      <c r="H841" s="5">
        <v>6264</v>
      </c>
      <c r="I841" s="5">
        <v>6144</v>
      </c>
      <c r="J841" s="5">
        <v>120</v>
      </c>
      <c r="K841" s="8">
        <f t="shared" si="28"/>
        <v>95.487804878048777</v>
      </c>
      <c r="L841" s="8">
        <f t="shared" si="29"/>
        <v>1.953125</v>
      </c>
      <c r="M841" t="s">
        <v>20</v>
      </c>
      <c r="N841" t="s">
        <v>421</v>
      </c>
    </row>
    <row r="842" spans="1:14" x14ac:dyDescent="0.3">
      <c r="A842" t="s">
        <v>718</v>
      </c>
      <c r="B842" s="2">
        <v>46227</v>
      </c>
      <c r="C842" s="2">
        <v>46228</v>
      </c>
      <c r="D842" s="1" t="s">
        <v>710</v>
      </c>
      <c r="E842" t="s">
        <v>711</v>
      </c>
      <c r="F842" t="s">
        <v>438</v>
      </c>
      <c r="G842" s="5">
        <v>4920</v>
      </c>
      <c r="H842" s="5">
        <v>4952</v>
      </c>
      <c r="I842" s="5">
        <v>4816</v>
      </c>
      <c r="J842" s="5">
        <v>136</v>
      </c>
      <c r="K842" s="8">
        <f t="shared" si="28"/>
        <v>100.65040650406505</v>
      </c>
      <c r="L842" s="8">
        <f t="shared" si="29"/>
        <v>2.823920265780731</v>
      </c>
      <c r="M842" t="s">
        <v>20</v>
      </c>
      <c r="N842" t="s">
        <v>421</v>
      </c>
    </row>
    <row r="843" spans="1:14" x14ac:dyDescent="0.3">
      <c r="A843" t="s">
        <v>719</v>
      </c>
      <c r="B843" s="2">
        <v>46230</v>
      </c>
      <c r="C843" s="2">
        <v>46231</v>
      </c>
      <c r="D843" s="1" t="s">
        <v>710</v>
      </c>
      <c r="E843" t="s">
        <v>711</v>
      </c>
      <c r="F843" t="s">
        <v>438</v>
      </c>
      <c r="G843" s="5">
        <v>3280</v>
      </c>
      <c r="H843" s="5">
        <v>3240</v>
      </c>
      <c r="I843" s="5">
        <v>3040</v>
      </c>
      <c r="J843" s="5">
        <v>200</v>
      </c>
      <c r="K843" s="8">
        <f t="shared" si="28"/>
        <v>98.780487804878049</v>
      </c>
      <c r="L843" s="8">
        <f t="shared" si="29"/>
        <v>6.5789473684210522</v>
      </c>
      <c r="M843" t="s">
        <v>20</v>
      </c>
      <c r="N843" t="s">
        <v>421</v>
      </c>
    </row>
    <row r="844" spans="1:14" x14ac:dyDescent="0.3">
      <c r="A844" t="s">
        <v>720</v>
      </c>
      <c r="B844" s="2">
        <v>46231</v>
      </c>
      <c r="C844" s="2">
        <v>46232</v>
      </c>
      <c r="D844" s="1" t="s">
        <v>710</v>
      </c>
      <c r="E844" t="s">
        <v>711</v>
      </c>
      <c r="F844" t="s">
        <v>438</v>
      </c>
      <c r="G844" s="5">
        <v>8200</v>
      </c>
      <c r="H844" s="5">
        <v>8120</v>
      </c>
      <c r="I844" s="5">
        <v>8048</v>
      </c>
      <c r="J844" s="5">
        <v>72</v>
      </c>
      <c r="K844" s="8">
        <f t="shared" si="28"/>
        <v>99.024390243902445</v>
      </c>
      <c r="L844" s="8">
        <f t="shared" si="29"/>
        <v>0.89463220675944333</v>
      </c>
      <c r="M844" t="s">
        <v>20</v>
      </c>
      <c r="N844" t="s">
        <v>421</v>
      </c>
    </row>
    <row r="845" spans="1:14" x14ac:dyDescent="0.3">
      <c r="A845" t="s">
        <v>721</v>
      </c>
      <c r="B845" s="2">
        <v>46216</v>
      </c>
      <c r="C845" s="2">
        <v>46217</v>
      </c>
      <c r="D845" s="1" t="s">
        <v>722</v>
      </c>
      <c r="E845" t="s">
        <v>723</v>
      </c>
      <c r="F845" t="s">
        <v>438</v>
      </c>
      <c r="G845" s="5">
        <v>13056</v>
      </c>
      <c r="H845" s="5">
        <v>13008</v>
      </c>
      <c r="I845" s="5">
        <v>12720</v>
      </c>
      <c r="J845" s="5">
        <v>288</v>
      </c>
      <c r="K845" s="8">
        <f t="shared" si="28"/>
        <v>99.632352941176478</v>
      </c>
      <c r="L845" s="8">
        <f t="shared" si="29"/>
        <v>2.2641509433962264</v>
      </c>
      <c r="M845" t="s">
        <v>20</v>
      </c>
      <c r="N845" t="s">
        <v>421</v>
      </c>
    </row>
    <row r="846" spans="1:14" x14ac:dyDescent="0.3">
      <c r="A846" t="s">
        <v>724</v>
      </c>
      <c r="B846" s="2">
        <v>46218</v>
      </c>
      <c r="C846" s="2">
        <v>46219</v>
      </c>
      <c r="D846" s="1" t="s">
        <v>722</v>
      </c>
      <c r="E846" t="s">
        <v>723</v>
      </c>
      <c r="F846" t="s">
        <v>438</v>
      </c>
      <c r="G846" s="5">
        <v>13056</v>
      </c>
      <c r="H846" s="5">
        <v>13392</v>
      </c>
      <c r="I846" s="5">
        <v>13230</v>
      </c>
      <c r="J846" s="5">
        <v>162</v>
      </c>
      <c r="K846" s="8">
        <f t="shared" si="28"/>
        <v>102.5735294117647</v>
      </c>
      <c r="L846" s="8">
        <f t="shared" si="29"/>
        <v>1.2244897959183674</v>
      </c>
      <c r="M846" t="s">
        <v>20</v>
      </c>
      <c r="N846" t="s">
        <v>421</v>
      </c>
    </row>
    <row r="847" spans="1:14" x14ac:dyDescent="0.3">
      <c r="A847" t="s">
        <v>725</v>
      </c>
      <c r="B847" s="2">
        <v>46219</v>
      </c>
      <c r="C847" s="2">
        <v>46220</v>
      </c>
      <c r="D847" s="1" t="s">
        <v>722</v>
      </c>
      <c r="E847" t="s">
        <v>723</v>
      </c>
      <c r="F847" t="s">
        <v>438</v>
      </c>
      <c r="G847" s="5">
        <v>9792</v>
      </c>
      <c r="H847" s="5">
        <v>9792</v>
      </c>
      <c r="I847" s="5">
        <v>9150</v>
      </c>
      <c r="J847" s="5">
        <v>642</v>
      </c>
      <c r="K847" s="8">
        <f t="shared" si="28"/>
        <v>100</v>
      </c>
      <c r="L847" s="8">
        <f t="shared" si="29"/>
        <v>7.0163934426229506</v>
      </c>
      <c r="M847" t="s">
        <v>20</v>
      </c>
      <c r="N847" t="s">
        <v>421</v>
      </c>
    </row>
    <row r="848" spans="1:14" x14ac:dyDescent="0.3">
      <c r="A848" t="s">
        <v>726</v>
      </c>
      <c r="B848" s="2">
        <v>46221</v>
      </c>
      <c r="C848" s="2">
        <v>46226</v>
      </c>
      <c r="D848" s="1" t="s">
        <v>722</v>
      </c>
      <c r="E848" t="s">
        <v>723</v>
      </c>
      <c r="F848" t="s">
        <v>438</v>
      </c>
      <c r="G848" s="5">
        <v>16320</v>
      </c>
      <c r="H848" s="5">
        <v>15885</v>
      </c>
      <c r="I848" s="5">
        <v>15840</v>
      </c>
      <c r="J848" s="5">
        <v>45</v>
      </c>
      <c r="K848" s="8">
        <f t="shared" si="28"/>
        <v>97.33455882352942</v>
      </c>
      <c r="L848" s="8">
        <f t="shared" si="29"/>
        <v>0.28409090909090912</v>
      </c>
      <c r="M848" t="s">
        <v>20</v>
      </c>
      <c r="N848" t="s">
        <v>421</v>
      </c>
    </row>
    <row r="849" spans="1:14" x14ac:dyDescent="0.3">
      <c r="A849" t="s">
        <v>727</v>
      </c>
      <c r="B849" s="2">
        <v>46223</v>
      </c>
      <c r="C849" s="2">
        <v>46224</v>
      </c>
      <c r="D849" s="1" t="s">
        <v>722</v>
      </c>
      <c r="E849" t="s">
        <v>723</v>
      </c>
      <c r="F849" t="s">
        <v>438</v>
      </c>
      <c r="G849" s="5">
        <v>13056</v>
      </c>
      <c r="H849" s="5">
        <v>13122</v>
      </c>
      <c r="I849" s="5">
        <v>13050</v>
      </c>
      <c r="J849" s="5">
        <v>72</v>
      </c>
      <c r="K849" s="8">
        <f t="shared" si="28"/>
        <v>100.50551470588236</v>
      </c>
      <c r="L849" s="8">
        <f t="shared" si="29"/>
        <v>0.55172413793103448</v>
      </c>
      <c r="M849" t="s">
        <v>20</v>
      </c>
      <c r="N849" t="s">
        <v>421</v>
      </c>
    </row>
    <row r="850" spans="1:14" x14ac:dyDescent="0.3">
      <c r="A850" t="s">
        <v>728</v>
      </c>
      <c r="B850" s="2">
        <v>46225</v>
      </c>
      <c r="C850" s="2">
        <v>46226</v>
      </c>
      <c r="D850" s="1" t="s">
        <v>722</v>
      </c>
      <c r="E850" t="s">
        <v>723</v>
      </c>
      <c r="F850" t="s">
        <v>438</v>
      </c>
      <c r="G850" s="5">
        <v>9792</v>
      </c>
      <c r="H850" s="5">
        <v>10530</v>
      </c>
      <c r="I850" s="5">
        <v>10290</v>
      </c>
      <c r="J850" s="5">
        <v>240</v>
      </c>
      <c r="K850" s="8">
        <f t="shared" si="28"/>
        <v>107.53676470588236</v>
      </c>
      <c r="L850" s="8">
        <f t="shared" si="29"/>
        <v>2.3323615160349855</v>
      </c>
      <c r="M850" t="s">
        <v>20</v>
      </c>
      <c r="N850" t="s">
        <v>421</v>
      </c>
    </row>
    <row r="851" spans="1:14" x14ac:dyDescent="0.3">
      <c r="A851" t="s">
        <v>729</v>
      </c>
      <c r="B851" s="2">
        <v>46226</v>
      </c>
      <c r="C851" s="2">
        <v>46227</v>
      </c>
      <c r="D851" s="1" t="s">
        <v>722</v>
      </c>
      <c r="E851" t="s">
        <v>723</v>
      </c>
      <c r="F851" t="s">
        <v>438</v>
      </c>
      <c r="G851" s="5">
        <v>13056</v>
      </c>
      <c r="H851" s="5">
        <v>12930</v>
      </c>
      <c r="I851" s="5">
        <v>12720</v>
      </c>
      <c r="J851" s="5">
        <v>210</v>
      </c>
      <c r="K851" s="8">
        <f t="shared" si="28"/>
        <v>99.034926470588232</v>
      </c>
      <c r="L851" s="8">
        <f t="shared" si="29"/>
        <v>1.6509433962264151</v>
      </c>
      <c r="M851" t="s">
        <v>20</v>
      </c>
      <c r="N851" t="s">
        <v>421</v>
      </c>
    </row>
    <row r="852" spans="1:14" x14ac:dyDescent="0.3">
      <c r="A852" t="s">
        <v>730</v>
      </c>
      <c r="B852" s="2">
        <v>46227</v>
      </c>
      <c r="C852" s="2">
        <v>46228</v>
      </c>
      <c r="D852" s="1" t="s">
        <v>722</v>
      </c>
      <c r="E852" t="s">
        <v>723</v>
      </c>
      <c r="F852" t="s">
        <v>438</v>
      </c>
      <c r="G852" s="5">
        <v>13056</v>
      </c>
      <c r="H852" s="5">
        <v>13104</v>
      </c>
      <c r="I852" s="5">
        <v>12750</v>
      </c>
      <c r="J852" s="5">
        <v>354</v>
      </c>
      <c r="K852" s="8">
        <f t="shared" si="28"/>
        <v>100.36764705882352</v>
      </c>
      <c r="L852" s="8">
        <f t="shared" si="29"/>
        <v>2.776470588235294</v>
      </c>
      <c r="M852" t="s">
        <v>20</v>
      </c>
      <c r="N852" t="s">
        <v>421</v>
      </c>
    </row>
    <row r="853" spans="1:14" x14ac:dyDescent="0.3">
      <c r="A853" t="s">
        <v>731</v>
      </c>
      <c r="B853" s="2">
        <v>46230</v>
      </c>
      <c r="C853" s="2">
        <v>46231</v>
      </c>
      <c r="D853" s="1" t="s">
        <v>722</v>
      </c>
      <c r="E853" t="s">
        <v>723</v>
      </c>
      <c r="F853" t="s">
        <v>438</v>
      </c>
      <c r="G853" s="5">
        <v>13056</v>
      </c>
      <c r="H853" s="5">
        <v>12594</v>
      </c>
      <c r="I853" s="5">
        <v>12510</v>
      </c>
      <c r="J853" s="5">
        <v>84</v>
      </c>
      <c r="K853" s="8">
        <f t="shared" si="28"/>
        <v>96.461397058823522</v>
      </c>
      <c r="L853" s="8">
        <f t="shared" si="29"/>
        <v>0.67146282973621096</v>
      </c>
      <c r="M853" t="s">
        <v>20</v>
      </c>
      <c r="N853" t="s">
        <v>421</v>
      </c>
    </row>
    <row r="854" spans="1:14" x14ac:dyDescent="0.3">
      <c r="A854" t="s">
        <v>732</v>
      </c>
      <c r="B854" s="2">
        <v>46231</v>
      </c>
      <c r="C854" s="2">
        <v>46232</v>
      </c>
      <c r="D854" s="1" t="s">
        <v>722</v>
      </c>
      <c r="E854" t="s">
        <v>723</v>
      </c>
      <c r="F854" t="s">
        <v>438</v>
      </c>
      <c r="G854" s="5">
        <v>9792</v>
      </c>
      <c r="H854" s="5">
        <v>9408</v>
      </c>
      <c r="I854" s="5">
        <v>9270</v>
      </c>
      <c r="J854" s="5">
        <v>138</v>
      </c>
      <c r="K854" s="8">
        <f t="shared" si="28"/>
        <v>96.078431372549019</v>
      </c>
      <c r="L854" s="8">
        <f t="shared" si="29"/>
        <v>1.4886731391585761</v>
      </c>
      <c r="M854" t="s">
        <v>20</v>
      </c>
      <c r="N854" t="s">
        <v>421</v>
      </c>
    </row>
    <row r="855" spans="1:14" x14ac:dyDescent="0.3">
      <c r="A855" t="s">
        <v>733</v>
      </c>
      <c r="B855" s="2">
        <v>46232</v>
      </c>
      <c r="C855" s="2">
        <v>46233</v>
      </c>
      <c r="D855" s="1" t="s">
        <v>722</v>
      </c>
      <c r="E855" t="s">
        <v>723</v>
      </c>
      <c r="F855" t="s">
        <v>438</v>
      </c>
      <c r="G855" s="5">
        <v>13056</v>
      </c>
      <c r="H855" s="5">
        <v>12762</v>
      </c>
      <c r="I855" s="5">
        <v>12600</v>
      </c>
      <c r="J855" s="5">
        <v>162</v>
      </c>
      <c r="K855" s="8">
        <f t="shared" si="28"/>
        <v>97.748161764705884</v>
      </c>
      <c r="L855" s="8">
        <f t="shared" si="29"/>
        <v>1.2857142857142856</v>
      </c>
      <c r="M855" t="s">
        <v>20</v>
      </c>
      <c r="N855" t="s">
        <v>421</v>
      </c>
    </row>
    <row r="856" spans="1:14" x14ac:dyDescent="0.3">
      <c r="A856" t="s">
        <v>734</v>
      </c>
      <c r="B856" s="2">
        <v>46230</v>
      </c>
      <c r="C856" s="2">
        <v>46231</v>
      </c>
      <c r="D856" s="1" t="s">
        <v>735</v>
      </c>
      <c r="E856" t="s">
        <v>736</v>
      </c>
      <c r="F856" t="s">
        <v>438</v>
      </c>
      <c r="G856" s="5">
        <v>340</v>
      </c>
      <c r="H856" s="5">
        <v>365</v>
      </c>
      <c r="I856" s="5">
        <v>365</v>
      </c>
      <c r="J856" s="5">
        <v>0</v>
      </c>
      <c r="K856" s="8">
        <f t="shared" si="28"/>
        <v>107.35294117647058</v>
      </c>
      <c r="L856" s="8">
        <f t="shared" si="29"/>
        <v>0</v>
      </c>
      <c r="M856" t="s">
        <v>20</v>
      </c>
      <c r="N856" t="s">
        <v>421</v>
      </c>
    </row>
    <row r="857" spans="1:14" x14ac:dyDescent="0.3">
      <c r="A857" t="s">
        <v>737</v>
      </c>
      <c r="B857" s="2">
        <v>46231</v>
      </c>
      <c r="C857" s="2">
        <v>46232</v>
      </c>
      <c r="D857" s="1" t="s">
        <v>738</v>
      </c>
      <c r="E857" t="s">
        <v>739</v>
      </c>
      <c r="F857" t="s">
        <v>420</v>
      </c>
      <c r="G857" s="5">
        <v>340</v>
      </c>
      <c r="H857" s="5">
        <v>343</v>
      </c>
      <c r="I857" s="5">
        <v>343</v>
      </c>
      <c r="J857" s="5">
        <v>0</v>
      </c>
      <c r="K857" s="8">
        <f t="shared" si="28"/>
        <v>100.88235294117646</v>
      </c>
      <c r="L857" s="8">
        <f t="shared" si="29"/>
        <v>0</v>
      </c>
      <c r="M857" t="s">
        <v>20</v>
      </c>
      <c r="N857" t="s">
        <v>421</v>
      </c>
    </row>
    <row r="858" spans="1:14" x14ac:dyDescent="0.3">
      <c r="A858" t="s">
        <v>740</v>
      </c>
      <c r="B858" s="2">
        <v>46226</v>
      </c>
      <c r="C858" s="2">
        <v>46228</v>
      </c>
      <c r="D858" s="1" t="s">
        <v>741</v>
      </c>
      <c r="E858" t="s">
        <v>742</v>
      </c>
      <c r="F858" t="s">
        <v>438</v>
      </c>
      <c r="G858" s="5">
        <v>126</v>
      </c>
      <c r="H858" s="5">
        <v>146</v>
      </c>
      <c r="I858" s="5">
        <v>144</v>
      </c>
      <c r="J858" s="5">
        <v>2</v>
      </c>
      <c r="K858" s="8">
        <f t="shared" si="28"/>
        <v>115.87301587301589</v>
      </c>
      <c r="L858" s="8">
        <f t="shared" si="29"/>
        <v>1.3888888888888888</v>
      </c>
      <c r="M858" t="s">
        <v>20</v>
      </c>
      <c r="N858" t="s">
        <v>421</v>
      </c>
    </row>
    <row r="859" spans="1:14" x14ac:dyDescent="0.3">
      <c r="A859" t="s">
        <v>743</v>
      </c>
      <c r="B859" s="2">
        <v>46227</v>
      </c>
      <c r="C859" s="2">
        <v>46228</v>
      </c>
      <c r="D859" s="1" t="s">
        <v>741</v>
      </c>
      <c r="E859" t="s">
        <v>742</v>
      </c>
      <c r="F859" t="s">
        <v>438</v>
      </c>
      <c r="G859" s="5">
        <v>127</v>
      </c>
      <c r="H859" s="5">
        <v>148</v>
      </c>
      <c r="I859" s="5">
        <v>143</v>
      </c>
      <c r="J859" s="5">
        <v>5</v>
      </c>
      <c r="K859" s="8">
        <f t="shared" si="28"/>
        <v>116.53543307086613</v>
      </c>
      <c r="L859" s="8">
        <f t="shared" si="29"/>
        <v>3.4965034965034967</v>
      </c>
      <c r="M859" t="s">
        <v>20</v>
      </c>
      <c r="N859" t="s">
        <v>421</v>
      </c>
    </row>
    <row r="860" spans="1:14" x14ac:dyDescent="0.3">
      <c r="A860" t="s">
        <v>744</v>
      </c>
      <c r="B860" s="2">
        <v>46230</v>
      </c>
      <c r="C860" s="2">
        <v>46231</v>
      </c>
      <c r="D860" s="1" t="s">
        <v>741</v>
      </c>
      <c r="E860" t="s">
        <v>742</v>
      </c>
      <c r="F860" t="s">
        <v>438</v>
      </c>
      <c r="G860" s="5">
        <v>127</v>
      </c>
      <c r="H860" s="5">
        <v>144</v>
      </c>
      <c r="I860" s="5">
        <v>137</v>
      </c>
      <c r="J860" s="5">
        <v>7</v>
      </c>
      <c r="K860" s="8">
        <f t="shared" si="28"/>
        <v>113.38582677165354</v>
      </c>
      <c r="L860" s="8">
        <f t="shared" si="29"/>
        <v>5.1094890510948909</v>
      </c>
      <c r="M860" t="s">
        <v>20</v>
      </c>
      <c r="N860" t="s">
        <v>421</v>
      </c>
    </row>
    <row r="861" spans="1:14" x14ac:dyDescent="0.3">
      <c r="A861" t="s">
        <v>745</v>
      </c>
      <c r="B861" s="2">
        <v>46231</v>
      </c>
      <c r="C861" s="2">
        <v>46232</v>
      </c>
      <c r="D861" s="1" t="s">
        <v>741</v>
      </c>
      <c r="E861" t="s">
        <v>742</v>
      </c>
      <c r="F861" t="s">
        <v>438</v>
      </c>
      <c r="G861" s="5">
        <v>127</v>
      </c>
      <c r="H861" s="5">
        <v>128</v>
      </c>
      <c r="I861" s="5">
        <v>126</v>
      </c>
      <c r="J861" s="5">
        <v>2</v>
      </c>
      <c r="K861" s="8">
        <f t="shared" si="28"/>
        <v>100.78740157480314</v>
      </c>
      <c r="L861" s="8">
        <f t="shared" si="29"/>
        <v>1.5873015873015872</v>
      </c>
      <c r="M861" t="s">
        <v>20</v>
      </c>
      <c r="N861" t="s">
        <v>421</v>
      </c>
    </row>
    <row r="862" spans="1:14" x14ac:dyDescent="0.3">
      <c r="A862" t="s">
        <v>746</v>
      </c>
      <c r="B862" s="2">
        <v>46217</v>
      </c>
      <c r="C862" s="2">
        <v>46218</v>
      </c>
      <c r="D862" s="1" t="s">
        <v>747</v>
      </c>
      <c r="E862" t="s">
        <v>748</v>
      </c>
      <c r="F862" t="s">
        <v>438</v>
      </c>
      <c r="G862" s="5">
        <v>70</v>
      </c>
      <c r="H862" s="5">
        <v>70</v>
      </c>
      <c r="I862" s="5">
        <v>69</v>
      </c>
      <c r="J862" s="5">
        <v>1</v>
      </c>
      <c r="K862" s="8">
        <f t="shared" si="28"/>
        <v>100</v>
      </c>
      <c r="L862" s="8">
        <f t="shared" si="29"/>
        <v>1.4492753623188406</v>
      </c>
      <c r="M862" t="s">
        <v>20</v>
      </c>
      <c r="N862" t="s">
        <v>421</v>
      </c>
    </row>
    <row r="863" spans="1:14" x14ac:dyDescent="0.3">
      <c r="A863" t="s">
        <v>749</v>
      </c>
      <c r="B863" s="2">
        <v>46219</v>
      </c>
      <c r="C863" s="2">
        <v>46220</v>
      </c>
      <c r="D863" s="1" t="s">
        <v>747</v>
      </c>
      <c r="E863" t="s">
        <v>748</v>
      </c>
      <c r="F863" t="s">
        <v>438</v>
      </c>
      <c r="G863" s="5">
        <v>70</v>
      </c>
      <c r="H863" s="5">
        <v>70</v>
      </c>
      <c r="I863" s="5">
        <v>67</v>
      </c>
      <c r="J863" s="5">
        <v>3</v>
      </c>
      <c r="K863" s="8">
        <f t="shared" si="28"/>
        <v>100</v>
      </c>
      <c r="L863" s="8">
        <f t="shared" si="29"/>
        <v>4.4776119402985071</v>
      </c>
      <c r="M863" t="s">
        <v>20</v>
      </c>
      <c r="N863" t="s">
        <v>421</v>
      </c>
    </row>
    <row r="864" spans="1:14" x14ac:dyDescent="0.3">
      <c r="A864" t="s">
        <v>750</v>
      </c>
      <c r="B864" s="2">
        <v>46226</v>
      </c>
      <c r="C864" s="2">
        <v>46227</v>
      </c>
      <c r="D864" s="1" t="s">
        <v>747</v>
      </c>
      <c r="E864" t="s">
        <v>748</v>
      </c>
      <c r="F864" t="s">
        <v>438</v>
      </c>
      <c r="G864" s="5">
        <v>70</v>
      </c>
      <c r="H864" s="5">
        <v>69</v>
      </c>
      <c r="I864" s="5">
        <v>60</v>
      </c>
      <c r="J864" s="5">
        <v>9</v>
      </c>
      <c r="K864" s="8">
        <f t="shared" si="28"/>
        <v>98.571428571428584</v>
      </c>
      <c r="L864" s="8">
        <f t="shared" si="29"/>
        <v>15</v>
      </c>
      <c r="M864" t="s">
        <v>20</v>
      </c>
      <c r="N864" t="s">
        <v>421</v>
      </c>
    </row>
    <row r="865" spans="1:14" x14ac:dyDescent="0.3">
      <c r="A865" t="s">
        <v>751</v>
      </c>
      <c r="B865" s="2">
        <v>46227</v>
      </c>
      <c r="C865" s="2">
        <v>46231</v>
      </c>
      <c r="D865" s="1" t="s">
        <v>747</v>
      </c>
      <c r="E865" t="s">
        <v>748</v>
      </c>
      <c r="F865" t="s">
        <v>438</v>
      </c>
      <c r="G865" s="7">
        <v>70</v>
      </c>
      <c r="H865" s="7">
        <v>69</v>
      </c>
      <c r="I865" s="7">
        <v>0</v>
      </c>
      <c r="J865" s="7">
        <v>69</v>
      </c>
      <c r="K865" s="8">
        <f t="shared" si="28"/>
        <v>98.571428571428584</v>
      </c>
      <c r="L865" s="8">
        <v>100</v>
      </c>
      <c r="M865" t="s">
        <v>20</v>
      </c>
      <c r="N865" t="s">
        <v>421</v>
      </c>
    </row>
    <row r="866" spans="1:14" x14ac:dyDescent="0.3">
      <c r="A866" t="s">
        <v>752</v>
      </c>
      <c r="B866" s="2">
        <v>46232</v>
      </c>
      <c r="C866" s="2">
        <v>46233</v>
      </c>
      <c r="D866" s="1" t="s">
        <v>747</v>
      </c>
      <c r="E866" t="s">
        <v>748</v>
      </c>
      <c r="F866" t="s">
        <v>438</v>
      </c>
      <c r="G866" s="5">
        <v>70</v>
      </c>
      <c r="H866" s="5">
        <v>70</v>
      </c>
      <c r="I866" s="5">
        <v>67</v>
      </c>
      <c r="J866" s="5">
        <v>3</v>
      </c>
      <c r="K866" s="8">
        <f t="shared" si="28"/>
        <v>100</v>
      </c>
      <c r="L866" s="8">
        <f t="shared" si="29"/>
        <v>4.4776119402985071</v>
      </c>
      <c r="M866" t="s">
        <v>20</v>
      </c>
      <c r="N866" t="s">
        <v>421</v>
      </c>
    </row>
    <row r="867" spans="1:14" x14ac:dyDescent="0.3">
      <c r="A867" t="s">
        <v>753</v>
      </c>
      <c r="B867" s="2">
        <v>46216</v>
      </c>
      <c r="C867" s="2">
        <v>46217</v>
      </c>
      <c r="D867" s="1" t="s">
        <v>754</v>
      </c>
      <c r="E867" t="s">
        <v>755</v>
      </c>
      <c r="F867" t="s">
        <v>438</v>
      </c>
      <c r="G867" s="5">
        <v>429</v>
      </c>
      <c r="H867" s="5">
        <v>425</v>
      </c>
      <c r="I867" s="5">
        <v>420</v>
      </c>
      <c r="J867" s="5">
        <v>5</v>
      </c>
      <c r="K867" s="8">
        <f t="shared" si="28"/>
        <v>99.067599067599062</v>
      </c>
      <c r="L867" s="8">
        <f t="shared" si="29"/>
        <v>1.1904761904761905</v>
      </c>
      <c r="M867" t="s">
        <v>20</v>
      </c>
      <c r="N867" t="s">
        <v>421</v>
      </c>
    </row>
    <row r="868" spans="1:14" x14ac:dyDescent="0.3">
      <c r="A868" t="s">
        <v>756</v>
      </c>
      <c r="B868" s="2">
        <v>46216</v>
      </c>
      <c r="C868" s="2">
        <v>46217</v>
      </c>
      <c r="D868" s="1" t="s">
        <v>754</v>
      </c>
      <c r="E868" t="s">
        <v>755</v>
      </c>
      <c r="F868" t="s">
        <v>438</v>
      </c>
      <c r="G868" s="5">
        <v>195</v>
      </c>
      <c r="H868" s="5">
        <v>199</v>
      </c>
      <c r="I868" s="5">
        <v>197</v>
      </c>
      <c r="J868" s="5">
        <v>2</v>
      </c>
      <c r="K868" s="8">
        <f t="shared" si="28"/>
        <v>102.05128205128204</v>
      </c>
      <c r="L868" s="8">
        <f t="shared" si="29"/>
        <v>1.015228426395939</v>
      </c>
      <c r="M868" t="s">
        <v>20</v>
      </c>
      <c r="N868" t="s">
        <v>421</v>
      </c>
    </row>
    <row r="869" spans="1:14" x14ac:dyDescent="0.3">
      <c r="A869" t="s">
        <v>757</v>
      </c>
      <c r="B869" s="2">
        <v>46217</v>
      </c>
      <c r="C869" s="2">
        <v>46218</v>
      </c>
      <c r="D869" s="1" t="s">
        <v>754</v>
      </c>
      <c r="E869" t="s">
        <v>755</v>
      </c>
      <c r="F869" t="s">
        <v>438</v>
      </c>
      <c r="G869" s="5">
        <v>429</v>
      </c>
      <c r="H869" s="5">
        <v>429</v>
      </c>
      <c r="I869" s="5">
        <v>423</v>
      </c>
      <c r="J869" s="5">
        <v>6</v>
      </c>
      <c r="K869" s="8">
        <f t="shared" si="28"/>
        <v>100</v>
      </c>
      <c r="L869" s="8">
        <f t="shared" si="29"/>
        <v>1.4184397163120568</v>
      </c>
      <c r="M869" t="s">
        <v>20</v>
      </c>
      <c r="N869" t="s">
        <v>421</v>
      </c>
    </row>
    <row r="870" spans="1:14" x14ac:dyDescent="0.3">
      <c r="A870" t="s">
        <v>758</v>
      </c>
      <c r="B870" s="2">
        <v>46217</v>
      </c>
      <c r="C870" s="2">
        <v>46220</v>
      </c>
      <c r="D870" s="1" t="s">
        <v>754</v>
      </c>
      <c r="E870" t="s">
        <v>755</v>
      </c>
      <c r="F870" t="s">
        <v>438</v>
      </c>
      <c r="G870" s="5">
        <v>195</v>
      </c>
      <c r="H870" s="5">
        <v>196</v>
      </c>
      <c r="I870" s="5">
        <v>194</v>
      </c>
      <c r="J870" s="5">
        <v>2</v>
      </c>
      <c r="K870" s="8">
        <f t="shared" si="28"/>
        <v>100.51282051282051</v>
      </c>
      <c r="L870" s="8">
        <f t="shared" si="29"/>
        <v>1.0309278350515463</v>
      </c>
      <c r="M870" t="s">
        <v>20</v>
      </c>
      <c r="N870" t="s">
        <v>421</v>
      </c>
    </row>
    <row r="871" spans="1:14" x14ac:dyDescent="0.3">
      <c r="A871" t="s">
        <v>759</v>
      </c>
      <c r="B871" s="2">
        <v>46218</v>
      </c>
      <c r="C871" s="2">
        <v>46219</v>
      </c>
      <c r="D871" s="1" t="s">
        <v>754</v>
      </c>
      <c r="E871" t="s">
        <v>755</v>
      </c>
      <c r="F871" t="s">
        <v>438</v>
      </c>
      <c r="G871" s="5">
        <v>429</v>
      </c>
      <c r="H871" s="5">
        <v>429</v>
      </c>
      <c r="I871" s="5">
        <v>425</v>
      </c>
      <c r="J871" s="5">
        <v>4</v>
      </c>
      <c r="K871" s="8">
        <f t="shared" si="28"/>
        <v>100</v>
      </c>
      <c r="L871" s="8">
        <f t="shared" si="29"/>
        <v>0.94117647058823517</v>
      </c>
      <c r="M871" t="s">
        <v>20</v>
      </c>
      <c r="N871" t="s">
        <v>421</v>
      </c>
    </row>
    <row r="872" spans="1:14" x14ac:dyDescent="0.3">
      <c r="A872" t="s">
        <v>760</v>
      </c>
      <c r="B872" s="2">
        <v>46218</v>
      </c>
      <c r="C872" s="2">
        <v>46219</v>
      </c>
      <c r="D872" s="1" t="s">
        <v>754</v>
      </c>
      <c r="E872" t="s">
        <v>755</v>
      </c>
      <c r="F872" t="s">
        <v>438</v>
      </c>
      <c r="G872" s="7">
        <v>195</v>
      </c>
      <c r="H872" s="7">
        <v>197</v>
      </c>
      <c r="I872" s="7">
        <v>103</v>
      </c>
      <c r="J872" s="7">
        <v>94</v>
      </c>
      <c r="K872" s="8">
        <f t="shared" si="28"/>
        <v>101.02564102564102</v>
      </c>
      <c r="L872" s="8">
        <f t="shared" si="29"/>
        <v>91.262135922330103</v>
      </c>
      <c r="M872" t="s">
        <v>20</v>
      </c>
      <c r="N872" t="s">
        <v>421</v>
      </c>
    </row>
    <row r="873" spans="1:14" x14ac:dyDescent="0.3">
      <c r="A873" t="s">
        <v>761</v>
      </c>
      <c r="B873" s="2">
        <v>46219</v>
      </c>
      <c r="C873" s="2">
        <v>46220</v>
      </c>
      <c r="D873" s="1" t="s">
        <v>754</v>
      </c>
      <c r="E873" t="s">
        <v>755</v>
      </c>
      <c r="F873" t="s">
        <v>438</v>
      </c>
      <c r="G873" s="5">
        <v>429</v>
      </c>
      <c r="H873" s="5">
        <v>427</v>
      </c>
      <c r="I873" s="5">
        <v>424</v>
      </c>
      <c r="J873" s="5">
        <v>3</v>
      </c>
      <c r="K873" s="8">
        <f t="shared" si="28"/>
        <v>99.533799533799538</v>
      </c>
      <c r="L873" s="8">
        <f t="shared" si="29"/>
        <v>0.70754716981132082</v>
      </c>
      <c r="M873" t="s">
        <v>20</v>
      </c>
      <c r="N873" t="s">
        <v>421</v>
      </c>
    </row>
    <row r="874" spans="1:14" x14ac:dyDescent="0.3">
      <c r="A874" t="s">
        <v>762</v>
      </c>
      <c r="B874" s="2">
        <v>46223</v>
      </c>
      <c r="C874" s="2">
        <v>46224</v>
      </c>
      <c r="D874" s="1" t="s">
        <v>754</v>
      </c>
      <c r="E874" t="s">
        <v>755</v>
      </c>
      <c r="F874" t="s">
        <v>438</v>
      </c>
      <c r="G874" s="5">
        <v>429</v>
      </c>
      <c r="H874" s="5">
        <v>429</v>
      </c>
      <c r="I874" s="5">
        <v>419</v>
      </c>
      <c r="J874" s="5">
        <v>10</v>
      </c>
      <c r="K874" s="8">
        <f t="shared" si="28"/>
        <v>100</v>
      </c>
      <c r="L874" s="8">
        <f t="shared" si="29"/>
        <v>2.3866348448687349</v>
      </c>
      <c r="M874" t="s">
        <v>20</v>
      </c>
      <c r="N874" t="s">
        <v>421</v>
      </c>
    </row>
    <row r="875" spans="1:14" x14ac:dyDescent="0.3">
      <c r="A875" t="s">
        <v>763</v>
      </c>
      <c r="B875" s="2">
        <v>46225</v>
      </c>
      <c r="C875" s="2">
        <v>46226</v>
      </c>
      <c r="D875" s="1" t="s">
        <v>754</v>
      </c>
      <c r="E875" t="s">
        <v>755</v>
      </c>
      <c r="F875" t="s">
        <v>438</v>
      </c>
      <c r="G875" s="5">
        <v>858</v>
      </c>
      <c r="H875" s="5">
        <v>854</v>
      </c>
      <c r="I875" s="5">
        <v>835</v>
      </c>
      <c r="J875" s="5">
        <v>19</v>
      </c>
      <c r="K875" s="8">
        <f t="shared" si="28"/>
        <v>99.533799533799538</v>
      </c>
      <c r="L875" s="8">
        <f t="shared" si="29"/>
        <v>2.2754491017964074</v>
      </c>
      <c r="M875" t="s">
        <v>20</v>
      </c>
      <c r="N875" t="s">
        <v>421</v>
      </c>
    </row>
    <row r="876" spans="1:14" x14ac:dyDescent="0.3">
      <c r="A876" t="s">
        <v>764</v>
      </c>
      <c r="B876" s="2">
        <v>46226</v>
      </c>
      <c r="C876" s="2">
        <v>46227</v>
      </c>
      <c r="D876" s="1" t="s">
        <v>754</v>
      </c>
      <c r="E876" t="s">
        <v>755</v>
      </c>
      <c r="F876" t="s">
        <v>438</v>
      </c>
      <c r="G876" s="5">
        <v>858</v>
      </c>
      <c r="H876" s="5">
        <v>856</v>
      </c>
      <c r="I876" s="5">
        <v>841</v>
      </c>
      <c r="J876" s="5">
        <v>15</v>
      </c>
      <c r="K876" s="8">
        <f t="shared" si="28"/>
        <v>99.766899766899769</v>
      </c>
      <c r="L876" s="8">
        <f t="shared" si="29"/>
        <v>1.78359096313912</v>
      </c>
      <c r="M876" t="s">
        <v>20</v>
      </c>
      <c r="N876" t="s">
        <v>421</v>
      </c>
    </row>
    <row r="877" spans="1:14" x14ac:dyDescent="0.3">
      <c r="A877" t="s">
        <v>765</v>
      </c>
      <c r="B877" s="2">
        <v>46227</v>
      </c>
      <c r="C877" s="2">
        <v>46228</v>
      </c>
      <c r="D877" s="1" t="s">
        <v>754</v>
      </c>
      <c r="E877" t="s">
        <v>755</v>
      </c>
      <c r="F877" t="s">
        <v>438</v>
      </c>
      <c r="G877" s="5">
        <v>429</v>
      </c>
      <c r="H877" s="5">
        <v>427</v>
      </c>
      <c r="I877" s="5">
        <v>422</v>
      </c>
      <c r="J877" s="5">
        <v>5</v>
      </c>
      <c r="K877" s="8">
        <f t="shared" si="28"/>
        <v>99.533799533799538</v>
      </c>
      <c r="L877" s="8">
        <f t="shared" si="29"/>
        <v>1.1848341232227488</v>
      </c>
      <c r="M877" t="s">
        <v>20</v>
      </c>
      <c r="N877" t="s">
        <v>421</v>
      </c>
    </row>
    <row r="878" spans="1:14" x14ac:dyDescent="0.3">
      <c r="A878" t="s">
        <v>766</v>
      </c>
      <c r="B878" s="2">
        <v>46230</v>
      </c>
      <c r="C878" s="2">
        <v>46231</v>
      </c>
      <c r="D878" s="1" t="s">
        <v>754</v>
      </c>
      <c r="E878" t="s">
        <v>755</v>
      </c>
      <c r="F878" t="s">
        <v>438</v>
      </c>
      <c r="G878" s="5">
        <v>429</v>
      </c>
      <c r="H878" s="5">
        <v>427</v>
      </c>
      <c r="I878" s="5">
        <v>412</v>
      </c>
      <c r="J878" s="5">
        <v>15</v>
      </c>
      <c r="K878" s="8">
        <f t="shared" si="28"/>
        <v>99.533799533799538</v>
      </c>
      <c r="L878" s="8">
        <f t="shared" si="29"/>
        <v>3.6407766990291259</v>
      </c>
      <c r="M878" t="s">
        <v>20</v>
      </c>
      <c r="N878" t="s">
        <v>421</v>
      </c>
    </row>
    <row r="879" spans="1:14" x14ac:dyDescent="0.3">
      <c r="A879" t="s">
        <v>767</v>
      </c>
      <c r="B879" s="2">
        <v>46228</v>
      </c>
      <c r="C879" s="2">
        <v>46230</v>
      </c>
      <c r="D879" s="1" t="s">
        <v>754</v>
      </c>
      <c r="E879" t="s">
        <v>755</v>
      </c>
      <c r="F879" t="s">
        <v>438</v>
      </c>
      <c r="G879" s="5">
        <v>429</v>
      </c>
      <c r="H879" s="5">
        <v>429</v>
      </c>
      <c r="I879" s="5">
        <v>419</v>
      </c>
      <c r="J879" s="5">
        <v>10</v>
      </c>
      <c r="K879" s="8">
        <f t="shared" si="28"/>
        <v>100</v>
      </c>
      <c r="L879" s="8">
        <f t="shared" si="29"/>
        <v>2.3866348448687349</v>
      </c>
      <c r="M879" t="s">
        <v>20</v>
      </c>
      <c r="N879" t="s">
        <v>421</v>
      </c>
    </row>
    <row r="880" spans="1:14" x14ac:dyDescent="0.3">
      <c r="A880" t="s">
        <v>768</v>
      </c>
      <c r="B880" s="2">
        <v>46230</v>
      </c>
      <c r="C880" s="2">
        <v>46231</v>
      </c>
      <c r="D880" s="1" t="s">
        <v>754</v>
      </c>
      <c r="E880" t="s">
        <v>755</v>
      </c>
      <c r="F880" t="s">
        <v>438</v>
      </c>
      <c r="G880" s="5">
        <v>195</v>
      </c>
      <c r="H880" s="5">
        <v>192</v>
      </c>
      <c r="I880" s="5">
        <v>187</v>
      </c>
      <c r="J880" s="5">
        <v>5</v>
      </c>
      <c r="K880" s="8">
        <f t="shared" si="28"/>
        <v>98.461538461538467</v>
      </c>
      <c r="L880" s="8">
        <f t="shared" si="29"/>
        <v>2.6737967914438503</v>
      </c>
      <c r="M880" t="s">
        <v>20</v>
      </c>
      <c r="N880" t="s">
        <v>421</v>
      </c>
    </row>
    <row r="881" spans="1:14" x14ac:dyDescent="0.3">
      <c r="A881" t="s">
        <v>769</v>
      </c>
      <c r="B881" s="2">
        <v>46231</v>
      </c>
      <c r="C881" s="2">
        <v>46232</v>
      </c>
      <c r="D881" s="1" t="s">
        <v>754</v>
      </c>
      <c r="E881" t="s">
        <v>755</v>
      </c>
      <c r="F881" t="s">
        <v>438</v>
      </c>
      <c r="G881" s="5">
        <v>429</v>
      </c>
      <c r="H881" s="5">
        <v>429</v>
      </c>
      <c r="I881" s="5">
        <v>424</v>
      </c>
      <c r="J881" s="5">
        <v>5</v>
      </c>
      <c r="K881" s="8">
        <f t="shared" si="28"/>
        <v>100</v>
      </c>
      <c r="L881" s="8">
        <f t="shared" si="29"/>
        <v>1.179245283018868</v>
      </c>
      <c r="M881" t="s">
        <v>20</v>
      </c>
      <c r="N881" t="s">
        <v>421</v>
      </c>
    </row>
    <row r="882" spans="1:14" x14ac:dyDescent="0.3">
      <c r="A882" t="s">
        <v>770</v>
      </c>
      <c r="B882" s="2">
        <v>46231</v>
      </c>
      <c r="C882" s="2">
        <v>46232</v>
      </c>
      <c r="D882" s="1" t="s">
        <v>754</v>
      </c>
      <c r="E882" t="s">
        <v>755</v>
      </c>
      <c r="F882" t="s">
        <v>438</v>
      </c>
      <c r="G882" s="5">
        <v>195</v>
      </c>
      <c r="H882" s="5">
        <v>190</v>
      </c>
      <c r="I882" s="5">
        <v>166</v>
      </c>
      <c r="J882" s="5">
        <v>24</v>
      </c>
      <c r="K882" s="8">
        <f t="shared" si="28"/>
        <v>97.435897435897431</v>
      </c>
      <c r="L882" s="8">
        <f t="shared" si="29"/>
        <v>14.457831325301203</v>
      </c>
      <c r="M882" t="s">
        <v>20</v>
      </c>
      <c r="N882" t="s">
        <v>421</v>
      </c>
    </row>
    <row r="883" spans="1:14" x14ac:dyDescent="0.3">
      <c r="A883" t="s">
        <v>771</v>
      </c>
      <c r="B883" s="2">
        <v>46232</v>
      </c>
      <c r="C883" s="2">
        <v>46233</v>
      </c>
      <c r="D883" s="1" t="s">
        <v>754</v>
      </c>
      <c r="E883" t="s">
        <v>755</v>
      </c>
      <c r="F883" t="s">
        <v>438</v>
      </c>
      <c r="G883" s="5">
        <v>429</v>
      </c>
      <c r="H883" s="5">
        <v>429</v>
      </c>
      <c r="I883" s="5">
        <v>413</v>
      </c>
      <c r="J883" s="5">
        <v>16</v>
      </c>
      <c r="K883" s="8">
        <f t="shared" si="28"/>
        <v>100</v>
      </c>
      <c r="L883" s="8">
        <f t="shared" si="29"/>
        <v>3.87409200968523</v>
      </c>
      <c r="M883" t="s">
        <v>20</v>
      </c>
      <c r="N883" t="s">
        <v>421</v>
      </c>
    </row>
    <row r="884" spans="1:14" x14ac:dyDescent="0.3">
      <c r="A884" t="s">
        <v>772</v>
      </c>
      <c r="B884" s="2">
        <v>46216</v>
      </c>
      <c r="C884" s="2">
        <v>46217</v>
      </c>
      <c r="D884" s="1" t="s">
        <v>773</v>
      </c>
      <c r="E884" t="s">
        <v>774</v>
      </c>
      <c r="F884" t="s">
        <v>420</v>
      </c>
      <c r="G884" s="5">
        <v>330</v>
      </c>
      <c r="H884" s="5">
        <v>330</v>
      </c>
      <c r="I884" s="5">
        <v>330</v>
      </c>
      <c r="J884" s="5">
        <v>0</v>
      </c>
      <c r="K884" s="8">
        <f t="shared" si="28"/>
        <v>100</v>
      </c>
      <c r="L884" s="8">
        <f t="shared" si="29"/>
        <v>0</v>
      </c>
      <c r="M884" t="s">
        <v>20</v>
      </c>
      <c r="N884" t="s">
        <v>421</v>
      </c>
    </row>
    <row r="885" spans="1:14" x14ac:dyDescent="0.3">
      <c r="A885" t="s">
        <v>775</v>
      </c>
      <c r="B885" s="2">
        <v>46217</v>
      </c>
      <c r="C885" s="2">
        <v>46218</v>
      </c>
      <c r="D885" s="1" t="s">
        <v>773</v>
      </c>
      <c r="E885" t="s">
        <v>774</v>
      </c>
      <c r="F885" t="s">
        <v>420</v>
      </c>
      <c r="G885" s="5">
        <v>300</v>
      </c>
      <c r="H885" s="5">
        <v>300</v>
      </c>
      <c r="I885" s="5">
        <v>300</v>
      </c>
      <c r="J885" s="5">
        <v>0</v>
      </c>
      <c r="K885" s="8">
        <f t="shared" si="28"/>
        <v>100</v>
      </c>
      <c r="L885" s="8">
        <f t="shared" si="29"/>
        <v>0</v>
      </c>
      <c r="M885" t="s">
        <v>20</v>
      </c>
      <c r="N885" t="s">
        <v>421</v>
      </c>
    </row>
    <row r="886" spans="1:14" x14ac:dyDescent="0.3">
      <c r="A886" t="s">
        <v>776</v>
      </c>
      <c r="B886" s="2">
        <v>46218</v>
      </c>
      <c r="C886" s="2">
        <v>46219</v>
      </c>
      <c r="D886" s="1" t="s">
        <v>773</v>
      </c>
      <c r="E886" t="s">
        <v>774</v>
      </c>
      <c r="F886" t="s">
        <v>420</v>
      </c>
      <c r="G886" s="5">
        <v>650</v>
      </c>
      <c r="H886" s="5">
        <v>650</v>
      </c>
      <c r="I886" s="5">
        <v>650</v>
      </c>
      <c r="J886" s="5">
        <v>0</v>
      </c>
      <c r="K886" s="8">
        <f t="shared" si="28"/>
        <v>100</v>
      </c>
      <c r="L886" s="8">
        <f t="shared" si="29"/>
        <v>0</v>
      </c>
      <c r="M886" t="s">
        <v>20</v>
      </c>
      <c r="N886" t="s">
        <v>421</v>
      </c>
    </row>
    <row r="887" spans="1:14" x14ac:dyDescent="0.3">
      <c r="A887" t="s">
        <v>777</v>
      </c>
      <c r="B887" s="2">
        <v>46219</v>
      </c>
      <c r="C887" s="2">
        <v>46220</v>
      </c>
      <c r="D887" s="1" t="s">
        <v>773</v>
      </c>
      <c r="E887" t="s">
        <v>774</v>
      </c>
      <c r="F887" t="s">
        <v>420</v>
      </c>
      <c r="G887" s="5">
        <v>530</v>
      </c>
      <c r="H887" s="5">
        <v>530</v>
      </c>
      <c r="I887" s="5">
        <v>530</v>
      </c>
      <c r="J887" s="5">
        <v>0</v>
      </c>
      <c r="K887" s="8">
        <f t="shared" si="28"/>
        <v>100</v>
      </c>
      <c r="L887" s="8">
        <f t="shared" si="29"/>
        <v>0</v>
      </c>
      <c r="M887" t="s">
        <v>20</v>
      </c>
      <c r="N887" t="s">
        <v>421</v>
      </c>
    </row>
    <row r="888" spans="1:14" x14ac:dyDescent="0.3">
      <c r="A888" t="s">
        <v>778</v>
      </c>
      <c r="B888" s="2">
        <v>46220</v>
      </c>
      <c r="C888" s="2">
        <v>46221</v>
      </c>
      <c r="D888" s="1" t="s">
        <v>773</v>
      </c>
      <c r="E888" t="s">
        <v>774</v>
      </c>
      <c r="F888" t="s">
        <v>420</v>
      </c>
      <c r="G888" s="5">
        <v>570</v>
      </c>
      <c r="H888" s="5">
        <v>570</v>
      </c>
      <c r="I888" s="5">
        <v>570</v>
      </c>
      <c r="J888" s="5">
        <v>0</v>
      </c>
      <c r="K888" s="8">
        <f t="shared" si="28"/>
        <v>100</v>
      </c>
      <c r="L888" s="8">
        <f t="shared" si="29"/>
        <v>0</v>
      </c>
      <c r="M888" t="s">
        <v>20</v>
      </c>
      <c r="N888" t="s">
        <v>421</v>
      </c>
    </row>
    <row r="889" spans="1:14" x14ac:dyDescent="0.3">
      <c r="A889" t="s">
        <v>779</v>
      </c>
      <c r="B889" s="2">
        <v>46221</v>
      </c>
      <c r="C889" s="2">
        <v>46221</v>
      </c>
      <c r="D889" s="1" t="s">
        <v>773</v>
      </c>
      <c r="E889" t="s">
        <v>774</v>
      </c>
      <c r="F889" t="s">
        <v>420</v>
      </c>
      <c r="G889" s="5">
        <v>320</v>
      </c>
      <c r="H889" s="5">
        <v>320</v>
      </c>
      <c r="I889" s="5">
        <v>320</v>
      </c>
      <c r="J889" s="5">
        <v>0</v>
      </c>
      <c r="K889" s="8">
        <f t="shared" si="28"/>
        <v>100</v>
      </c>
      <c r="L889" s="8">
        <f t="shared" si="29"/>
        <v>0</v>
      </c>
      <c r="M889" t="s">
        <v>20</v>
      </c>
      <c r="N889" t="s">
        <v>421</v>
      </c>
    </row>
    <row r="890" spans="1:14" x14ac:dyDescent="0.3">
      <c r="A890" t="s">
        <v>780</v>
      </c>
      <c r="B890" s="2">
        <v>46223</v>
      </c>
      <c r="C890" s="2">
        <v>46224</v>
      </c>
      <c r="D890" s="1" t="s">
        <v>773</v>
      </c>
      <c r="E890" t="s">
        <v>774</v>
      </c>
      <c r="F890" t="s">
        <v>420</v>
      </c>
      <c r="G890" s="5">
        <v>760</v>
      </c>
      <c r="H890" s="5">
        <v>760</v>
      </c>
      <c r="I890" s="5">
        <v>760</v>
      </c>
      <c r="J890" s="5">
        <v>0</v>
      </c>
      <c r="K890" s="8">
        <f t="shared" si="28"/>
        <v>100</v>
      </c>
      <c r="L890" s="8">
        <f t="shared" si="29"/>
        <v>0</v>
      </c>
      <c r="M890" t="s">
        <v>20</v>
      </c>
      <c r="N890" t="s">
        <v>421</v>
      </c>
    </row>
    <row r="891" spans="1:14" x14ac:dyDescent="0.3">
      <c r="A891" t="s">
        <v>781</v>
      </c>
      <c r="B891" s="2">
        <v>46225</v>
      </c>
      <c r="C891" s="2">
        <v>46226</v>
      </c>
      <c r="D891" s="1" t="s">
        <v>773</v>
      </c>
      <c r="E891" t="s">
        <v>774</v>
      </c>
      <c r="F891" t="s">
        <v>420</v>
      </c>
      <c r="G891" s="5">
        <v>830</v>
      </c>
      <c r="H891" s="5">
        <v>830</v>
      </c>
      <c r="I891" s="5">
        <v>830</v>
      </c>
      <c r="J891" s="5">
        <v>0</v>
      </c>
      <c r="K891" s="8">
        <f t="shared" si="28"/>
        <v>100</v>
      </c>
      <c r="L891" s="8">
        <f t="shared" si="29"/>
        <v>0</v>
      </c>
      <c r="M891" t="s">
        <v>20</v>
      </c>
      <c r="N891" t="s">
        <v>421</v>
      </c>
    </row>
    <row r="892" spans="1:14" x14ac:dyDescent="0.3">
      <c r="A892" t="s">
        <v>782</v>
      </c>
      <c r="B892" s="2">
        <v>46226</v>
      </c>
      <c r="C892" s="2">
        <v>46227</v>
      </c>
      <c r="D892" s="1" t="s">
        <v>773</v>
      </c>
      <c r="E892" t="s">
        <v>774</v>
      </c>
      <c r="F892" t="s">
        <v>420</v>
      </c>
      <c r="G892" s="5">
        <v>600</v>
      </c>
      <c r="H892" s="5">
        <v>600</v>
      </c>
      <c r="I892" s="5">
        <v>600</v>
      </c>
      <c r="J892" s="5">
        <v>0</v>
      </c>
      <c r="K892" s="8">
        <f t="shared" si="28"/>
        <v>100</v>
      </c>
      <c r="L892" s="8">
        <f t="shared" si="29"/>
        <v>0</v>
      </c>
      <c r="M892" t="s">
        <v>20</v>
      </c>
      <c r="N892" t="s">
        <v>421</v>
      </c>
    </row>
    <row r="893" spans="1:14" x14ac:dyDescent="0.3">
      <c r="A893" t="s">
        <v>783</v>
      </c>
      <c r="B893" s="2">
        <v>46227</v>
      </c>
      <c r="C893" s="2">
        <v>46228</v>
      </c>
      <c r="D893" s="1" t="s">
        <v>773</v>
      </c>
      <c r="E893" t="s">
        <v>774</v>
      </c>
      <c r="F893" t="s">
        <v>420</v>
      </c>
      <c r="G893" s="5">
        <v>890</v>
      </c>
      <c r="H893" s="5">
        <v>890</v>
      </c>
      <c r="I893" s="5">
        <v>890</v>
      </c>
      <c r="J893" s="5">
        <v>0</v>
      </c>
      <c r="K893" s="8">
        <f t="shared" ref="K893:K956" si="30">(H893/G893)*100</f>
        <v>100</v>
      </c>
      <c r="L893" s="8">
        <f t="shared" si="29"/>
        <v>0</v>
      </c>
      <c r="M893" t="s">
        <v>20</v>
      </c>
      <c r="N893" t="s">
        <v>421</v>
      </c>
    </row>
    <row r="894" spans="1:14" x14ac:dyDescent="0.3">
      <c r="A894" t="s">
        <v>784</v>
      </c>
      <c r="B894" s="2">
        <v>46230</v>
      </c>
      <c r="C894" s="2">
        <v>46230</v>
      </c>
      <c r="D894" s="1" t="s">
        <v>773</v>
      </c>
      <c r="E894" t="s">
        <v>774</v>
      </c>
      <c r="F894" t="s">
        <v>420</v>
      </c>
      <c r="G894" s="5">
        <v>800</v>
      </c>
      <c r="H894" s="5">
        <v>800</v>
      </c>
      <c r="I894" s="5">
        <v>800</v>
      </c>
      <c r="J894" s="5">
        <v>0</v>
      </c>
      <c r="K894" s="8">
        <f t="shared" si="30"/>
        <v>100</v>
      </c>
      <c r="L894" s="8">
        <f t="shared" ref="L894:L957" si="31">((H894-I894)/I894)*100</f>
        <v>0</v>
      </c>
      <c r="M894" t="s">
        <v>20</v>
      </c>
      <c r="N894" t="s">
        <v>421</v>
      </c>
    </row>
    <row r="895" spans="1:14" x14ac:dyDescent="0.3">
      <c r="A895" t="s">
        <v>785</v>
      </c>
      <c r="B895" s="2">
        <v>46231</v>
      </c>
      <c r="C895" s="2">
        <v>46232</v>
      </c>
      <c r="D895" s="1" t="s">
        <v>773</v>
      </c>
      <c r="E895" t="s">
        <v>774</v>
      </c>
      <c r="F895" t="s">
        <v>420</v>
      </c>
      <c r="G895" s="5">
        <v>670</v>
      </c>
      <c r="H895" s="5">
        <v>670</v>
      </c>
      <c r="I895" s="5">
        <v>670</v>
      </c>
      <c r="J895" s="5">
        <v>0</v>
      </c>
      <c r="K895" s="8">
        <f t="shared" si="30"/>
        <v>100</v>
      </c>
      <c r="L895" s="8">
        <f t="shared" si="31"/>
        <v>0</v>
      </c>
      <c r="M895" t="s">
        <v>20</v>
      </c>
      <c r="N895" t="s">
        <v>421</v>
      </c>
    </row>
    <row r="896" spans="1:14" x14ac:dyDescent="0.3">
      <c r="A896" t="s">
        <v>786</v>
      </c>
      <c r="B896" s="2">
        <v>46232</v>
      </c>
      <c r="C896" s="2">
        <v>46233</v>
      </c>
      <c r="D896" s="1" t="s">
        <v>773</v>
      </c>
      <c r="E896" t="s">
        <v>774</v>
      </c>
      <c r="F896" t="s">
        <v>420</v>
      </c>
      <c r="G896" s="5">
        <v>890</v>
      </c>
      <c r="H896" s="5">
        <v>890</v>
      </c>
      <c r="I896" s="5">
        <v>890</v>
      </c>
      <c r="J896" s="5">
        <v>0</v>
      </c>
      <c r="K896" s="8">
        <f t="shared" si="30"/>
        <v>100</v>
      </c>
      <c r="L896" s="8">
        <f t="shared" si="31"/>
        <v>0</v>
      </c>
      <c r="M896" t="s">
        <v>20</v>
      </c>
      <c r="N896" t="s">
        <v>421</v>
      </c>
    </row>
    <row r="897" spans="1:14" x14ac:dyDescent="0.3">
      <c r="A897" t="s">
        <v>787</v>
      </c>
      <c r="B897" s="2">
        <v>46216</v>
      </c>
      <c r="C897" s="2">
        <v>46217</v>
      </c>
      <c r="D897" s="1" t="s">
        <v>788</v>
      </c>
      <c r="E897" t="s">
        <v>789</v>
      </c>
      <c r="F897" t="s">
        <v>420</v>
      </c>
      <c r="G897" s="5">
        <v>360</v>
      </c>
      <c r="H897" s="5">
        <v>360</v>
      </c>
      <c r="I897" s="5">
        <v>360</v>
      </c>
      <c r="J897" s="5">
        <v>0</v>
      </c>
      <c r="K897" s="8">
        <f t="shared" si="30"/>
        <v>100</v>
      </c>
      <c r="L897" s="8">
        <f t="shared" si="31"/>
        <v>0</v>
      </c>
      <c r="M897" t="s">
        <v>20</v>
      </c>
      <c r="N897" t="s">
        <v>421</v>
      </c>
    </row>
    <row r="898" spans="1:14" x14ac:dyDescent="0.3">
      <c r="A898" t="s">
        <v>790</v>
      </c>
      <c r="B898" s="2">
        <v>46217</v>
      </c>
      <c r="C898" s="2">
        <v>46218</v>
      </c>
      <c r="D898" s="1" t="s">
        <v>788</v>
      </c>
      <c r="E898" t="s">
        <v>789</v>
      </c>
      <c r="F898" t="s">
        <v>420</v>
      </c>
      <c r="G898" s="5">
        <v>280</v>
      </c>
      <c r="H898" s="5">
        <v>280</v>
      </c>
      <c r="I898" s="5">
        <v>280</v>
      </c>
      <c r="J898" s="5">
        <v>0</v>
      </c>
      <c r="K898" s="8">
        <f t="shared" si="30"/>
        <v>100</v>
      </c>
      <c r="L898" s="8">
        <f t="shared" si="31"/>
        <v>0</v>
      </c>
      <c r="M898" t="s">
        <v>20</v>
      </c>
      <c r="N898" t="s">
        <v>421</v>
      </c>
    </row>
    <row r="899" spans="1:14" x14ac:dyDescent="0.3">
      <c r="A899" t="s">
        <v>791</v>
      </c>
      <c r="B899" s="2">
        <v>46218</v>
      </c>
      <c r="C899" s="2">
        <v>46219</v>
      </c>
      <c r="D899" s="1" t="s">
        <v>788</v>
      </c>
      <c r="E899" t="s">
        <v>789</v>
      </c>
      <c r="F899" t="s">
        <v>420</v>
      </c>
      <c r="G899" s="5">
        <v>670</v>
      </c>
      <c r="H899" s="5">
        <v>670</v>
      </c>
      <c r="I899" s="5">
        <v>670</v>
      </c>
      <c r="J899" s="5">
        <v>0</v>
      </c>
      <c r="K899" s="8">
        <f t="shared" si="30"/>
        <v>100</v>
      </c>
      <c r="L899" s="8">
        <f t="shared" si="31"/>
        <v>0</v>
      </c>
      <c r="M899" t="s">
        <v>20</v>
      </c>
      <c r="N899" t="s">
        <v>421</v>
      </c>
    </row>
    <row r="900" spans="1:14" x14ac:dyDescent="0.3">
      <c r="A900" t="s">
        <v>792</v>
      </c>
      <c r="B900" s="2">
        <v>46219</v>
      </c>
      <c r="C900" s="2">
        <v>46220</v>
      </c>
      <c r="D900" s="1" t="s">
        <v>788</v>
      </c>
      <c r="E900" t="s">
        <v>789</v>
      </c>
      <c r="F900" t="s">
        <v>420</v>
      </c>
      <c r="G900" s="5">
        <v>580</v>
      </c>
      <c r="H900" s="5">
        <v>580</v>
      </c>
      <c r="I900" s="5">
        <v>580</v>
      </c>
      <c r="J900" s="5">
        <v>0</v>
      </c>
      <c r="K900" s="8">
        <f t="shared" si="30"/>
        <v>100</v>
      </c>
      <c r="L900" s="8">
        <f t="shared" si="31"/>
        <v>0</v>
      </c>
      <c r="M900" t="s">
        <v>20</v>
      </c>
      <c r="N900" t="s">
        <v>421</v>
      </c>
    </row>
    <row r="901" spans="1:14" x14ac:dyDescent="0.3">
      <c r="A901" t="s">
        <v>793</v>
      </c>
      <c r="B901" s="2">
        <v>46221</v>
      </c>
      <c r="C901" s="2">
        <v>46221</v>
      </c>
      <c r="D901" s="1" t="s">
        <v>788</v>
      </c>
      <c r="E901" t="s">
        <v>789</v>
      </c>
      <c r="F901" t="s">
        <v>420</v>
      </c>
      <c r="G901" s="5">
        <v>90</v>
      </c>
      <c r="H901" s="5">
        <v>90</v>
      </c>
      <c r="I901" s="5">
        <v>90</v>
      </c>
      <c r="J901" s="5">
        <v>0</v>
      </c>
      <c r="K901" s="8">
        <f t="shared" si="30"/>
        <v>100</v>
      </c>
      <c r="L901" s="8">
        <f t="shared" si="31"/>
        <v>0</v>
      </c>
      <c r="M901" t="s">
        <v>20</v>
      </c>
      <c r="N901" t="s">
        <v>421</v>
      </c>
    </row>
    <row r="902" spans="1:14" x14ac:dyDescent="0.3">
      <c r="A902" t="s">
        <v>794</v>
      </c>
      <c r="B902" s="2">
        <v>46223</v>
      </c>
      <c r="C902" s="2">
        <v>46224</v>
      </c>
      <c r="D902" s="1" t="s">
        <v>788</v>
      </c>
      <c r="E902" t="s">
        <v>789</v>
      </c>
      <c r="F902" t="s">
        <v>420</v>
      </c>
      <c r="G902" s="5">
        <v>520</v>
      </c>
      <c r="H902" s="5">
        <v>520</v>
      </c>
      <c r="I902" s="5">
        <v>520</v>
      </c>
      <c r="J902" s="5">
        <v>0</v>
      </c>
      <c r="K902" s="8">
        <f t="shared" si="30"/>
        <v>100</v>
      </c>
      <c r="L902" s="8">
        <f t="shared" si="31"/>
        <v>0</v>
      </c>
      <c r="M902" t="s">
        <v>20</v>
      </c>
      <c r="N902" t="s">
        <v>421</v>
      </c>
    </row>
    <row r="903" spans="1:14" x14ac:dyDescent="0.3">
      <c r="A903" t="s">
        <v>795</v>
      </c>
      <c r="B903" s="2">
        <v>46225</v>
      </c>
      <c r="C903" s="2">
        <v>46226</v>
      </c>
      <c r="D903" s="1" t="s">
        <v>788</v>
      </c>
      <c r="E903" t="s">
        <v>789</v>
      </c>
      <c r="F903" t="s">
        <v>420</v>
      </c>
      <c r="G903" s="5">
        <v>360</v>
      </c>
      <c r="H903" s="5">
        <v>360</v>
      </c>
      <c r="I903" s="5">
        <v>360</v>
      </c>
      <c r="J903" s="5">
        <v>0</v>
      </c>
      <c r="K903" s="8">
        <f t="shared" si="30"/>
        <v>100</v>
      </c>
      <c r="L903" s="8">
        <f t="shared" si="31"/>
        <v>0</v>
      </c>
      <c r="M903" t="s">
        <v>20</v>
      </c>
      <c r="N903" t="s">
        <v>421</v>
      </c>
    </row>
    <row r="904" spans="1:14" x14ac:dyDescent="0.3">
      <c r="A904" t="s">
        <v>796</v>
      </c>
      <c r="B904" s="2">
        <v>46226</v>
      </c>
      <c r="C904" s="2">
        <v>46227</v>
      </c>
      <c r="D904" s="1" t="s">
        <v>788</v>
      </c>
      <c r="E904" t="s">
        <v>789</v>
      </c>
      <c r="F904" t="s">
        <v>420</v>
      </c>
      <c r="G904" s="5">
        <v>450</v>
      </c>
      <c r="H904" s="5">
        <v>450</v>
      </c>
      <c r="I904" s="5">
        <v>450</v>
      </c>
      <c r="J904" s="5">
        <v>0</v>
      </c>
      <c r="K904" s="8">
        <f t="shared" si="30"/>
        <v>100</v>
      </c>
      <c r="L904" s="8">
        <f t="shared" si="31"/>
        <v>0</v>
      </c>
      <c r="M904" t="s">
        <v>20</v>
      </c>
      <c r="N904" t="s">
        <v>421</v>
      </c>
    </row>
    <row r="905" spans="1:14" x14ac:dyDescent="0.3">
      <c r="A905" t="s">
        <v>797</v>
      </c>
      <c r="B905" s="2">
        <v>46227</v>
      </c>
      <c r="C905" s="2">
        <v>46228</v>
      </c>
      <c r="D905" s="1" t="s">
        <v>788</v>
      </c>
      <c r="E905" t="s">
        <v>789</v>
      </c>
      <c r="F905" t="s">
        <v>420</v>
      </c>
      <c r="G905" s="5">
        <v>570</v>
      </c>
      <c r="H905" s="5">
        <v>570</v>
      </c>
      <c r="I905" s="5">
        <v>570</v>
      </c>
      <c r="J905" s="5">
        <v>0</v>
      </c>
      <c r="K905" s="8">
        <f t="shared" si="30"/>
        <v>100</v>
      </c>
      <c r="L905" s="8">
        <f t="shared" si="31"/>
        <v>0</v>
      </c>
      <c r="M905" t="s">
        <v>20</v>
      </c>
      <c r="N905" t="s">
        <v>421</v>
      </c>
    </row>
    <row r="906" spans="1:14" x14ac:dyDescent="0.3">
      <c r="A906" t="s">
        <v>798</v>
      </c>
      <c r="B906" s="2">
        <v>46230</v>
      </c>
      <c r="C906" s="2">
        <v>46230</v>
      </c>
      <c r="D906" s="1" t="s">
        <v>788</v>
      </c>
      <c r="E906" t="s">
        <v>789</v>
      </c>
      <c r="F906" t="s">
        <v>420</v>
      </c>
      <c r="G906" s="5">
        <v>550</v>
      </c>
      <c r="H906" s="5">
        <v>550</v>
      </c>
      <c r="I906" s="5">
        <v>550</v>
      </c>
      <c r="J906" s="5">
        <v>0</v>
      </c>
      <c r="K906" s="8">
        <f t="shared" si="30"/>
        <v>100</v>
      </c>
      <c r="L906" s="8">
        <f t="shared" si="31"/>
        <v>0</v>
      </c>
      <c r="M906" t="s">
        <v>20</v>
      </c>
      <c r="N906" t="s">
        <v>421</v>
      </c>
    </row>
    <row r="907" spans="1:14" x14ac:dyDescent="0.3">
      <c r="A907" t="s">
        <v>799</v>
      </c>
      <c r="B907" s="2">
        <v>46231</v>
      </c>
      <c r="C907" s="2">
        <v>46232</v>
      </c>
      <c r="D907" s="1" t="s">
        <v>788</v>
      </c>
      <c r="E907" t="s">
        <v>789</v>
      </c>
      <c r="F907" t="s">
        <v>420</v>
      </c>
      <c r="G907" s="5">
        <v>580</v>
      </c>
      <c r="H907" s="5">
        <v>580</v>
      </c>
      <c r="I907" s="5">
        <v>580</v>
      </c>
      <c r="J907" s="5">
        <v>0</v>
      </c>
      <c r="K907" s="8">
        <f t="shared" si="30"/>
        <v>100</v>
      </c>
      <c r="L907" s="8">
        <f t="shared" si="31"/>
        <v>0</v>
      </c>
      <c r="M907" t="s">
        <v>20</v>
      </c>
      <c r="N907" t="s">
        <v>421</v>
      </c>
    </row>
    <row r="908" spans="1:14" x14ac:dyDescent="0.3">
      <c r="A908" t="s">
        <v>800</v>
      </c>
      <c r="B908" s="2">
        <v>46232</v>
      </c>
      <c r="C908" s="2">
        <v>46233</v>
      </c>
      <c r="D908" s="1" t="s">
        <v>788</v>
      </c>
      <c r="E908" t="s">
        <v>789</v>
      </c>
      <c r="F908" t="s">
        <v>420</v>
      </c>
      <c r="G908" s="5">
        <v>400</v>
      </c>
      <c r="H908" s="5">
        <v>400</v>
      </c>
      <c r="I908" s="5">
        <v>400</v>
      </c>
      <c r="J908" s="5">
        <v>0</v>
      </c>
      <c r="K908" s="8">
        <f t="shared" si="30"/>
        <v>100</v>
      </c>
      <c r="L908" s="8">
        <f t="shared" si="31"/>
        <v>0</v>
      </c>
      <c r="M908" t="s">
        <v>20</v>
      </c>
      <c r="N908" t="s">
        <v>421</v>
      </c>
    </row>
    <row r="909" spans="1:14" x14ac:dyDescent="0.3">
      <c r="A909" t="s">
        <v>801</v>
      </c>
      <c r="B909" s="2">
        <v>46224</v>
      </c>
      <c r="C909" s="2">
        <v>46224</v>
      </c>
      <c r="D909" s="1" t="s">
        <v>802</v>
      </c>
      <c r="E909" t="s">
        <v>803</v>
      </c>
      <c r="F909" t="s">
        <v>420</v>
      </c>
      <c r="G909" s="5">
        <v>150</v>
      </c>
      <c r="H909" s="5">
        <v>150</v>
      </c>
      <c r="I909" s="5">
        <v>150</v>
      </c>
      <c r="J909" s="5">
        <v>0</v>
      </c>
      <c r="K909" s="8">
        <f t="shared" si="30"/>
        <v>100</v>
      </c>
      <c r="L909" s="8">
        <f t="shared" si="31"/>
        <v>0</v>
      </c>
      <c r="M909" t="s">
        <v>20</v>
      </c>
      <c r="N909" t="s">
        <v>421</v>
      </c>
    </row>
    <row r="910" spans="1:14" x14ac:dyDescent="0.3">
      <c r="A910" t="s">
        <v>804</v>
      </c>
      <c r="B910" s="2">
        <v>46216</v>
      </c>
      <c r="C910" s="2">
        <v>46217</v>
      </c>
      <c r="D910" s="1" t="s">
        <v>805</v>
      </c>
      <c r="E910" t="s">
        <v>806</v>
      </c>
      <c r="F910" t="s">
        <v>420</v>
      </c>
      <c r="G910" s="5">
        <v>1566</v>
      </c>
      <c r="H910" s="5">
        <v>1566</v>
      </c>
      <c r="I910" s="5">
        <v>1566</v>
      </c>
      <c r="J910" s="5">
        <v>0</v>
      </c>
      <c r="K910" s="8">
        <f t="shared" si="30"/>
        <v>100</v>
      </c>
      <c r="L910" s="8">
        <f t="shared" si="31"/>
        <v>0</v>
      </c>
      <c r="M910" t="s">
        <v>20</v>
      </c>
      <c r="N910" t="s">
        <v>421</v>
      </c>
    </row>
    <row r="911" spans="1:14" x14ac:dyDescent="0.3">
      <c r="A911" t="s">
        <v>807</v>
      </c>
      <c r="B911" s="2">
        <v>46217</v>
      </c>
      <c r="C911" s="2">
        <v>46218</v>
      </c>
      <c r="D911" s="1" t="s">
        <v>805</v>
      </c>
      <c r="E911" t="s">
        <v>806</v>
      </c>
      <c r="F911" t="s">
        <v>420</v>
      </c>
      <c r="G911" s="5">
        <v>1380</v>
      </c>
      <c r="H911" s="5">
        <v>1380</v>
      </c>
      <c r="I911" s="5">
        <v>1380</v>
      </c>
      <c r="J911" s="5">
        <v>0</v>
      </c>
      <c r="K911" s="8">
        <f t="shared" si="30"/>
        <v>100</v>
      </c>
      <c r="L911" s="8">
        <f t="shared" si="31"/>
        <v>0</v>
      </c>
      <c r="M911" t="s">
        <v>20</v>
      </c>
      <c r="N911" t="s">
        <v>421</v>
      </c>
    </row>
    <row r="912" spans="1:14" x14ac:dyDescent="0.3">
      <c r="A912" t="s">
        <v>808</v>
      </c>
      <c r="B912" s="2">
        <v>46218</v>
      </c>
      <c r="C912" s="2">
        <v>46219</v>
      </c>
      <c r="D912" s="1" t="s">
        <v>805</v>
      </c>
      <c r="E912" t="s">
        <v>806</v>
      </c>
      <c r="F912" t="s">
        <v>420</v>
      </c>
      <c r="G912" s="5">
        <v>1227</v>
      </c>
      <c r="H912" s="5">
        <v>1227</v>
      </c>
      <c r="I912" s="5">
        <v>1227</v>
      </c>
      <c r="J912" s="5">
        <v>0</v>
      </c>
      <c r="K912" s="8">
        <f t="shared" si="30"/>
        <v>100</v>
      </c>
      <c r="L912" s="8">
        <f t="shared" si="31"/>
        <v>0</v>
      </c>
      <c r="M912" t="s">
        <v>20</v>
      </c>
      <c r="N912" t="s">
        <v>421</v>
      </c>
    </row>
    <row r="913" spans="1:14" x14ac:dyDescent="0.3">
      <c r="A913" t="s">
        <v>809</v>
      </c>
      <c r="B913" s="2">
        <v>46219</v>
      </c>
      <c r="C913" s="2">
        <v>46220</v>
      </c>
      <c r="D913" s="1" t="s">
        <v>805</v>
      </c>
      <c r="E913" t="s">
        <v>806</v>
      </c>
      <c r="F913" t="s">
        <v>420</v>
      </c>
      <c r="G913" s="5">
        <v>1380</v>
      </c>
      <c r="H913" s="5">
        <v>1380</v>
      </c>
      <c r="I913" s="5">
        <v>1380</v>
      </c>
      <c r="J913" s="5">
        <v>0</v>
      </c>
      <c r="K913" s="8">
        <f t="shared" si="30"/>
        <v>100</v>
      </c>
      <c r="L913" s="8">
        <f t="shared" si="31"/>
        <v>0</v>
      </c>
      <c r="M913" t="s">
        <v>20</v>
      </c>
      <c r="N913" t="s">
        <v>421</v>
      </c>
    </row>
    <row r="914" spans="1:14" x14ac:dyDescent="0.3">
      <c r="A914" t="s">
        <v>810</v>
      </c>
      <c r="B914" s="2">
        <v>46220</v>
      </c>
      <c r="C914" s="2">
        <v>46221</v>
      </c>
      <c r="D914" s="1" t="s">
        <v>805</v>
      </c>
      <c r="E914" t="s">
        <v>806</v>
      </c>
      <c r="F914" t="s">
        <v>420</v>
      </c>
      <c r="G914" s="5">
        <v>1227</v>
      </c>
      <c r="H914" s="5">
        <v>1227</v>
      </c>
      <c r="I914" s="5">
        <v>1227</v>
      </c>
      <c r="J914" s="5">
        <v>0</v>
      </c>
      <c r="K914" s="8">
        <f t="shared" si="30"/>
        <v>100</v>
      </c>
      <c r="L914" s="8">
        <f t="shared" si="31"/>
        <v>0</v>
      </c>
      <c r="M914" t="s">
        <v>20</v>
      </c>
      <c r="N914" t="s">
        <v>421</v>
      </c>
    </row>
    <row r="915" spans="1:14" x14ac:dyDescent="0.3">
      <c r="A915" t="s">
        <v>811</v>
      </c>
      <c r="B915" s="2">
        <v>46224</v>
      </c>
      <c r="C915" s="2">
        <v>46224</v>
      </c>
      <c r="D915" s="1" t="s">
        <v>805</v>
      </c>
      <c r="E915" t="s">
        <v>806</v>
      </c>
      <c r="F915" t="s">
        <v>420</v>
      </c>
      <c r="G915" s="5">
        <v>405</v>
      </c>
      <c r="H915" s="5">
        <v>405</v>
      </c>
      <c r="I915" s="5">
        <v>405</v>
      </c>
      <c r="J915" s="5">
        <v>0</v>
      </c>
      <c r="K915" s="8">
        <f t="shared" si="30"/>
        <v>100</v>
      </c>
      <c r="L915" s="8">
        <f t="shared" si="31"/>
        <v>0</v>
      </c>
      <c r="M915" t="s">
        <v>20</v>
      </c>
      <c r="N915" t="s">
        <v>421</v>
      </c>
    </row>
    <row r="916" spans="1:14" x14ac:dyDescent="0.3">
      <c r="A916" t="s">
        <v>812</v>
      </c>
      <c r="B916" s="2">
        <v>46226</v>
      </c>
      <c r="C916" s="2">
        <v>46227</v>
      </c>
      <c r="D916" s="1" t="s">
        <v>805</v>
      </c>
      <c r="E916" t="s">
        <v>806</v>
      </c>
      <c r="F916" t="s">
        <v>420</v>
      </c>
      <c r="G916" s="5">
        <v>369</v>
      </c>
      <c r="H916" s="5">
        <v>369</v>
      </c>
      <c r="I916" s="5">
        <v>369</v>
      </c>
      <c r="J916" s="5">
        <v>0</v>
      </c>
      <c r="K916" s="8">
        <f t="shared" si="30"/>
        <v>100</v>
      </c>
      <c r="L916" s="8">
        <f t="shared" si="31"/>
        <v>0</v>
      </c>
      <c r="M916" t="s">
        <v>20</v>
      </c>
      <c r="N916" t="s">
        <v>421</v>
      </c>
    </row>
    <row r="917" spans="1:14" x14ac:dyDescent="0.3">
      <c r="A917" t="s">
        <v>813</v>
      </c>
      <c r="B917" s="2">
        <v>46230</v>
      </c>
      <c r="C917" s="2">
        <v>46230</v>
      </c>
      <c r="D917" s="1" t="s">
        <v>805</v>
      </c>
      <c r="E917" t="s">
        <v>806</v>
      </c>
      <c r="F917" t="s">
        <v>420</v>
      </c>
      <c r="G917" s="5">
        <v>1164</v>
      </c>
      <c r="H917" s="5">
        <v>1164</v>
      </c>
      <c r="I917" s="5">
        <v>1164</v>
      </c>
      <c r="J917" s="5">
        <v>0</v>
      </c>
      <c r="K917" s="8">
        <f t="shared" si="30"/>
        <v>100</v>
      </c>
      <c r="L917" s="8">
        <f t="shared" si="31"/>
        <v>0</v>
      </c>
      <c r="M917" t="s">
        <v>20</v>
      </c>
      <c r="N917" t="s">
        <v>421</v>
      </c>
    </row>
    <row r="918" spans="1:14" x14ac:dyDescent="0.3">
      <c r="A918" t="s">
        <v>814</v>
      </c>
      <c r="B918" s="2">
        <v>46231</v>
      </c>
      <c r="C918" s="2">
        <v>46232</v>
      </c>
      <c r="D918" s="1" t="s">
        <v>805</v>
      </c>
      <c r="E918" t="s">
        <v>806</v>
      </c>
      <c r="F918" t="s">
        <v>420</v>
      </c>
      <c r="G918" s="5">
        <v>1089</v>
      </c>
      <c r="H918" s="5">
        <v>1089</v>
      </c>
      <c r="I918" s="5">
        <v>1089</v>
      </c>
      <c r="J918" s="5">
        <v>0</v>
      </c>
      <c r="K918" s="8">
        <f t="shared" si="30"/>
        <v>100</v>
      </c>
      <c r="L918" s="8">
        <f t="shared" si="31"/>
        <v>0</v>
      </c>
      <c r="M918" t="s">
        <v>20</v>
      </c>
      <c r="N918" t="s">
        <v>421</v>
      </c>
    </row>
    <row r="919" spans="1:14" x14ac:dyDescent="0.3">
      <c r="A919" t="s">
        <v>815</v>
      </c>
      <c r="B919" s="2">
        <v>46224</v>
      </c>
      <c r="C919" s="2">
        <v>46225</v>
      </c>
      <c r="D919" s="1" t="s">
        <v>816</v>
      </c>
      <c r="E919" t="s">
        <v>817</v>
      </c>
      <c r="F919" t="s">
        <v>495</v>
      </c>
      <c r="G919" s="5">
        <v>520</v>
      </c>
      <c r="H919" s="5">
        <v>525</v>
      </c>
      <c r="I919" s="5">
        <v>513</v>
      </c>
      <c r="J919" s="5">
        <v>12</v>
      </c>
      <c r="K919" s="8">
        <f t="shared" si="30"/>
        <v>100.96153846153845</v>
      </c>
      <c r="L919" s="8">
        <f t="shared" si="31"/>
        <v>2.3391812865497075</v>
      </c>
      <c r="M919" t="s">
        <v>20</v>
      </c>
      <c r="N919" t="s">
        <v>421</v>
      </c>
    </row>
    <row r="920" spans="1:14" x14ac:dyDescent="0.3">
      <c r="A920" t="s">
        <v>818</v>
      </c>
      <c r="B920" s="2">
        <v>46217</v>
      </c>
      <c r="C920" s="2">
        <v>46221</v>
      </c>
      <c r="D920" s="1" t="s">
        <v>819</v>
      </c>
      <c r="E920" t="s">
        <v>820</v>
      </c>
      <c r="F920" t="s">
        <v>532</v>
      </c>
      <c r="G920" s="5">
        <v>1452</v>
      </c>
      <c r="H920" s="5">
        <v>1495</v>
      </c>
      <c r="I920" s="5">
        <v>1450</v>
      </c>
      <c r="J920" s="5">
        <v>45</v>
      </c>
      <c r="K920" s="8">
        <f t="shared" si="30"/>
        <v>102.96143250688705</v>
      </c>
      <c r="L920" s="8">
        <f t="shared" si="31"/>
        <v>3.103448275862069</v>
      </c>
      <c r="M920" t="s">
        <v>20</v>
      </c>
      <c r="N920" t="s">
        <v>421</v>
      </c>
    </row>
    <row r="921" spans="1:14" x14ac:dyDescent="0.3">
      <c r="A921" t="s">
        <v>821</v>
      </c>
      <c r="B921" s="2">
        <v>46213</v>
      </c>
      <c r="C921" s="2">
        <v>46216</v>
      </c>
      <c r="D921" s="1" t="s">
        <v>822</v>
      </c>
      <c r="E921" t="s">
        <v>823</v>
      </c>
      <c r="F921" t="s">
        <v>532</v>
      </c>
      <c r="G921" s="5">
        <v>2900</v>
      </c>
      <c r="H921" s="5">
        <v>2910</v>
      </c>
      <c r="I921" s="5">
        <v>2770</v>
      </c>
      <c r="J921" s="5">
        <v>140</v>
      </c>
      <c r="K921" s="8">
        <f t="shared" si="30"/>
        <v>100.34482758620689</v>
      </c>
      <c r="L921" s="8">
        <f t="shared" si="31"/>
        <v>5.0541516245487363</v>
      </c>
      <c r="M921" t="s">
        <v>20</v>
      </c>
      <c r="N921" t="s">
        <v>421</v>
      </c>
    </row>
    <row r="922" spans="1:14" x14ac:dyDescent="0.3">
      <c r="A922" t="s">
        <v>824</v>
      </c>
      <c r="B922" s="2">
        <v>46216</v>
      </c>
      <c r="C922" s="2">
        <v>46217</v>
      </c>
      <c r="D922" s="1" t="s">
        <v>822</v>
      </c>
      <c r="E922" t="s">
        <v>823</v>
      </c>
      <c r="F922" t="s">
        <v>532</v>
      </c>
      <c r="G922" s="5">
        <v>2900</v>
      </c>
      <c r="H922" s="5">
        <v>2961</v>
      </c>
      <c r="I922" s="5">
        <v>2920</v>
      </c>
      <c r="J922" s="5">
        <v>41</v>
      </c>
      <c r="K922" s="8">
        <f t="shared" si="30"/>
        <v>102.10344827586206</v>
      </c>
      <c r="L922" s="8">
        <f t="shared" si="31"/>
        <v>1.404109589041096</v>
      </c>
      <c r="M922" t="s">
        <v>20</v>
      </c>
      <c r="N922" t="s">
        <v>421</v>
      </c>
    </row>
    <row r="923" spans="1:14" x14ac:dyDescent="0.3">
      <c r="A923" t="s">
        <v>825</v>
      </c>
      <c r="B923" s="2">
        <v>46219</v>
      </c>
      <c r="C923" s="2">
        <v>46223</v>
      </c>
      <c r="D923" s="1" t="s">
        <v>822</v>
      </c>
      <c r="E923" t="s">
        <v>823</v>
      </c>
      <c r="F923" t="s">
        <v>532</v>
      </c>
      <c r="G923" s="5">
        <v>1450</v>
      </c>
      <c r="H923" s="5">
        <v>1495</v>
      </c>
      <c r="I923" s="5">
        <v>1470</v>
      </c>
      <c r="J923" s="5">
        <v>25</v>
      </c>
      <c r="K923" s="8">
        <f t="shared" si="30"/>
        <v>103.10344827586206</v>
      </c>
      <c r="L923" s="8">
        <f t="shared" si="31"/>
        <v>1.7006802721088436</v>
      </c>
      <c r="M923" t="s">
        <v>20</v>
      </c>
      <c r="N923" t="s">
        <v>421</v>
      </c>
    </row>
    <row r="924" spans="1:14" x14ac:dyDescent="0.3">
      <c r="A924" t="s">
        <v>826</v>
      </c>
      <c r="B924" s="2">
        <v>46225</v>
      </c>
      <c r="C924" s="2">
        <v>46227</v>
      </c>
      <c r="D924" s="1" t="s">
        <v>822</v>
      </c>
      <c r="E924" t="s">
        <v>823</v>
      </c>
      <c r="F924" t="s">
        <v>677</v>
      </c>
      <c r="G924" s="5">
        <v>4350</v>
      </c>
      <c r="H924" s="5">
        <v>4183</v>
      </c>
      <c r="I924" s="5">
        <v>4140</v>
      </c>
      <c r="J924" s="5">
        <v>43</v>
      </c>
      <c r="K924" s="8">
        <f t="shared" si="30"/>
        <v>96.160919540229884</v>
      </c>
      <c r="L924" s="8">
        <f t="shared" si="31"/>
        <v>1.038647342995169</v>
      </c>
      <c r="M924" t="s">
        <v>20</v>
      </c>
      <c r="N924" t="s">
        <v>421</v>
      </c>
    </row>
    <row r="925" spans="1:14" x14ac:dyDescent="0.3">
      <c r="A925" t="s">
        <v>827</v>
      </c>
      <c r="B925" s="2">
        <v>46227</v>
      </c>
      <c r="C925" s="2">
        <v>46228</v>
      </c>
      <c r="D925" s="1" t="s">
        <v>822</v>
      </c>
      <c r="E925" t="s">
        <v>823</v>
      </c>
      <c r="F925" t="s">
        <v>677</v>
      </c>
      <c r="G925" s="5">
        <v>2900</v>
      </c>
      <c r="H925" s="5">
        <v>1488</v>
      </c>
      <c r="I925" s="5">
        <v>1480</v>
      </c>
      <c r="J925" s="5">
        <v>8</v>
      </c>
      <c r="K925" s="8">
        <f t="shared" si="30"/>
        <v>51.310344827586206</v>
      </c>
      <c r="L925" s="8">
        <f t="shared" si="31"/>
        <v>0.54054054054054057</v>
      </c>
      <c r="M925" t="s">
        <v>20</v>
      </c>
      <c r="N925" t="s">
        <v>421</v>
      </c>
    </row>
    <row r="926" spans="1:14" x14ac:dyDescent="0.3">
      <c r="A926" t="s">
        <v>828</v>
      </c>
      <c r="B926" s="2">
        <v>46226</v>
      </c>
      <c r="C926" s="2">
        <v>46228</v>
      </c>
      <c r="D926" s="1" t="s">
        <v>822</v>
      </c>
      <c r="E926" t="s">
        <v>823</v>
      </c>
      <c r="F926" t="s">
        <v>677</v>
      </c>
      <c r="G926" s="5">
        <v>4350</v>
      </c>
      <c r="H926" s="5">
        <v>4618</v>
      </c>
      <c r="I926" s="5">
        <v>4610</v>
      </c>
      <c r="J926" s="5">
        <v>8</v>
      </c>
      <c r="K926" s="8">
        <f t="shared" si="30"/>
        <v>106.16091954022988</v>
      </c>
      <c r="L926" s="8">
        <f t="shared" si="31"/>
        <v>0.17353579175704989</v>
      </c>
      <c r="M926" t="s">
        <v>20</v>
      </c>
      <c r="N926" t="s">
        <v>421</v>
      </c>
    </row>
    <row r="927" spans="1:14" x14ac:dyDescent="0.3">
      <c r="A927" t="s">
        <v>829</v>
      </c>
      <c r="B927" s="2">
        <v>46227</v>
      </c>
      <c r="C927" s="2">
        <v>46228</v>
      </c>
      <c r="D927" s="1" t="s">
        <v>830</v>
      </c>
      <c r="E927" t="s">
        <v>831</v>
      </c>
      <c r="F927" t="s">
        <v>438</v>
      </c>
      <c r="G927" s="5">
        <v>660</v>
      </c>
      <c r="H927" s="5">
        <v>624</v>
      </c>
      <c r="I927" s="5">
        <v>624</v>
      </c>
      <c r="J927" s="5">
        <v>0</v>
      </c>
      <c r="K927" s="8">
        <f t="shared" si="30"/>
        <v>94.545454545454547</v>
      </c>
      <c r="L927" s="8">
        <f t="shared" si="31"/>
        <v>0</v>
      </c>
      <c r="M927" t="s">
        <v>20</v>
      </c>
      <c r="N927" t="s">
        <v>421</v>
      </c>
    </row>
    <row r="928" spans="1:14" x14ac:dyDescent="0.3">
      <c r="A928" t="s">
        <v>832</v>
      </c>
      <c r="B928" s="2">
        <v>46218</v>
      </c>
      <c r="C928" s="2">
        <v>46221</v>
      </c>
      <c r="D928" s="1" t="s">
        <v>833</v>
      </c>
      <c r="E928" t="s">
        <v>834</v>
      </c>
      <c r="F928" t="s">
        <v>425</v>
      </c>
      <c r="G928" s="5">
        <v>2160</v>
      </c>
      <c r="H928" s="5">
        <v>2264</v>
      </c>
      <c r="I928" s="5">
        <v>2220</v>
      </c>
      <c r="J928" s="5">
        <v>44</v>
      </c>
      <c r="K928" s="8">
        <f t="shared" si="30"/>
        <v>104.81481481481481</v>
      </c>
      <c r="L928" s="8">
        <f t="shared" si="31"/>
        <v>1.9819819819819819</v>
      </c>
      <c r="M928" t="s">
        <v>20</v>
      </c>
      <c r="N928" t="s">
        <v>421</v>
      </c>
    </row>
    <row r="929" spans="1:14" x14ac:dyDescent="0.3">
      <c r="A929" t="s">
        <v>835</v>
      </c>
      <c r="B929" s="2">
        <v>46223</v>
      </c>
      <c r="C929" s="2">
        <v>46224</v>
      </c>
      <c r="D929" s="1" t="s">
        <v>833</v>
      </c>
      <c r="E929" t="s">
        <v>834</v>
      </c>
      <c r="F929" t="s">
        <v>425</v>
      </c>
      <c r="G929" s="5">
        <v>2160</v>
      </c>
      <c r="H929" s="5">
        <v>1662</v>
      </c>
      <c r="I929" s="5">
        <v>1660</v>
      </c>
      <c r="J929" s="5">
        <v>2</v>
      </c>
      <c r="K929" s="8">
        <f t="shared" si="30"/>
        <v>76.944444444444443</v>
      </c>
      <c r="L929" s="8">
        <f t="shared" si="31"/>
        <v>0.12048192771084339</v>
      </c>
      <c r="M929" t="s">
        <v>20</v>
      </c>
      <c r="N929" t="s">
        <v>421</v>
      </c>
    </row>
    <row r="930" spans="1:14" x14ac:dyDescent="0.3">
      <c r="A930" t="s">
        <v>836</v>
      </c>
      <c r="B930" s="2">
        <v>46230</v>
      </c>
      <c r="C930" s="2">
        <v>46231</v>
      </c>
      <c r="D930" s="1" t="s">
        <v>833</v>
      </c>
      <c r="E930" t="s">
        <v>834</v>
      </c>
      <c r="F930" t="s">
        <v>425</v>
      </c>
      <c r="G930" s="5">
        <v>2160</v>
      </c>
      <c r="H930" s="5">
        <v>1333</v>
      </c>
      <c r="I930" s="5">
        <v>1320</v>
      </c>
      <c r="J930" s="5">
        <v>13</v>
      </c>
      <c r="K930" s="8">
        <f t="shared" si="30"/>
        <v>61.712962962962962</v>
      </c>
      <c r="L930" s="8">
        <f t="shared" si="31"/>
        <v>0.98484848484848475</v>
      </c>
      <c r="M930" t="s">
        <v>20</v>
      </c>
      <c r="N930" t="s">
        <v>421</v>
      </c>
    </row>
    <row r="931" spans="1:14" x14ac:dyDescent="0.3">
      <c r="A931" t="s">
        <v>837</v>
      </c>
      <c r="B931" s="2">
        <v>46231</v>
      </c>
      <c r="C931" s="2">
        <v>46232</v>
      </c>
      <c r="D931" s="1" t="s">
        <v>833</v>
      </c>
      <c r="E931" t="s">
        <v>834</v>
      </c>
      <c r="F931" t="s">
        <v>425</v>
      </c>
      <c r="G931" s="5">
        <v>2160</v>
      </c>
      <c r="H931" s="5">
        <v>1570</v>
      </c>
      <c r="I931" s="5">
        <v>1480</v>
      </c>
      <c r="J931" s="5">
        <v>90</v>
      </c>
      <c r="K931" s="8">
        <f t="shared" si="30"/>
        <v>72.68518518518519</v>
      </c>
      <c r="L931" s="8">
        <f t="shared" si="31"/>
        <v>6.0810810810810816</v>
      </c>
      <c r="M931" t="s">
        <v>20</v>
      </c>
      <c r="N931" t="s">
        <v>421</v>
      </c>
    </row>
    <row r="932" spans="1:14" x14ac:dyDescent="0.3">
      <c r="A932" t="s">
        <v>838</v>
      </c>
      <c r="B932" s="2">
        <v>46232</v>
      </c>
      <c r="C932" s="2">
        <v>46233</v>
      </c>
      <c r="D932" s="1" t="s">
        <v>833</v>
      </c>
      <c r="E932" t="s">
        <v>834</v>
      </c>
      <c r="F932" t="s">
        <v>425</v>
      </c>
      <c r="G932" s="5">
        <v>2160</v>
      </c>
      <c r="H932" s="5">
        <v>3978</v>
      </c>
      <c r="I932" s="5">
        <v>3880</v>
      </c>
      <c r="J932" s="5">
        <v>98</v>
      </c>
      <c r="K932" s="8">
        <f t="shared" si="30"/>
        <v>184.16666666666666</v>
      </c>
      <c r="L932" s="8">
        <f t="shared" si="31"/>
        <v>2.5257731958762886</v>
      </c>
      <c r="M932" t="s">
        <v>20</v>
      </c>
      <c r="N932" t="s">
        <v>421</v>
      </c>
    </row>
    <row r="933" spans="1:14" x14ac:dyDescent="0.3">
      <c r="A933" t="s">
        <v>839</v>
      </c>
      <c r="B933" s="2">
        <v>46216</v>
      </c>
      <c r="C933" s="2">
        <v>46217</v>
      </c>
      <c r="D933" s="1" t="s">
        <v>840</v>
      </c>
      <c r="E933" t="s">
        <v>841</v>
      </c>
      <c r="F933" t="s">
        <v>425</v>
      </c>
      <c r="G933" s="5">
        <v>3400</v>
      </c>
      <c r="H933" s="5">
        <v>2973</v>
      </c>
      <c r="I933" s="5">
        <v>2700</v>
      </c>
      <c r="J933" s="5">
        <v>273</v>
      </c>
      <c r="K933" s="8">
        <f t="shared" si="30"/>
        <v>87.441176470588232</v>
      </c>
      <c r="L933" s="8">
        <f t="shared" si="31"/>
        <v>10.111111111111111</v>
      </c>
      <c r="M933" t="s">
        <v>20</v>
      </c>
      <c r="N933" t="s">
        <v>421</v>
      </c>
    </row>
    <row r="934" spans="1:14" x14ac:dyDescent="0.3">
      <c r="A934" t="s">
        <v>842</v>
      </c>
      <c r="B934" s="2">
        <v>46218</v>
      </c>
      <c r="C934" s="2">
        <v>46221</v>
      </c>
      <c r="D934" s="1" t="s">
        <v>840</v>
      </c>
      <c r="E934" t="s">
        <v>841</v>
      </c>
      <c r="F934" t="s">
        <v>425</v>
      </c>
      <c r="G934" s="5">
        <v>5100</v>
      </c>
      <c r="H934" s="5">
        <v>4604</v>
      </c>
      <c r="I934" s="5">
        <v>4215</v>
      </c>
      <c r="J934" s="5">
        <v>389</v>
      </c>
      <c r="K934" s="8">
        <f t="shared" si="30"/>
        <v>90.274509803921561</v>
      </c>
      <c r="L934" s="8">
        <f t="shared" si="31"/>
        <v>9.2289442467378411</v>
      </c>
      <c r="M934" t="s">
        <v>20</v>
      </c>
      <c r="N934" t="s">
        <v>421</v>
      </c>
    </row>
    <row r="935" spans="1:14" x14ac:dyDescent="0.3">
      <c r="A935" t="s">
        <v>843</v>
      </c>
      <c r="B935" s="2">
        <v>46219</v>
      </c>
      <c r="C935" s="2">
        <v>46220</v>
      </c>
      <c r="D935" s="1" t="s">
        <v>840</v>
      </c>
      <c r="E935" t="s">
        <v>841</v>
      </c>
      <c r="F935" t="s">
        <v>425</v>
      </c>
      <c r="G935" s="5">
        <v>3400</v>
      </c>
      <c r="H935" s="5">
        <v>3395</v>
      </c>
      <c r="I935" s="5">
        <v>3255</v>
      </c>
      <c r="J935" s="5">
        <v>140</v>
      </c>
      <c r="K935" s="8">
        <f t="shared" si="30"/>
        <v>99.852941176470594</v>
      </c>
      <c r="L935" s="8">
        <f t="shared" si="31"/>
        <v>4.3010752688172049</v>
      </c>
      <c r="M935" t="s">
        <v>20</v>
      </c>
      <c r="N935" t="s">
        <v>421</v>
      </c>
    </row>
    <row r="936" spans="1:14" x14ac:dyDescent="0.3">
      <c r="A936" t="s">
        <v>844</v>
      </c>
      <c r="B936" s="2">
        <v>46223</v>
      </c>
      <c r="C936" s="2">
        <v>46224</v>
      </c>
      <c r="D936" s="1" t="s">
        <v>840</v>
      </c>
      <c r="E936" t="s">
        <v>841</v>
      </c>
      <c r="F936" t="s">
        <v>425</v>
      </c>
      <c r="G936" s="5">
        <v>5100</v>
      </c>
      <c r="H936" s="5">
        <v>4867</v>
      </c>
      <c r="I936" s="5">
        <v>4755</v>
      </c>
      <c r="J936" s="5">
        <v>112</v>
      </c>
      <c r="K936" s="8">
        <f t="shared" si="30"/>
        <v>95.431372549019613</v>
      </c>
      <c r="L936" s="8">
        <f t="shared" si="31"/>
        <v>2.3554153522607781</v>
      </c>
      <c r="M936" t="s">
        <v>20</v>
      </c>
      <c r="N936" t="s">
        <v>421</v>
      </c>
    </row>
    <row r="937" spans="1:14" x14ac:dyDescent="0.3">
      <c r="A937" t="s">
        <v>845</v>
      </c>
      <c r="B937" s="2">
        <v>46230</v>
      </c>
      <c r="C937" s="2">
        <v>46231</v>
      </c>
      <c r="D937" s="1" t="s">
        <v>840</v>
      </c>
      <c r="E937" t="s">
        <v>841</v>
      </c>
      <c r="F937" t="s">
        <v>425</v>
      </c>
      <c r="G937" s="5">
        <v>3400</v>
      </c>
      <c r="H937" s="5">
        <v>3864</v>
      </c>
      <c r="I937" s="5">
        <v>3780</v>
      </c>
      <c r="J937" s="5">
        <v>84</v>
      </c>
      <c r="K937" s="8">
        <f t="shared" si="30"/>
        <v>113.64705882352941</v>
      </c>
      <c r="L937" s="8">
        <f t="shared" si="31"/>
        <v>2.2222222222222223</v>
      </c>
      <c r="M937" t="s">
        <v>20</v>
      </c>
      <c r="N937" t="s">
        <v>421</v>
      </c>
    </row>
    <row r="938" spans="1:14" x14ac:dyDescent="0.3">
      <c r="A938" t="s">
        <v>846</v>
      </c>
      <c r="B938" s="2">
        <v>46219</v>
      </c>
      <c r="C938" s="2">
        <v>46221</v>
      </c>
      <c r="D938" s="1" t="s">
        <v>847</v>
      </c>
      <c r="E938" t="s">
        <v>848</v>
      </c>
      <c r="F938" t="s">
        <v>425</v>
      </c>
      <c r="G938" s="5">
        <v>1770</v>
      </c>
      <c r="H938" s="5">
        <v>2089</v>
      </c>
      <c r="I938" s="5">
        <v>2055</v>
      </c>
      <c r="J938" s="5">
        <v>34</v>
      </c>
      <c r="K938" s="8">
        <f t="shared" si="30"/>
        <v>118.0225988700565</v>
      </c>
      <c r="L938" s="8">
        <f t="shared" si="31"/>
        <v>1.6545012165450119</v>
      </c>
      <c r="M938" t="s">
        <v>20</v>
      </c>
      <c r="N938" t="s">
        <v>421</v>
      </c>
    </row>
    <row r="939" spans="1:14" x14ac:dyDescent="0.3">
      <c r="A939" t="s">
        <v>849</v>
      </c>
      <c r="B939" s="2">
        <v>46223</v>
      </c>
      <c r="C939" s="2">
        <v>46224</v>
      </c>
      <c r="D939" s="1" t="s">
        <v>847</v>
      </c>
      <c r="E939" t="s">
        <v>848</v>
      </c>
      <c r="F939" t="s">
        <v>425</v>
      </c>
      <c r="G939" s="5">
        <v>1770</v>
      </c>
      <c r="H939" s="5">
        <v>1394</v>
      </c>
      <c r="I939" s="5">
        <v>1380</v>
      </c>
      <c r="J939" s="5">
        <v>14</v>
      </c>
      <c r="K939" s="8">
        <f t="shared" si="30"/>
        <v>78.75706214689265</v>
      </c>
      <c r="L939" s="8">
        <f t="shared" si="31"/>
        <v>1.0144927536231882</v>
      </c>
      <c r="M939" t="s">
        <v>20</v>
      </c>
      <c r="N939" t="s">
        <v>421</v>
      </c>
    </row>
    <row r="940" spans="1:14" x14ac:dyDescent="0.3">
      <c r="A940" t="s">
        <v>850</v>
      </c>
      <c r="B940" s="2">
        <v>46230</v>
      </c>
      <c r="C940" s="2">
        <v>46231</v>
      </c>
      <c r="D940" s="1" t="s">
        <v>847</v>
      </c>
      <c r="E940" t="s">
        <v>848</v>
      </c>
      <c r="F940" t="s">
        <v>425</v>
      </c>
      <c r="G940" s="5">
        <v>1770</v>
      </c>
      <c r="H940" s="5">
        <v>1574</v>
      </c>
      <c r="I940" s="5">
        <v>1560</v>
      </c>
      <c r="J940" s="5">
        <v>14</v>
      </c>
      <c r="K940" s="8">
        <f t="shared" si="30"/>
        <v>88.926553672316388</v>
      </c>
      <c r="L940" s="8">
        <f t="shared" si="31"/>
        <v>0.89743589743589736</v>
      </c>
      <c r="M940" t="s">
        <v>20</v>
      </c>
      <c r="N940" t="s">
        <v>421</v>
      </c>
    </row>
    <row r="941" spans="1:14" x14ac:dyDescent="0.3">
      <c r="A941" t="s">
        <v>851</v>
      </c>
      <c r="B941" s="2">
        <v>46218</v>
      </c>
      <c r="C941" s="2">
        <v>46220</v>
      </c>
      <c r="D941" s="1" t="s">
        <v>852</v>
      </c>
      <c r="E941" t="s">
        <v>853</v>
      </c>
      <c r="F941" t="s">
        <v>425</v>
      </c>
      <c r="G941" s="5">
        <v>2446</v>
      </c>
      <c r="H941" s="5">
        <v>2095</v>
      </c>
      <c r="I941" s="5">
        <v>1630</v>
      </c>
      <c r="J941" s="5">
        <v>465</v>
      </c>
      <c r="K941" s="8">
        <f t="shared" si="30"/>
        <v>85.650040883074411</v>
      </c>
      <c r="L941" s="8">
        <f t="shared" si="31"/>
        <v>28.527607361963192</v>
      </c>
      <c r="M941" t="s">
        <v>20</v>
      </c>
      <c r="N941" t="s">
        <v>421</v>
      </c>
    </row>
    <row r="942" spans="1:14" x14ac:dyDescent="0.3">
      <c r="A942" t="s">
        <v>854</v>
      </c>
      <c r="B942" s="2">
        <v>46225</v>
      </c>
      <c r="C942" s="2">
        <v>46226</v>
      </c>
      <c r="D942" s="1" t="s">
        <v>852</v>
      </c>
      <c r="E942" t="s">
        <v>853</v>
      </c>
      <c r="F942" t="s">
        <v>425</v>
      </c>
      <c r="G942" s="5">
        <v>2446</v>
      </c>
      <c r="H942" s="5">
        <v>2345</v>
      </c>
      <c r="I942" s="5">
        <v>2130</v>
      </c>
      <c r="J942" s="5">
        <v>215</v>
      </c>
      <c r="K942" s="8">
        <f t="shared" si="30"/>
        <v>95.870809484873263</v>
      </c>
      <c r="L942" s="8">
        <f t="shared" si="31"/>
        <v>10.093896713615024</v>
      </c>
      <c r="M942" t="s">
        <v>20</v>
      </c>
      <c r="N942" t="s">
        <v>421</v>
      </c>
    </row>
    <row r="943" spans="1:14" x14ac:dyDescent="0.3">
      <c r="A943" t="s">
        <v>855</v>
      </c>
      <c r="B943" s="2">
        <v>46230</v>
      </c>
      <c r="C943" s="2">
        <v>46231</v>
      </c>
      <c r="D943" s="1" t="s">
        <v>852</v>
      </c>
      <c r="E943" t="s">
        <v>853</v>
      </c>
      <c r="F943" t="s">
        <v>425</v>
      </c>
      <c r="G943" s="5">
        <v>1223</v>
      </c>
      <c r="H943" s="5">
        <v>878</v>
      </c>
      <c r="I943" s="5">
        <v>840</v>
      </c>
      <c r="J943" s="5">
        <v>38</v>
      </c>
      <c r="K943" s="8">
        <f t="shared" si="30"/>
        <v>71.790678659035152</v>
      </c>
      <c r="L943" s="8">
        <f t="shared" si="31"/>
        <v>4.5238095238095237</v>
      </c>
      <c r="M943" t="s">
        <v>20</v>
      </c>
      <c r="N943" t="s">
        <v>421</v>
      </c>
    </row>
    <row r="944" spans="1:14" x14ac:dyDescent="0.3">
      <c r="A944" t="s">
        <v>856</v>
      </c>
      <c r="B944" s="2">
        <v>46213</v>
      </c>
      <c r="C944" s="2">
        <v>46217</v>
      </c>
      <c r="D944" s="1" t="s">
        <v>857</v>
      </c>
      <c r="E944" t="s">
        <v>858</v>
      </c>
      <c r="F944" t="s">
        <v>438</v>
      </c>
      <c r="G944" s="5">
        <v>161</v>
      </c>
      <c r="H944" s="5">
        <v>174</v>
      </c>
      <c r="I944" s="5">
        <v>171</v>
      </c>
      <c r="J944" s="5">
        <v>3</v>
      </c>
      <c r="K944" s="8">
        <f t="shared" si="30"/>
        <v>108.07453416149069</v>
      </c>
      <c r="L944" s="8">
        <f t="shared" si="31"/>
        <v>1.7543859649122806</v>
      </c>
      <c r="M944" t="s">
        <v>20</v>
      </c>
      <c r="N944" t="s">
        <v>421</v>
      </c>
    </row>
    <row r="945" spans="1:14" x14ac:dyDescent="0.3">
      <c r="A945" t="s">
        <v>859</v>
      </c>
      <c r="B945" s="2">
        <v>46217</v>
      </c>
      <c r="C945" s="2">
        <v>46218</v>
      </c>
      <c r="D945" s="1" t="s">
        <v>860</v>
      </c>
      <c r="E945" t="s">
        <v>861</v>
      </c>
      <c r="F945" t="s">
        <v>438</v>
      </c>
      <c r="G945" s="5">
        <v>1372</v>
      </c>
      <c r="H945" s="5">
        <v>1440</v>
      </c>
      <c r="I945" s="5">
        <v>1416</v>
      </c>
      <c r="J945" s="5">
        <v>24</v>
      </c>
      <c r="K945" s="8">
        <f t="shared" si="30"/>
        <v>104.95626822157433</v>
      </c>
      <c r="L945" s="8">
        <f t="shared" si="31"/>
        <v>1.6949152542372881</v>
      </c>
      <c r="M945" t="s">
        <v>20</v>
      </c>
      <c r="N945" t="s">
        <v>421</v>
      </c>
    </row>
    <row r="946" spans="1:14" x14ac:dyDescent="0.3">
      <c r="A946" t="s">
        <v>862</v>
      </c>
      <c r="B946" s="2">
        <v>46219</v>
      </c>
      <c r="C946" s="2">
        <v>46221</v>
      </c>
      <c r="D946" s="1" t="s">
        <v>860</v>
      </c>
      <c r="E946" t="s">
        <v>861</v>
      </c>
      <c r="F946" t="s">
        <v>438</v>
      </c>
      <c r="G946" s="5">
        <v>1372</v>
      </c>
      <c r="H946" s="5">
        <v>1391</v>
      </c>
      <c r="I946" s="5">
        <v>1356</v>
      </c>
      <c r="J946" s="5">
        <v>35</v>
      </c>
      <c r="K946" s="8">
        <f t="shared" si="30"/>
        <v>101.38483965014578</v>
      </c>
      <c r="L946" s="8">
        <f t="shared" si="31"/>
        <v>2.5811209439528024</v>
      </c>
      <c r="M946" t="s">
        <v>20</v>
      </c>
      <c r="N946" t="s">
        <v>421</v>
      </c>
    </row>
    <row r="947" spans="1:14" x14ac:dyDescent="0.3">
      <c r="A947" t="s">
        <v>863</v>
      </c>
      <c r="B947" s="2">
        <v>46220</v>
      </c>
      <c r="C947" s="2">
        <v>46221</v>
      </c>
      <c r="D947" s="1" t="s">
        <v>860</v>
      </c>
      <c r="E947" t="s">
        <v>861</v>
      </c>
      <c r="F947" t="s">
        <v>438</v>
      </c>
      <c r="G947" s="5">
        <v>1372</v>
      </c>
      <c r="H947" s="5">
        <v>1403</v>
      </c>
      <c r="I947" s="5">
        <v>1368</v>
      </c>
      <c r="J947" s="5">
        <v>35</v>
      </c>
      <c r="K947" s="8">
        <f t="shared" si="30"/>
        <v>102.25947521865891</v>
      </c>
      <c r="L947" s="8">
        <f t="shared" si="31"/>
        <v>2.5584795321637426</v>
      </c>
      <c r="M947" t="s">
        <v>20</v>
      </c>
      <c r="N947" t="s">
        <v>421</v>
      </c>
    </row>
    <row r="948" spans="1:14" x14ac:dyDescent="0.3">
      <c r="A948" t="s">
        <v>864</v>
      </c>
      <c r="B948" s="2">
        <v>46223</v>
      </c>
      <c r="C948" s="2">
        <v>46225</v>
      </c>
      <c r="D948" s="1" t="s">
        <v>860</v>
      </c>
      <c r="E948" t="s">
        <v>861</v>
      </c>
      <c r="F948" t="s">
        <v>438</v>
      </c>
      <c r="G948" s="5">
        <v>1372</v>
      </c>
      <c r="H948" s="5">
        <v>1395</v>
      </c>
      <c r="I948" s="5">
        <v>1356</v>
      </c>
      <c r="J948" s="5">
        <v>39</v>
      </c>
      <c r="K948" s="8">
        <f t="shared" si="30"/>
        <v>101.67638483965014</v>
      </c>
      <c r="L948" s="8">
        <f t="shared" si="31"/>
        <v>2.8761061946902653</v>
      </c>
      <c r="M948" t="s">
        <v>20</v>
      </c>
      <c r="N948" t="s">
        <v>421</v>
      </c>
    </row>
    <row r="949" spans="1:14" x14ac:dyDescent="0.3">
      <c r="A949" t="s">
        <v>865</v>
      </c>
      <c r="B949" s="2">
        <v>46225</v>
      </c>
      <c r="C949" s="2">
        <v>46226</v>
      </c>
      <c r="D949" s="1" t="s">
        <v>860</v>
      </c>
      <c r="E949" t="s">
        <v>861</v>
      </c>
      <c r="F949" t="s">
        <v>438</v>
      </c>
      <c r="G949" s="5">
        <v>1372</v>
      </c>
      <c r="H949" s="5">
        <v>1305</v>
      </c>
      <c r="I949" s="5">
        <v>1296</v>
      </c>
      <c r="J949" s="5">
        <v>9</v>
      </c>
      <c r="K949" s="8">
        <f t="shared" si="30"/>
        <v>95.116618075801753</v>
      </c>
      <c r="L949" s="8">
        <f t="shared" si="31"/>
        <v>0.69444444444444442</v>
      </c>
      <c r="M949" t="s">
        <v>20</v>
      </c>
      <c r="N949" t="s">
        <v>421</v>
      </c>
    </row>
    <row r="950" spans="1:14" x14ac:dyDescent="0.3">
      <c r="A950" t="s">
        <v>866</v>
      </c>
      <c r="B950" s="2">
        <v>46226</v>
      </c>
      <c r="C950" s="2">
        <v>46227</v>
      </c>
      <c r="D950" s="1" t="s">
        <v>860</v>
      </c>
      <c r="E950" t="s">
        <v>861</v>
      </c>
      <c r="F950" t="s">
        <v>495</v>
      </c>
      <c r="G950" s="5">
        <v>1372</v>
      </c>
      <c r="H950" s="5">
        <v>1463</v>
      </c>
      <c r="I950" s="5">
        <v>1440</v>
      </c>
      <c r="J950" s="5">
        <v>23</v>
      </c>
      <c r="K950" s="8">
        <f t="shared" si="30"/>
        <v>106.63265306122449</v>
      </c>
      <c r="L950" s="8">
        <f t="shared" si="31"/>
        <v>1.5972222222222221</v>
      </c>
      <c r="M950" t="s">
        <v>20</v>
      </c>
      <c r="N950" t="s">
        <v>421</v>
      </c>
    </row>
    <row r="951" spans="1:14" x14ac:dyDescent="0.3">
      <c r="A951" t="s">
        <v>867</v>
      </c>
      <c r="B951" s="2">
        <v>46230</v>
      </c>
      <c r="C951" s="2">
        <v>46232</v>
      </c>
      <c r="D951" s="1" t="s">
        <v>860</v>
      </c>
      <c r="E951" t="s">
        <v>861</v>
      </c>
      <c r="F951" t="s">
        <v>495</v>
      </c>
      <c r="G951" s="5">
        <v>1372</v>
      </c>
      <c r="H951" s="5">
        <v>1440</v>
      </c>
      <c r="I951" s="5">
        <v>1308</v>
      </c>
      <c r="J951" s="5">
        <v>132</v>
      </c>
      <c r="K951" s="8">
        <f t="shared" si="30"/>
        <v>104.95626822157433</v>
      </c>
      <c r="L951" s="8">
        <f t="shared" si="31"/>
        <v>10.091743119266056</v>
      </c>
      <c r="M951" t="s">
        <v>20</v>
      </c>
      <c r="N951" t="s">
        <v>421</v>
      </c>
    </row>
    <row r="952" spans="1:14" x14ac:dyDescent="0.3">
      <c r="A952" t="s">
        <v>868</v>
      </c>
      <c r="B952" s="2">
        <v>46227</v>
      </c>
      <c r="C952" s="2">
        <v>46228</v>
      </c>
      <c r="D952" s="1" t="s">
        <v>860</v>
      </c>
      <c r="E952" t="s">
        <v>861</v>
      </c>
      <c r="F952" t="s">
        <v>495</v>
      </c>
      <c r="G952" s="5">
        <v>1372</v>
      </c>
      <c r="H952" s="5">
        <v>1410</v>
      </c>
      <c r="I952" s="5">
        <v>1332</v>
      </c>
      <c r="J952" s="5">
        <v>78</v>
      </c>
      <c r="K952" s="8">
        <f t="shared" si="30"/>
        <v>102.76967930029156</v>
      </c>
      <c r="L952" s="8">
        <f t="shared" si="31"/>
        <v>5.8558558558558556</v>
      </c>
      <c r="M952" t="s">
        <v>20</v>
      </c>
      <c r="N952" t="s">
        <v>421</v>
      </c>
    </row>
    <row r="953" spans="1:14" x14ac:dyDescent="0.3">
      <c r="A953" t="s">
        <v>869</v>
      </c>
      <c r="B953" s="2">
        <v>46216</v>
      </c>
      <c r="C953" s="2">
        <v>46217</v>
      </c>
      <c r="D953" s="1" t="s">
        <v>870</v>
      </c>
      <c r="E953" t="s">
        <v>871</v>
      </c>
      <c r="F953" t="s">
        <v>438</v>
      </c>
      <c r="G953" s="5">
        <v>3096</v>
      </c>
      <c r="H953" s="5">
        <v>3270</v>
      </c>
      <c r="I953" s="5">
        <v>3240</v>
      </c>
      <c r="J953" s="5">
        <v>30</v>
      </c>
      <c r="K953" s="8">
        <f t="shared" si="30"/>
        <v>105.62015503875971</v>
      </c>
      <c r="L953" s="8">
        <f t="shared" si="31"/>
        <v>0.92592592592592582</v>
      </c>
      <c r="M953" t="s">
        <v>20</v>
      </c>
      <c r="N953" t="s">
        <v>421</v>
      </c>
    </row>
    <row r="954" spans="1:14" x14ac:dyDescent="0.3">
      <c r="A954" t="s">
        <v>872</v>
      </c>
      <c r="B954" s="2">
        <v>46218</v>
      </c>
      <c r="C954" s="2">
        <v>46219</v>
      </c>
      <c r="D954" s="1" t="s">
        <v>870</v>
      </c>
      <c r="E954" t="s">
        <v>871</v>
      </c>
      <c r="F954" t="s">
        <v>438</v>
      </c>
      <c r="G954" s="5">
        <v>3096</v>
      </c>
      <c r="H954" s="5">
        <v>3270</v>
      </c>
      <c r="I954" s="5">
        <v>3240</v>
      </c>
      <c r="J954" s="5">
        <v>30</v>
      </c>
      <c r="K954" s="8">
        <f t="shared" si="30"/>
        <v>105.62015503875971</v>
      </c>
      <c r="L954" s="8">
        <f t="shared" si="31"/>
        <v>0.92592592592592582</v>
      </c>
      <c r="M954" t="s">
        <v>20</v>
      </c>
      <c r="N954" t="s">
        <v>421</v>
      </c>
    </row>
    <row r="955" spans="1:14" x14ac:dyDescent="0.3">
      <c r="A955" t="s">
        <v>873</v>
      </c>
      <c r="B955" s="2">
        <v>46223</v>
      </c>
      <c r="C955" s="2">
        <v>46225</v>
      </c>
      <c r="D955" s="1" t="s">
        <v>870</v>
      </c>
      <c r="E955" t="s">
        <v>871</v>
      </c>
      <c r="F955" t="s">
        <v>438</v>
      </c>
      <c r="G955" s="5">
        <v>3096</v>
      </c>
      <c r="H955" s="5">
        <v>3224</v>
      </c>
      <c r="I955" s="5">
        <v>3180</v>
      </c>
      <c r="J955" s="5">
        <v>44</v>
      </c>
      <c r="K955" s="8">
        <f t="shared" si="30"/>
        <v>104.1343669250646</v>
      </c>
      <c r="L955" s="8">
        <f t="shared" si="31"/>
        <v>1.3836477987421385</v>
      </c>
      <c r="M955" t="s">
        <v>20</v>
      </c>
      <c r="N955" t="s">
        <v>421</v>
      </c>
    </row>
    <row r="956" spans="1:14" x14ac:dyDescent="0.3">
      <c r="A956" t="s">
        <v>874</v>
      </c>
      <c r="B956" s="2">
        <v>46225</v>
      </c>
      <c r="C956" s="2">
        <v>46226</v>
      </c>
      <c r="D956" s="1" t="s">
        <v>870</v>
      </c>
      <c r="E956" t="s">
        <v>871</v>
      </c>
      <c r="F956" t="s">
        <v>438</v>
      </c>
      <c r="G956" s="5">
        <v>3096</v>
      </c>
      <c r="H956" s="5">
        <v>3313</v>
      </c>
      <c r="I956" s="5">
        <v>3240</v>
      </c>
      <c r="J956" s="5">
        <v>73</v>
      </c>
      <c r="K956" s="8">
        <f t="shared" si="30"/>
        <v>107.00904392764858</v>
      </c>
      <c r="L956" s="8">
        <f t="shared" si="31"/>
        <v>2.2530864197530862</v>
      </c>
      <c r="M956" t="s">
        <v>20</v>
      </c>
      <c r="N956" t="s">
        <v>421</v>
      </c>
    </row>
    <row r="957" spans="1:14" x14ac:dyDescent="0.3">
      <c r="A957" t="s">
        <v>875</v>
      </c>
      <c r="B957" s="2">
        <v>46227</v>
      </c>
      <c r="C957" s="2">
        <v>46228</v>
      </c>
      <c r="D957" s="1" t="s">
        <v>870</v>
      </c>
      <c r="E957" t="s">
        <v>871</v>
      </c>
      <c r="F957" t="s">
        <v>495</v>
      </c>
      <c r="G957" s="5">
        <v>3096</v>
      </c>
      <c r="H957" s="5">
        <v>3200</v>
      </c>
      <c r="I957" s="5">
        <v>3150</v>
      </c>
      <c r="J957" s="5">
        <v>50</v>
      </c>
      <c r="K957" s="8">
        <f t="shared" ref="K957:K1020" si="32">(H957/G957)*100</f>
        <v>103.35917312661498</v>
      </c>
      <c r="L957" s="8">
        <f t="shared" si="31"/>
        <v>1.5873015873015872</v>
      </c>
      <c r="M957" t="s">
        <v>20</v>
      </c>
      <c r="N957" t="s">
        <v>421</v>
      </c>
    </row>
    <row r="958" spans="1:14" x14ac:dyDescent="0.3">
      <c r="A958" t="s">
        <v>876</v>
      </c>
      <c r="B958" s="2">
        <v>46230</v>
      </c>
      <c r="C958" s="2">
        <v>46231</v>
      </c>
      <c r="D958" s="1" t="s">
        <v>870</v>
      </c>
      <c r="E958" t="s">
        <v>871</v>
      </c>
      <c r="F958" t="s">
        <v>438</v>
      </c>
      <c r="G958" s="5">
        <v>3096</v>
      </c>
      <c r="H958" s="5">
        <v>3262</v>
      </c>
      <c r="I958" s="5">
        <v>3240</v>
      </c>
      <c r="J958" s="5">
        <v>22</v>
      </c>
      <c r="K958" s="8">
        <f t="shared" si="32"/>
        <v>105.36175710594316</v>
      </c>
      <c r="L958" s="8">
        <f t="shared" ref="L958:L1021" si="33">((H958-I958)/I958)*100</f>
        <v>0.67901234567901236</v>
      </c>
      <c r="M958" t="s">
        <v>20</v>
      </c>
      <c r="N958" t="s">
        <v>421</v>
      </c>
    </row>
    <row r="959" spans="1:14" x14ac:dyDescent="0.3">
      <c r="A959" t="s">
        <v>877</v>
      </c>
      <c r="B959" s="2">
        <v>46218</v>
      </c>
      <c r="C959" s="2">
        <v>46219</v>
      </c>
      <c r="D959" s="1" t="s">
        <v>878</v>
      </c>
      <c r="E959" t="s">
        <v>879</v>
      </c>
      <c r="F959" t="s">
        <v>425</v>
      </c>
      <c r="G959" s="5">
        <v>2100</v>
      </c>
      <c r="H959" s="5">
        <v>2022</v>
      </c>
      <c r="I959" s="5">
        <v>1980</v>
      </c>
      <c r="J959" s="5">
        <v>42</v>
      </c>
      <c r="K959" s="8">
        <f t="shared" si="32"/>
        <v>96.285714285714292</v>
      </c>
      <c r="L959" s="8">
        <f t="shared" si="33"/>
        <v>2.1212121212121215</v>
      </c>
      <c r="M959" t="s">
        <v>20</v>
      </c>
      <c r="N959" t="s">
        <v>421</v>
      </c>
    </row>
    <row r="960" spans="1:14" x14ac:dyDescent="0.3">
      <c r="A960" t="s">
        <v>880</v>
      </c>
      <c r="B960" s="2">
        <v>46223</v>
      </c>
      <c r="C960" s="2">
        <v>46224</v>
      </c>
      <c r="D960" s="1" t="s">
        <v>878</v>
      </c>
      <c r="E960" t="s">
        <v>879</v>
      </c>
      <c r="F960" t="s">
        <v>425</v>
      </c>
      <c r="G960" s="5">
        <v>2100</v>
      </c>
      <c r="H960" s="5">
        <v>2156</v>
      </c>
      <c r="I960" s="5">
        <v>2140</v>
      </c>
      <c r="J960" s="5">
        <v>16</v>
      </c>
      <c r="K960" s="8">
        <f t="shared" si="32"/>
        <v>102.66666666666666</v>
      </c>
      <c r="L960" s="8">
        <f t="shared" si="33"/>
        <v>0.74766355140186924</v>
      </c>
      <c r="M960" t="s">
        <v>20</v>
      </c>
      <c r="N960" t="s">
        <v>421</v>
      </c>
    </row>
    <row r="961" spans="1:14" x14ac:dyDescent="0.3">
      <c r="A961" t="s">
        <v>881</v>
      </c>
      <c r="B961" s="2">
        <v>46225</v>
      </c>
      <c r="C961" s="2">
        <v>46227</v>
      </c>
      <c r="D961" s="1" t="s">
        <v>878</v>
      </c>
      <c r="E961" t="s">
        <v>879</v>
      </c>
      <c r="F961" t="s">
        <v>425</v>
      </c>
      <c r="G961" s="5">
        <v>2100</v>
      </c>
      <c r="H961" s="5">
        <v>1760</v>
      </c>
      <c r="I961" s="5">
        <v>1720</v>
      </c>
      <c r="J961" s="5">
        <v>40</v>
      </c>
      <c r="K961" s="8">
        <f t="shared" si="32"/>
        <v>83.80952380952381</v>
      </c>
      <c r="L961" s="8">
        <f t="shared" si="33"/>
        <v>2.3255813953488373</v>
      </c>
      <c r="M961" t="s">
        <v>20</v>
      </c>
      <c r="N961" t="s">
        <v>421</v>
      </c>
    </row>
    <row r="962" spans="1:14" x14ac:dyDescent="0.3">
      <c r="A962" t="s">
        <v>882</v>
      </c>
      <c r="B962" s="2">
        <v>46230</v>
      </c>
      <c r="C962" s="2">
        <v>46231</v>
      </c>
      <c r="D962" s="1" t="s">
        <v>878</v>
      </c>
      <c r="E962" t="s">
        <v>879</v>
      </c>
      <c r="F962" t="s">
        <v>425</v>
      </c>
      <c r="G962" s="5">
        <v>2100</v>
      </c>
      <c r="H962" s="5">
        <v>1695</v>
      </c>
      <c r="I962" s="5">
        <v>1640</v>
      </c>
      <c r="J962" s="5">
        <v>55</v>
      </c>
      <c r="K962" s="8">
        <f t="shared" si="32"/>
        <v>80.714285714285722</v>
      </c>
      <c r="L962" s="8">
        <f t="shared" si="33"/>
        <v>3.3536585365853662</v>
      </c>
      <c r="M962" t="s">
        <v>20</v>
      </c>
      <c r="N962" t="s">
        <v>421</v>
      </c>
    </row>
    <row r="963" spans="1:14" x14ac:dyDescent="0.3">
      <c r="A963" t="s">
        <v>883</v>
      </c>
      <c r="B963" s="2">
        <v>46216</v>
      </c>
      <c r="C963" s="2">
        <v>46217</v>
      </c>
      <c r="D963" s="1" t="s">
        <v>884</v>
      </c>
      <c r="E963" t="s">
        <v>885</v>
      </c>
      <c r="F963" t="s">
        <v>438</v>
      </c>
      <c r="G963" s="5">
        <v>1196</v>
      </c>
      <c r="H963" s="5">
        <v>1200</v>
      </c>
      <c r="I963" s="5">
        <v>1190</v>
      </c>
      <c r="J963" s="5">
        <v>10</v>
      </c>
      <c r="K963" s="8">
        <f t="shared" si="32"/>
        <v>100.33444816053512</v>
      </c>
      <c r="L963" s="8">
        <f t="shared" si="33"/>
        <v>0.84033613445378152</v>
      </c>
      <c r="M963" t="s">
        <v>20</v>
      </c>
      <c r="N963" t="s">
        <v>421</v>
      </c>
    </row>
    <row r="964" spans="1:14" x14ac:dyDescent="0.3">
      <c r="A964" t="s">
        <v>886</v>
      </c>
      <c r="B964" s="2">
        <v>46217</v>
      </c>
      <c r="C964" s="2">
        <v>46218</v>
      </c>
      <c r="D964" s="1" t="s">
        <v>884</v>
      </c>
      <c r="E964" t="s">
        <v>885</v>
      </c>
      <c r="F964" t="s">
        <v>438</v>
      </c>
      <c r="G964" s="5">
        <v>1196</v>
      </c>
      <c r="H964" s="5">
        <v>1200</v>
      </c>
      <c r="I964" s="5">
        <v>1190</v>
      </c>
      <c r="J964" s="5">
        <v>10</v>
      </c>
      <c r="K964" s="8">
        <f t="shared" si="32"/>
        <v>100.33444816053512</v>
      </c>
      <c r="L964" s="8">
        <f t="shared" si="33"/>
        <v>0.84033613445378152</v>
      </c>
      <c r="M964" t="s">
        <v>20</v>
      </c>
      <c r="N964" t="s">
        <v>421</v>
      </c>
    </row>
    <row r="965" spans="1:14" x14ac:dyDescent="0.3">
      <c r="A965" t="s">
        <v>887</v>
      </c>
      <c r="B965" s="2">
        <v>46223</v>
      </c>
      <c r="C965" s="2">
        <v>46224</v>
      </c>
      <c r="D965" s="1" t="s">
        <v>884</v>
      </c>
      <c r="E965" t="s">
        <v>885</v>
      </c>
      <c r="F965" t="s">
        <v>438</v>
      </c>
      <c r="G965" s="5">
        <v>1196</v>
      </c>
      <c r="H965" s="5">
        <v>1200</v>
      </c>
      <c r="I965" s="5">
        <v>1180</v>
      </c>
      <c r="J965" s="5">
        <v>20</v>
      </c>
      <c r="K965" s="8">
        <f t="shared" si="32"/>
        <v>100.33444816053512</v>
      </c>
      <c r="L965" s="8">
        <f t="shared" si="33"/>
        <v>1.6949152542372881</v>
      </c>
      <c r="M965" t="s">
        <v>20</v>
      </c>
      <c r="N965" t="s">
        <v>421</v>
      </c>
    </row>
    <row r="966" spans="1:14" x14ac:dyDescent="0.3">
      <c r="A966" t="s">
        <v>888</v>
      </c>
      <c r="B966" s="2">
        <v>46227</v>
      </c>
      <c r="C966" s="2">
        <v>46228</v>
      </c>
      <c r="D966" s="1" t="s">
        <v>884</v>
      </c>
      <c r="E966" t="s">
        <v>885</v>
      </c>
      <c r="F966" t="s">
        <v>438</v>
      </c>
      <c r="G966" s="5">
        <v>1196</v>
      </c>
      <c r="H966" s="5">
        <v>1203</v>
      </c>
      <c r="I966" s="5">
        <v>1170</v>
      </c>
      <c r="J966" s="5">
        <v>33</v>
      </c>
      <c r="K966" s="8">
        <f t="shared" si="32"/>
        <v>100.58528428093645</v>
      </c>
      <c r="L966" s="8">
        <f t="shared" si="33"/>
        <v>2.8205128205128207</v>
      </c>
      <c r="M966" t="s">
        <v>20</v>
      </c>
      <c r="N966" t="s">
        <v>421</v>
      </c>
    </row>
    <row r="967" spans="1:14" x14ac:dyDescent="0.3">
      <c r="A967" t="s">
        <v>889</v>
      </c>
      <c r="B967" s="2">
        <v>46230</v>
      </c>
      <c r="C967" s="2">
        <v>46231</v>
      </c>
      <c r="D967" s="1" t="s">
        <v>884</v>
      </c>
      <c r="E967" t="s">
        <v>885</v>
      </c>
      <c r="F967" t="s">
        <v>438</v>
      </c>
      <c r="G967" s="5">
        <v>1196</v>
      </c>
      <c r="H967" s="5">
        <v>1159</v>
      </c>
      <c r="I967" s="5">
        <v>1110</v>
      </c>
      <c r="J967" s="5">
        <v>49</v>
      </c>
      <c r="K967" s="8">
        <f t="shared" si="32"/>
        <v>96.906354515050168</v>
      </c>
      <c r="L967" s="8">
        <f t="shared" si="33"/>
        <v>4.4144144144144146</v>
      </c>
      <c r="M967" t="s">
        <v>20</v>
      </c>
      <c r="N967" t="s">
        <v>421</v>
      </c>
    </row>
    <row r="968" spans="1:14" x14ac:dyDescent="0.3">
      <c r="A968" t="s">
        <v>890</v>
      </c>
      <c r="B968" s="2">
        <v>46218</v>
      </c>
      <c r="C968" s="2">
        <v>46219</v>
      </c>
      <c r="D968" s="1" t="s">
        <v>891</v>
      </c>
      <c r="E968" t="s">
        <v>1186</v>
      </c>
      <c r="F968" t="s">
        <v>532</v>
      </c>
      <c r="G968" s="5">
        <v>840</v>
      </c>
      <c r="H968" s="5">
        <v>763</v>
      </c>
      <c r="I968" s="5">
        <v>750</v>
      </c>
      <c r="J968" s="5">
        <v>13</v>
      </c>
      <c r="K968" s="8">
        <f t="shared" si="32"/>
        <v>90.833333333333329</v>
      </c>
      <c r="L968" s="8">
        <f t="shared" si="33"/>
        <v>1.7333333333333332</v>
      </c>
      <c r="M968" t="s">
        <v>20</v>
      </c>
      <c r="N968" t="s">
        <v>421</v>
      </c>
    </row>
    <row r="969" spans="1:14" x14ac:dyDescent="0.3">
      <c r="A969" t="s">
        <v>892</v>
      </c>
      <c r="B969" s="2">
        <v>46213</v>
      </c>
      <c r="C969" s="2">
        <v>46217</v>
      </c>
      <c r="D969" s="1" t="s">
        <v>893</v>
      </c>
      <c r="E969" t="s">
        <v>894</v>
      </c>
      <c r="F969" t="s">
        <v>420</v>
      </c>
      <c r="G969" s="5">
        <v>32</v>
      </c>
      <c r="H969" s="5">
        <v>33</v>
      </c>
      <c r="I969" s="5">
        <v>33</v>
      </c>
      <c r="J969" s="5">
        <v>0</v>
      </c>
      <c r="K969" s="8">
        <f t="shared" si="32"/>
        <v>103.125</v>
      </c>
      <c r="L969" s="8">
        <f t="shared" si="33"/>
        <v>0</v>
      </c>
      <c r="M969" t="s">
        <v>20</v>
      </c>
      <c r="N969" t="s">
        <v>421</v>
      </c>
    </row>
    <row r="970" spans="1:14" x14ac:dyDescent="0.3">
      <c r="A970" t="s">
        <v>895</v>
      </c>
      <c r="B970" s="2">
        <v>46221</v>
      </c>
      <c r="C970" s="2">
        <v>46224</v>
      </c>
      <c r="D970" s="1" t="s">
        <v>893</v>
      </c>
      <c r="E970" t="s">
        <v>894</v>
      </c>
      <c r="F970" t="s">
        <v>420</v>
      </c>
      <c r="G970" s="5">
        <v>30</v>
      </c>
      <c r="H970" s="5">
        <v>35</v>
      </c>
      <c r="I970" s="5">
        <v>35</v>
      </c>
      <c r="J970" s="5">
        <v>0</v>
      </c>
      <c r="K970" s="8">
        <f t="shared" si="32"/>
        <v>116.66666666666667</v>
      </c>
      <c r="L970" s="8">
        <f t="shared" si="33"/>
        <v>0</v>
      </c>
      <c r="M970" t="s">
        <v>20</v>
      </c>
      <c r="N970" t="s">
        <v>421</v>
      </c>
    </row>
    <row r="971" spans="1:14" x14ac:dyDescent="0.3">
      <c r="A971" t="s">
        <v>896</v>
      </c>
      <c r="B971" s="2">
        <v>46227</v>
      </c>
      <c r="C971" s="2">
        <v>46228</v>
      </c>
      <c r="D971" s="1" t="s">
        <v>893</v>
      </c>
      <c r="E971" t="s">
        <v>894</v>
      </c>
      <c r="F971" t="s">
        <v>420</v>
      </c>
      <c r="G971" s="5">
        <v>68</v>
      </c>
      <c r="H971" s="5">
        <v>68</v>
      </c>
      <c r="I971" s="5">
        <v>68</v>
      </c>
      <c r="J971" s="5">
        <v>0</v>
      </c>
      <c r="K971" s="8">
        <f t="shared" si="32"/>
        <v>100</v>
      </c>
      <c r="L971" s="8">
        <f t="shared" si="33"/>
        <v>0</v>
      </c>
      <c r="M971" t="s">
        <v>20</v>
      </c>
      <c r="N971" t="s">
        <v>421</v>
      </c>
    </row>
    <row r="972" spans="1:14" x14ac:dyDescent="0.3">
      <c r="A972" t="s">
        <v>897</v>
      </c>
      <c r="B972" s="2">
        <v>46214</v>
      </c>
      <c r="C972" s="2">
        <v>46217</v>
      </c>
      <c r="D972" s="1" t="s">
        <v>898</v>
      </c>
      <c r="E972" t="s">
        <v>1187</v>
      </c>
      <c r="F972" t="s">
        <v>420</v>
      </c>
      <c r="G972" s="5">
        <v>240</v>
      </c>
      <c r="H972" s="5">
        <v>407</v>
      </c>
      <c r="I972" s="5">
        <v>407</v>
      </c>
      <c r="J972" s="5">
        <v>0</v>
      </c>
      <c r="K972" s="8">
        <f t="shared" si="32"/>
        <v>169.58333333333334</v>
      </c>
      <c r="L972" s="8">
        <f t="shared" si="33"/>
        <v>0</v>
      </c>
      <c r="M972" t="s">
        <v>20</v>
      </c>
      <c r="N972" t="s">
        <v>421</v>
      </c>
    </row>
    <row r="973" spans="1:14" x14ac:dyDescent="0.3">
      <c r="A973" t="s">
        <v>899</v>
      </c>
      <c r="B973" s="2">
        <v>46228</v>
      </c>
      <c r="C973" s="2">
        <v>46231</v>
      </c>
      <c r="D973" s="1" t="s">
        <v>898</v>
      </c>
      <c r="E973" t="s">
        <v>1187</v>
      </c>
      <c r="F973" t="s">
        <v>420</v>
      </c>
      <c r="G973" s="5">
        <v>346</v>
      </c>
      <c r="H973" s="5">
        <v>350</v>
      </c>
      <c r="I973" s="5">
        <v>350</v>
      </c>
      <c r="J973" s="5">
        <v>0</v>
      </c>
      <c r="K973" s="8">
        <f t="shared" si="32"/>
        <v>101.15606936416187</v>
      </c>
      <c r="L973" s="8">
        <f t="shared" si="33"/>
        <v>0</v>
      </c>
      <c r="M973" t="s">
        <v>20</v>
      </c>
      <c r="N973" t="s">
        <v>421</v>
      </c>
    </row>
    <row r="974" spans="1:14" x14ac:dyDescent="0.3">
      <c r="A974" t="s">
        <v>900</v>
      </c>
      <c r="B974" s="2">
        <v>46220</v>
      </c>
      <c r="C974" s="2">
        <v>46221</v>
      </c>
      <c r="D974" s="1" t="s">
        <v>901</v>
      </c>
      <c r="E974" t="s">
        <v>902</v>
      </c>
      <c r="F974" t="s">
        <v>532</v>
      </c>
      <c r="G974" s="5">
        <v>425</v>
      </c>
      <c r="H974" s="5">
        <v>426</v>
      </c>
      <c r="I974" s="5">
        <v>425</v>
      </c>
      <c r="J974" s="5">
        <v>1</v>
      </c>
      <c r="K974" s="8">
        <f t="shared" si="32"/>
        <v>100.23529411764707</v>
      </c>
      <c r="L974" s="8">
        <f t="shared" si="33"/>
        <v>0.23529411764705879</v>
      </c>
      <c r="M974" t="s">
        <v>20</v>
      </c>
      <c r="N974" t="s">
        <v>421</v>
      </c>
    </row>
    <row r="975" spans="1:14" x14ac:dyDescent="0.3">
      <c r="A975" t="s">
        <v>903</v>
      </c>
      <c r="B975" s="2">
        <v>46226</v>
      </c>
      <c r="C975" s="2">
        <v>46230</v>
      </c>
      <c r="D975" s="1" t="s">
        <v>901</v>
      </c>
      <c r="E975" t="s">
        <v>902</v>
      </c>
      <c r="F975" t="s">
        <v>532</v>
      </c>
      <c r="G975" s="5">
        <v>425</v>
      </c>
      <c r="H975" s="5">
        <v>420</v>
      </c>
      <c r="I975" s="5">
        <v>420</v>
      </c>
      <c r="J975" s="5">
        <v>0</v>
      </c>
      <c r="K975" s="8">
        <f t="shared" si="32"/>
        <v>98.82352941176471</v>
      </c>
      <c r="L975" s="8">
        <f t="shared" si="33"/>
        <v>0</v>
      </c>
      <c r="M975" t="s">
        <v>20</v>
      </c>
      <c r="N975" t="s">
        <v>421</v>
      </c>
    </row>
    <row r="976" spans="1:14" x14ac:dyDescent="0.3">
      <c r="A976" t="s">
        <v>904</v>
      </c>
      <c r="B976" s="2">
        <v>46220</v>
      </c>
      <c r="C976" s="2">
        <v>46221</v>
      </c>
      <c r="D976" s="1" t="s">
        <v>905</v>
      </c>
      <c r="E976" t="s">
        <v>906</v>
      </c>
      <c r="F976" t="s">
        <v>532</v>
      </c>
      <c r="G976" s="5">
        <v>425</v>
      </c>
      <c r="H976" s="5">
        <v>420</v>
      </c>
      <c r="I976" s="5">
        <v>420</v>
      </c>
      <c r="J976" s="5">
        <v>0</v>
      </c>
      <c r="K976" s="8">
        <f t="shared" si="32"/>
        <v>98.82352941176471</v>
      </c>
      <c r="L976" s="8">
        <f t="shared" si="33"/>
        <v>0</v>
      </c>
      <c r="M976" t="s">
        <v>20</v>
      </c>
      <c r="N976" t="s">
        <v>421</v>
      </c>
    </row>
    <row r="977" spans="1:14" x14ac:dyDescent="0.3">
      <c r="A977" t="s">
        <v>907</v>
      </c>
      <c r="B977" s="2">
        <v>46220</v>
      </c>
      <c r="C977" s="2">
        <v>46221</v>
      </c>
      <c r="D977" s="1" t="s">
        <v>908</v>
      </c>
      <c r="E977" t="s">
        <v>909</v>
      </c>
      <c r="F977" t="s">
        <v>532</v>
      </c>
      <c r="G977" s="5">
        <v>850</v>
      </c>
      <c r="H977" s="5">
        <v>854</v>
      </c>
      <c r="I977" s="5">
        <v>850</v>
      </c>
      <c r="J977" s="5">
        <v>4</v>
      </c>
      <c r="K977" s="8">
        <f t="shared" si="32"/>
        <v>100.47058823529412</v>
      </c>
      <c r="L977" s="8">
        <f t="shared" si="33"/>
        <v>0.47058823529411759</v>
      </c>
      <c r="M977" t="s">
        <v>20</v>
      </c>
      <c r="N977" t="s">
        <v>421</v>
      </c>
    </row>
    <row r="978" spans="1:14" x14ac:dyDescent="0.3">
      <c r="A978" t="s">
        <v>910</v>
      </c>
      <c r="B978" s="2">
        <v>46227</v>
      </c>
      <c r="C978" s="2">
        <v>46228</v>
      </c>
      <c r="D978" s="1" t="s">
        <v>908</v>
      </c>
      <c r="E978" t="s">
        <v>909</v>
      </c>
      <c r="F978" t="s">
        <v>532</v>
      </c>
      <c r="G978" s="5">
        <v>425</v>
      </c>
      <c r="H978" s="5">
        <v>416</v>
      </c>
      <c r="I978" s="5">
        <v>415</v>
      </c>
      <c r="J978" s="5">
        <v>1</v>
      </c>
      <c r="K978" s="8">
        <f t="shared" si="32"/>
        <v>97.882352941176478</v>
      </c>
      <c r="L978" s="8">
        <f t="shared" si="33"/>
        <v>0.24096385542168677</v>
      </c>
      <c r="M978" t="s">
        <v>20</v>
      </c>
      <c r="N978" t="s">
        <v>421</v>
      </c>
    </row>
    <row r="979" spans="1:14" x14ac:dyDescent="0.3">
      <c r="A979" t="s">
        <v>911</v>
      </c>
      <c r="B979" s="2">
        <v>46226</v>
      </c>
      <c r="C979" s="2">
        <v>46227</v>
      </c>
      <c r="D979" s="1" t="s">
        <v>912</v>
      </c>
      <c r="E979" t="s">
        <v>913</v>
      </c>
      <c r="F979" t="s">
        <v>677</v>
      </c>
      <c r="G979" s="5">
        <v>1200</v>
      </c>
      <c r="H979" s="5">
        <v>1380</v>
      </c>
      <c r="I979" s="5">
        <v>1380</v>
      </c>
      <c r="J979" s="5">
        <v>0</v>
      </c>
      <c r="K979" s="8">
        <f t="shared" si="32"/>
        <v>114.99999999999999</v>
      </c>
      <c r="L979" s="8">
        <f t="shared" si="33"/>
        <v>0</v>
      </c>
      <c r="M979" t="s">
        <v>20</v>
      </c>
      <c r="N979" t="s">
        <v>421</v>
      </c>
    </row>
    <row r="980" spans="1:14" x14ac:dyDescent="0.3">
      <c r="A980" t="s">
        <v>914</v>
      </c>
      <c r="B980" s="2">
        <v>46217</v>
      </c>
      <c r="C980" s="2">
        <v>46218</v>
      </c>
      <c r="D980" s="1" t="s">
        <v>915</v>
      </c>
      <c r="E980" t="s">
        <v>916</v>
      </c>
      <c r="F980" t="s">
        <v>677</v>
      </c>
      <c r="G980" s="5">
        <v>11</v>
      </c>
      <c r="H980" s="5">
        <v>11</v>
      </c>
      <c r="I980" s="5">
        <v>11</v>
      </c>
      <c r="J980" s="5">
        <v>0</v>
      </c>
      <c r="K980" s="8">
        <f t="shared" si="32"/>
        <v>100</v>
      </c>
      <c r="L980" s="8">
        <f t="shared" si="33"/>
        <v>0</v>
      </c>
      <c r="M980" t="s">
        <v>20</v>
      </c>
      <c r="N980" t="s">
        <v>421</v>
      </c>
    </row>
    <row r="981" spans="1:14" x14ac:dyDescent="0.3">
      <c r="A981" t="s">
        <v>917</v>
      </c>
      <c r="B981" s="2">
        <v>46218</v>
      </c>
      <c r="C981" s="2">
        <v>46219</v>
      </c>
      <c r="D981" s="1" t="s">
        <v>915</v>
      </c>
      <c r="E981" t="s">
        <v>916</v>
      </c>
      <c r="F981" t="s">
        <v>677</v>
      </c>
      <c r="G981" s="5">
        <v>11</v>
      </c>
      <c r="H981" s="5">
        <v>12</v>
      </c>
      <c r="I981" s="5">
        <v>12</v>
      </c>
      <c r="J981" s="5">
        <v>0</v>
      </c>
      <c r="K981" s="8">
        <f t="shared" si="32"/>
        <v>109.09090909090908</v>
      </c>
      <c r="L981" s="8">
        <f t="shared" si="33"/>
        <v>0</v>
      </c>
      <c r="M981" t="s">
        <v>20</v>
      </c>
      <c r="N981" t="s">
        <v>421</v>
      </c>
    </row>
    <row r="982" spans="1:14" x14ac:dyDescent="0.3">
      <c r="A982" t="s">
        <v>918</v>
      </c>
      <c r="B982" s="2">
        <v>46219</v>
      </c>
      <c r="C982" s="2">
        <v>46220</v>
      </c>
      <c r="D982" s="1" t="s">
        <v>915</v>
      </c>
      <c r="E982" t="s">
        <v>916</v>
      </c>
      <c r="F982" t="s">
        <v>677</v>
      </c>
      <c r="G982" s="5">
        <v>11</v>
      </c>
      <c r="H982" s="5">
        <v>11</v>
      </c>
      <c r="I982" s="5">
        <v>11</v>
      </c>
      <c r="J982" s="5">
        <v>0</v>
      </c>
      <c r="K982" s="8">
        <f t="shared" si="32"/>
        <v>100</v>
      </c>
      <c r="L982" s="8">
        <f t="shared" si="33"/>
        <v>0</v>
      </c>
      <c r="M982" t="s">
        <v>20</v>
      </c>
      <c r="N982" t="s">
        <v>421</v>
      </c>
    </row>
    <row r="983" spans="1:14" x14ac:dyDescent="0.3">
      <c r="A983" t="s">
        <v>919</v>
      </c>
      <c r="B983" s="2">
        <v>46220</v>
      </c>
      <c r="C983" s="2">
        <v>46221</v>
      </c>
      <c r="D983" s="1" t="s">
        <v>915</v>
      </c>
      <c r="E983" t="s">
        <v>916</v>
      </c>
      <c r="F983" t="s">
        <v>677</v>
      </c>
      <c r="G983" s="5">
        <v>11</v>
      </c>
      <c r="H983" s="5">
        <v>11</v>
      </c>
      <c r="I983" s="5">
        <v>11</v>
      </c>
      <c r="J983" s="5">
        <v>0</v>
      </c>
      <c r="K983" s="8">
        <f t="shared" si="32"/>
        <v>100</v>
      </c>
      <c r="L983" s="8">
        <f t="shared" si="33"/>
        <v>0</v>
      </c>
      <c r="M983" t="s">
        <v>20</v>
      </c>
      <c r="N983" t="s">
        <v>421</v>
      </c>
    </row>
    <row r="984" spans="1:14" x14ac:dyDescent="0.3">
      <c r="A984" t="s">
        <v>920</v>
      </c>
      <c r="B984" s="2">
        <v>46217</v>
      </c>
      <c r="C984" s="2">
        <v>46218</v>
      </c>
      <c r="D984" s="1" t="s">
        <v>921</v>
      </c>
      <c r="E984" t="s">
        <v>922</v>
      </c>
      <c r="F984" t="s">
        <v>677</v>
      </c>
      <c r="G984" s="5">
        <v>11</v>
      </c>
      <c r="H984" s="5">
        <v>12</v>
      </c>
      <c r="I984" s="5">
        <v>12</v>
      </c>
      <c r="J984" s="5">
        <v>0</v>
      </c>
      <c r="K984" s="8">
        <f t="shared" si="32"/>
        <v>109.09090909090908</v>
      </c>
      <c r="L984" s="8">
        <f t="shared" si="33"/>
        <v>0</v>
      </c>
      <c r="M984" t="s">
        <v>20</v>
      </c>
      <c r="N984" t="s">
        <v>421</v>
      </c>
    </row>
    <row r="985" spans="1:14" x14ac:dyDescent="0.3">
      <c r="A985" t="s">
        <v>923</v>
      </c>
      <c r="B985" s="2">
        <v>46218</v>
      </c>
      <c r="C985" s="2">
        <v>46220</v>
      </c>
      <c r="D985" s="1" t="s">
        <v>921</v>
      </c>
      <c r="E985" t="s">
        <v>922</v>
      </c>
      <c r="F985" t="s">
        <v>677</v>
      </c>
      <c r="G985" s="5">
        <v>11</v>
      </c>
      <c r="H985" s="5">
        <v>10</v>
      </c>
      <c r="I985" s="5">
        <v>10</v>
      </c>
      <c r="J985" s="5">
        <v>0</v>
      </c>
      <c r="K985" s="8">
        <f t="shared" si="32"/>
        <v>90.909090909090907</v>
      </c>
      <c r="L985" s="8">
        <f t="shared" si="33"/>
        <v>0</v>
      </c>
      <c r="M985" t="s">
        <v>20</v>
      </c>
      <c r="N985" t="s">
        <v>421</v>
      </c>
    </row>
    <row r="986" spans="1:14" x14ac:dyDescent="0.3">
      <c r="A986" t="s">
        <v>924</v>
      </c>
      <c r="B986" s="2">
        <v>46219</v>
      </c>
      <c r="C986" s="2">
        <v>46220</v>
      </c>
      <c r="D986" s="1" t="s">
        <v>921</v>
      </c>
      <c r="E986" t="s">
        <v>922</v>
      </c>
      <c r="F986" t="s">
        <v>677</v>
      </c>
      <c r="G986" s="5">
        <v>11</v>
      </c>
      <c r="H986" s="5">
        <v>12</v>
      </c>
      <c r="I986" s="5">
        <v>12</v>
      </c>
      <c r="J986" s="5">
        <v>0</v>
      </c>
      <c r="K986" s="8">
        <f t="shared" si="32"/>
        <v>109.09090909090908</v>
      </c>
      <c r="L986" s="8">
        <f t="shared" si="33"/>
        <v>0</v>
      </c>
      <c r="M986" t="s">
        <v>20</v>
      </c>
      <c r="N986" t="s">
        <v>421</v>
      </c>
    </row>
    <row r="987" spans="1:14" x14ac:dyDescent="0.3">
      <c r="A987" t="s">
        <v>925</v>
      </c>
      <c r="B987" s="2">
        <v>46220</v>
      </c>
      <c r="C987" s="2">
        <v>46221</v>
      </c>
      <c r="D987" s="1" t="s">
        <v>921</v>
      </c>
      <c r="E987" t="s">
        <v>922</v>
      </c>
      <c r="F987" t="s">
        <v>677</v>
      </c>
      <c r="G987" s="5">
        <v>11</v>
      </c>
      <c r="H987" s="5">
        <v>12</v>
      </c>
      <c r="I987" s="5">
        <v>12</v>
      </c>
      <c r="J987" s="5">
        <v>0</v>
      </c>
      <c r="K987" s="8">
        <f t="shared" si="32"/>
        <v>109.09090909090908</v>
      </c>
      <c r="L987" s="8">
        <f t="shared" si="33"/>
        <v>0</v>
      </c>
      <c r="M987" t="s">
        <v>20</v>
      </c>
      <c r="N987" t="s">
        <v>421</v>
      </c>
    </row>
    <row r="988" spans="1:14" x14ac:dyDescent="0.3">
      <c r="A988" t="s">
        <v>926</v>
      </c>
      <c r="B988" s="2">
        <v>46216</v>
      </c>
      <c r="C988" s="2">
        <v>46217</v>
      </c>
      <c r="D988" s="1" t="s">
        <v>927</v>
      </c>
      <c r="E988" t="s">
        <v>928</v>
      </c>
      <c r="F988" t="s">
        <v>425</v>
      </c>
      <c r="G988" s="5">
        <v>66</v>
      </c>
      <c r="H988" s="5">
        <v>66</v>
      </c>
      <c r="I988" s="5">
        <v>66</v>
      </c>
      <c r="J988" s="5">
        <v>0</v>
      </c>
      <c r="K988" s="8">
        <f t="shared" si="32"/>
        <v>100</v>
      </c>
      <c r="L988" s="8">
        <f t="shared" si="33"/>
        <v>0</v>
      </c>
      <c r="M988" t="s">
        <v>20</v>
      </c>
      <c r="N988" t="s">
        <v>421</v>
      </c>
    </row>
    <row r="989" spans="1:14" x14ac:dyDescent="0.3">
      <c r="A989" t="s">
        <v>929</v>
      </c>
      <c r="B989" s="2">
        <v>46218</v>
      </c>
      <c r="C989" s="2">
        <v>46219</v>
      </c>
      <c r="D989" s="1" t="s">
        <v>927</v>
      </c>
      <c r="E989" t="s">
        <v>928</v>
      </c>
      <c r="F989" t="s">
        <v>425</v>
      </c>
      <c r="G989" s="5">
        <v>110</v>
      </c>
      <c r="H989" s="5">
        <v>110</v>
      </c>
      <c r="I989" s="5">
        <v>110</v>
      </c>
      <c r="J989" s="5">
        <v>0</v>
      </c>
      <c r="K989" s="8">
        <f t="shared" si="32"/>
        <v>100</v>
      </c>
      <c r="L989" s="8">
        <f t="shared" si="33"/>
        <v>0</v>
      </c>
      <c r="M989" t="s">
        <v>20</v>
      </c>
      <c r="N989" t="s">
        <v>421</v>
      </c>
    </row>
    <row r="990" spans="1:14" x14ac:dyDescent="0.3">
      <c r="A990" t="s">
        <v>930</v>
      </c>
      <c r="B990" s="2">
        <v>46225</v>
      </c>
      <c r="C990" s="2">
        <v>46226</v>
      </c>
      <c r="D990" s="1" t="s">
        <v>927</v>
      </c>
      <c r="E990" t="s">
        <v>928</v>
      </c>
      <c r="F990" t="s">
        <v>425</v>
      </c>
      <c r="G990" s="5">
        <v>88</v>
      </c>
      <c r="H990" s="5">
        <v>82</v>
      </c>
      <c r="I990" s="5">
        <v>82</v>
      </c>
      <c r="J990" s="5">
        <v>0</v>
      </c>
      <c r="K990" s="8">
        <f t="shared" si="32"/>
        <v>93.181818181818173</v>
      </c>
      <c r="L990" s="8">
        <f t="shared" si="33"/>
        <v>0</v>
      </c>
      <c r="M990" t="s">
        <v>20</v>
      </c>
      <c r="N990" t="s">
        <v>421</v>
      </c>
    </row>
    <row r="991" spans="1:14" x14ac:dyDescent="0.3">
      <c r="A991" t="s">
        <v>931</v>
      </c>
      <c r="B991" s="2">
        <v>46226</v>
      </c>
      <c r="C991" s="2">
        <v>46227</v>
      </c>
      <c r="D991" s="1" t="s">
        <v>927</v>
      </c>
      <c r="E991" t="s">
        <v>928</v>
      </c>
      <c r="F991" t="s">
        <v>425</v>
      </c>
      <c r="G991" s="5">
        <v>88</v>
      </c>
      <c r="H991" s="5">
        <v>88</v>
      </c>
      <c r="I991" s="5">
        <v>88</v>
      </c>
      <c r="J991" s="5">
        <v>0</v>
      </c>
      <c r="K991" s="8">
        <f t="shared" si="32"/>
        <v>100</v>
      </c>
      <c r="L991" s="8">
        <f t="shared" si="33"/>
        <v>0</v>
      </c>
      <c r="M991" t="s">
        <v>20</v>
      </c>
      <c r="N991" t="s">
        <v>421</v>
      </c>
    </row>
    <row r="992" spans="1:14" x14ac:dyDescent="0.3">
      <c r="A992" t="s">
        <v>932</v>
      </c>
      <c r="B992" s="2">
        <v>46223</v>
      </c>
      <c r="C992" s="2">
        <v>46224</v>
      </c>
      <c r="D992" s="1" t="s">
        <v>933</v>
      </c>
      <c r="E992" t="s">
        <v>934</v>
      </c>
      <c r="F992" t="s">
        <v>420</v>
      </c>
      <c r="G992" s="5">
        <v>8</v>
      </c>
      <c r="H992" s="5">
        <v>11</v>
      </c>
      <c r="I992" s="5">
        <v>11</v>
      </c>
      <c r="J992" s="5">
        <v>0</v>
      </c>
      <c r="K992" s="8">
        <f t="shared" si="32"/>
        <v>137.5</v>
      </c>
      <c r="L992" s="8">
        <f t="shared" si="33"/>
        <v>0</v>
      </c>
      <c r="M992" t="s">
        <v>20</v>
      </c>
      <c r="N992" t="s">
        <v>421</v>
      </c>
    </row>
    <row r="993" spans="1:14" x14ac:dyDescent="0.3">
      <c r="A993" t="s">
        <v>935</v>
      </c>
      <c r="B993" s="2">
        <v>46230</v>
      </c>
      <c r="C993" s="2">
        <v>46231</v>
      </c>
      <c r="D993" s="1" t="s">
        <v>933</v>
      </c>
      <c r="E993" t="s">
        <v>934</v>
      </c>
      <c r="F993" t="s">
        <v>420</v>
      </c>
      <c r="G993" s="5">
        <v>80</v>
      </c>
      <c r="H993" s="5">
        <v>76</v>
      </c>
      <c r="I993" s="5">
        <v>76</v>
      </c>
      <c r="J993" s="5">
        <v>0</v>
      </c>
      <c r="K993" s="8">
        <f t="shared" si="32"/>
        <v>95</v>
      </c>
      <c r="L993" s="8">
        <f t="shared" si="33"/>
        <v>0</v>
      </c>
      <c r="M993" t="s">
        <v>20</v>
      </c>
      <c r="N993" t="s">
        <v>421</v>
      </c>
    </row>
    <row r="994" spans="1:14" x14ac:dyDescent="0.3">
      <c r="A994" t="s">
        <v>936</v>
      </c>
      <c r="B994" s="2">
        <v>46231</v>
      </c>
      <c r="C994" s="2">
        <v>46232</v>
      </c>
      <c r="D994" s="1" t="s">
        <v>933</v>
      </c>
      <c r="E994" t="s">
        <v>934</v>
      </c>
      <c r="F994" t="s">
        <v>420</v>
      </c>
      <c r="G994" s="5">
        <v>80</v>
      </c>
      <c r="H994" s="5">
        <v>78</v>
      </c>
      <c r="I994" s="5">
        <v>78</v>
      </c>
      <c r="J994" s="5">
        <v>0</v>
      </c>
      <c r="K994" s="8">
        <f t="shared" si="32"/>
        <v>97.5</v>
      </c>
      <c r="L994" s="8">
        <f t="shared" si="33"/>
        <v>0</v>
      </c>
      <c r="M994" t="s">
        <v>20</v>
      </c>
      <c r="N994" t="s">
        <v>421</v>
      </c>
    </row>
    <row r="995" spans="1:14" x14ac:dyDescent="0.3">
      <c r="A995" t="s">
        <v>937</v>
      </c>
      <c r="B995" s="2">
        <v>46232</v>
      </c>
      <c r="C995" s="2">
        <v>46233</v>
      </c>
      <c r="D995" s="1" t="s">
        <v>933</v>
      </c>
      <c r="E995" t="s">
        <v>934</v>
      </c>
      <c r="F995" t="s">
        <v>420</v>
      </c>
      <c r="G995" s="5">
        <v>80</v>
      </c>
      <c r="H995" s="5">
        <v>77</v>
      </c>
      <c r="I995" s="5">
        <v>77</v>
      </c>
      <c r="J995" s="5">
        <v>0</v>
      </c>
      <c r="K995" s="8">
        <f t="shared" si="32"/>
        <v>96.25</v>
      </c>
      <c r="L995" s="8">
        <f t="shared" si="33"/>
        <v>0</v>
      </c>
      <c r="M995" t="s">
        <v>20</v>
      </c>
      <c r="N995" t="s">
        <v>421</v>
      </c>
    </row>
    <row r="996" spans="1:14" x14ac:dyDescent="0.3">
      <c r="A996" t="s">
        <v>938</v>
      </c>
      <c r="B996" s="2">
        <v>46224</v>
      </c>
      <c r="C996" s="2">
        <v>46224</v>
      </c>
      <c r="D996" s="1" t="s">
        <v>939</v>
      </c>
      <c r="E996" t="s">
        <v>940</v>
      </c>
      <c r="F996" t="s">
        <v>420</v>
      </c>
      <c r="G996" s="5">
        <v>20</v>
      </c>
      <c r="H996" s="5">
        <v>19</v>
      </c>
      <c r="I996" s="5">
        <v>19</v>
      </c>
      <c r="J996" s="5">
        <v>0</v>
      </c>
      <c r="K996" s="8">
        <f t="shared" si="32"/>
        <v>95</v>
      </c>
      <c r="L996" s="8">
        <f t="shared" si="33"/>
        <v>0</v>
      </c>
      <c r="M996" t="s">
        <v>20</v>
      </c>
      <c r="N996" t="s">
        <v>421</v>
      </c>
    </row>
    <row r="997" spans="1:14" x14ac:dyDescent="0.3">
      <c r="A997" t="s">
        <v>941</v>
      </c>
      <c r="B997" s="2">
        <v>46216</v>
      </c>
      <c r="C997" s="2">
        <v>46217</v>
      </c>
      <c r="D997" s="1" t="s">
        <v>942</v>
      </c>
      <c r="E997" t="s">
        <v>943</v>
      </c>
      <c r="F997" t="s">
        <v>420</v>
      </c>
      <c r="G997" s="5">
        <v>76</v>
      </c>
      <c r="H997" s="5">
        <v>76</v>
      </c>
      <c r="I997" s="5">
        <v>76</v>
      </c>
      <c r="J997" s="5">
        <v>0</v>
      </c>
      <c r="K997" s="8">
        <f t="shared" si="32"/>
        <v>100</v>
      </c>
      <c r="L997" s="8">
        <f t="shared" si="33"/>
        <v>0</v>
      </c>
      <c r="M997" t="s">
        <v>20</v>
      </c>
      <c r="N997" t="s">
        <v>421</v>
      </c>
    </row>
    <row r="998" spans="1:14" x14ac:dyDescent="0.3">
      <c r="A998" t="s">
        <v>944</v>
      </c>
      <c r="B998" s="2">
        <v>46217</v>
      </c>
      <c r="C998" s="2">
        <v>46218</v>
      </c>
      <c r="D998" s="1" t="s">
        <v>942</v>
      </c>
      <c r="E998" t="s">
        <v>943</v>
      </c>
      <c r="F998" t="s">
        <v>420</v>
      </c>
      <c r="G998" s="5">
        <v>152</v>
      </c>
      <c r="H998" s="5">
        <v>150</v>
      </c>
      <c r="I998" s="5">
        <v>150</v>
      </c>
      <c r="J998" s="5">
        <v>0</v>
      </c>
      <c r="K998" s="8">
        <f t="shared" si="32"/>
        <v>98.68421052631578</v>
      </c>
      <c r="L998" s="8">
        <f t="shared" si="33"/>
        <v>0</v>
      </c>
      <c r="M998" t="s">
        <v>20</v>
      </c>
      <c r="N998" t="s">
        <v>421</v>
      </c>
    </row>
    <row r="999" spans="1:14" x14ac:dyDescent="0.3">
      <c r="A999" t="s">
        <v>945</v>
      </c>
      <c r="B999" s="2">
        <v>46218</v>
      </c>
      <c r="C999" s="2">
        <v>46219</v>
      </c>
      <c r="D999" s="1" t="s">
        <v>942</v>
      </c>
      <c r="E999" t="s">
        <v>943</v>
      </c>
      <c r="F999" t="s">
        <v>420</v>
      </c>
      <c r="G999" s="5">
        <v>76</v>
      </c>
      <c r="H999" s="5">
        <v>77</v>
      </c>
      <c r="I999" s="5">
        <v>77</v>
      </c>
      <c r="J999" s="5">
        <v>0</v>
      </c>
      <c r="K999" s="8">
        <f t="shared" si="32"/>
        <v>101.31578947368421</v>
      </c>
      <c r="L999" s="8">
        <f t="shared" si="33"/>
        <v>0</v>
      </c>
      <c r="M999" t="s">
        <v>20</v>
      </c>
      <c r="N999" t="s">
        <v>421</v>
      </c>
    </row>
    <row r="1000" spans="1:14" x14ac:dyDescent="0.3">
      <c r="A1000" t="s">
        <v>946</v>
      </c>
      <c r="B1000" s="2">
        <v>46219</v>
      </c>
      <c r="C1000" s="2">
        <v>46220</v>
      </c>
      <c r="D1000" s="1" t="s">
        <v>942</v>
      </c>
      <c r="E1000" t="s">
        <v>943</v>
      </c>
      <c r="F1000" t="s">
        <v>420</v>
      </c>
      <c r="G1000" s="5">
        <v>76</v>
      </c>
      <c r="H1000" s="5">
        <v>79</v>
      </c>
      <c r="I1000" s="5">
        <v>79</v>
      </c>
      <c r="J1000" s="5">
        <v>0</v>
      </c>
      <c r="K1000" s="8">
        <f t="shared" si="32"/>
        <v>103.94736842105263</v>
      </c>
      <c r="L1000" s="8">
        <f t="shared" si="33"/>
        <v>0</v>
      </c>
      <c r="M1000" t="s">
        <v>20</v>
      </c>
      <c r="N1000" t="s">
        <v>421</v>
      </c>
    </row>
    <row r="1001" spans="1:14" x14ac:dyDescent="0.3">
      <c r="A1001" t="s">
        <v>947</v>
      </c>
      <c r="B1001" s="2">
        <v>46223</v>
      </c>
      <c r="C1001" s="2">
        <v>46224</v>
      </c>
      <c r="D1001" s="1" t="s">
        <v>942</v>
      </c>
      <c r="E1001" t="s">
        <v>943</v>
      </c>
      <c r="F1001" t="s">
        <v>420</v>
      </c>
      <c r="G1001" s="5">
        <v>76</v>
      </c>
      <c r="H1001" s="5">
        <v>76</v>
      </c>
      <c r="I1001" s="5">
        <v>76</v>
      </c>
      <c r="J1001" s="5">
        <v>0</v>
      </c>
      <c r="K1001" s="8">
        <f t="shared" si="32"/>
        <v>100</v>
      </c>
      <c r="L1001" s="8">
        <f t="shared" si="33"/>
        <v>0</v>
      </c>
      <c r="M1001" t="s">
        <v>20</v>
      </c>
      <c r="N1001" t="s">
        <v>421</v>
      </c>
    </row>
    <row r="1002" spans="1:14" x14ac:dyDescent="0.3">
      <c r="A1002" t="s">
        <v>948</v>
      </c>
      <c r="B1002" s="2">
        <v>46232</v>
      </c>
      <c r="C1002" s="2">
        <v>46233</v>
      </c>
      <c r="D1002" s="1" t="s">
        <v>942</v>
      </c>
      <c r="E1002" t="s">
        <v>943</v>
      </c>
      <c r="F1002" t="s">
        <v>420</v>
      </c>
      <c r="G1002" s="5">
        <v>76</v>
      </c>
      <c r="H1002" s="5">
        <v>78</v>
      </c>
      <c r="I1002" s="5">
        <v>78</v>
      </c>
      <c r="J1002" s="5">
        <v>0</v>
      </c>
      <c r="K1002" s="8">
        <f t="shared" si="32"/>
        <v>102.63157894736842</v>
      </c>
      <c r="L1002" s="8">
        <f t="shared" si="33"/>
        <v>0</v>
      </c>
      <c r="M1002" t="s">
        <v>20</v>
      </c>
      <c r="N1002" t="s">
        <v>421</v>
      </c>
    </row>
    <row r="1003" spans="1:14" x14ac:dyDescent="0.3">
      <c r="A1003" t="s">
        <v>949</v>
      </c>
      <c r="B1003" s="2">
        <v>46217</v>
      </c>
      <c r="C1003" s="2">
        <v>46218</v>
      </c>
      <c r="D1003" s="1" t="s">
        <v>950</v>
      </c>
      <c r="E1003" t="s">
        <v>951</v>
      </c>
      <c r="F1003" t="s">
        <v>420</v>
      </c>
      <c r="G1003" s="5">
        <v>75</v>
      </c>
      <c r="H1003" s="5">
        <v>75</v>
      </c>
      <c r="I1003" s="5">
        <v>75</v>
      </c>
      <c r="J1003" s="5">
        <v>0</v>
      </c>
      <c r="K1003" s="8">
        <f t="shared" si="32"/>
        <v>100</v>
      </c>
      <c r="L1003" s="8">
        <f t="shared" si="33"/>
        <v>0</v>
      </c>
      <c r="M1003" t="s">
        <v>20</v>
      </c>
      <c r="N1003" t="s">
        <v>421</v>
      </c>
    </row>
    <row r="1004" spans="1:14" x14ac:dyDescent="0.3">
      <c r="A1004" t="s">
        <v>952</v>
      </c>
      <c r="B1004" s="2">
        <v>46230</v>
      </c>
      <c r="C1004" s="2">
        <v>46231</v>
      </c>
      <c r="D1004" s="1" t="s">
        <v>950</v>
      </c>
      <c r="E1004" t="s">
        <v>951</v>
      </c>
      <c r="F1004" t="s">
        <v>420</v>
      </c>
      <c r="G1004" s="5">
        <v>75</v>
      </c>
      <c r="H1004" s="5">
        <v>78</v>
      </c>
      <c r="I1004" s="5">
        <v>78</v>
      </c>
      <c r="J1004" s="5">
        <v>0</v>
      </c>
      <c r="K1004" s="8">
        <f t="shared" si="32"/>
        <v>104</v>
      </c>
      <c r="L1004" s="8">
        <f t="shared" si="33"/>
        <v>0</v>
      </c>
      <c r="M1004" t="s">
        <v>20</v>
      </c>
      <c r="N1004" t="s">
        <v>421</v>
      </c>
    </row>
    <row r="1005" spans="1:14" x14ac:dyDescent="0.3">
      <c r="A1005" t="s">
        <v>953</v>
      </c>
      <c r="B1005" s="2">
        <v>46231</v>
      </c>
      <c r="C1005" s="2">
        <v>46232</v>
      </c>
      <c r="D1005" s="1" t="s">
        <v>950</v>
      </c>
      <c r="E1005" t="s">
        <v>951</v>
      </c>
      <c r="F1005" t="s">
        <v>420</v>
      </c>
      <c r="G1005" s="5">
        <v>75</v>
      </c>
      <c r="H1005" s="5">
        <v>73</v>
      </c>
      <c r="I1005" s="5">
        <v>73</v>
      </c>
      <c r="J1005" s="5">
        <v>0</v>
      </c>
      <c r="K1005" s="8">
        <f t="shared" si="32"/>
        <v>97.333333333333343</v>
      </c>
      <c r="L1005" s="8">
        <f t="shared" si="33"/>
        <v>0</v>
      </c>
      <c r="M1005" t="s">
        <v>20</v>
      </c>
      <c r="N1005" t="s">
        <v>421</v>
      </c>
    </row>
    <row r="1006" spans="1:14" x14ac:dyDescent="0.3">
      <c r="A1006" t="s">
        <v>954</v>
      </c>
      <c r="B1006" s="2">
        <v>46214</v>
      </c>
      <c r="C1006" s="2">
        <v>46217</v>
      </c>
      <c r="D1006" s="1" t="s">
        <v>955</v>
      </c>
      <c r="E1006" t="s">
        <v>1188</v>
      </c>
      <c r="F1006" t="s">
        <v>420</v>
      </c>
      <c r="G1006" s="5">
        <v>415</v>
      </c>
      <c r="H1006" s="5">
        <v>510</v>
      </c>
      <c r="I1006" s="5">
        <v>510</v>
      </c>
      <c r="J1006" s="5">
        <v>0</v>
      </c>
      <c r="K1006" s="8">
        <f t="shared" si="32"/>
        <v>122.89156626506023</v>
      </c>
      <c r="L1006" s="8">
        <f t="shared" si="33"/>
        <v>0</v>
      </c>
      <c r="M1006" t="s">
        <v>20</v>
      </c>
      <c r="N1006" t="s">
        <v>421</v>
      </c>
    </row>
    <row r="1007" spans="1:14" x14ac:dyDescent="0.3">
      <c r="A1007" t="s">
        <v>956</v>
      </c>
      <c r="B1007" s="2">
        <v>46228</v>
      </c>
      <c r="C1007" s="2">
        <v>46231</v>
      </c>
      <c r="D1007" s="1" t="s">
        <v>955</v>
      </c>
      <c r="E1007" t="s">
        <v>1188</v>
      </c>
      <c r="F1007" t="s">
        <v>420</v>
      </c>
      <c r="G1007" s="5">
        <v>415</v>
      </c>
      <c r="H1007" s="5">
        <v>447</v>
      </c>
      <c r="I1007" s="5">
        <v>447</v>
      </c>
      <c r="J1007" s="5">
        <v>0</v>
      </c>
      <c r="K1007" s="8">
        <f t="shared" si="32"/>
        <v>107.71084337349397</v>
      </c>
      <c r="L1007" s="8">
        <f t="shared" si="33"/>
        <v>0</v>
      </c>
      <c r="M1007" t="s">
        <v>20</v>
      </c>
      <c r="N1007" t="s">
        <v>421</v>
      </c>
    </row>
    <row r="1008" spans="1:14" x14ac:dyDescent="0.3">
      <c r="A1008" t="s">
        <v>957</v>
      </c>
      <c r="B1008" s="2">
        <v>46216</v>
      </c>
      <c r="C1008" s="2">
        <v>46217</v>
      </c>
      <c r="D1008" s="1" t="s">
        <v>958</v>
      </c>
      <c r="E1008" t="s">
        <v>959</v>
      </c>
      <c r="F1008" t="s">
        <v>420</v>
      </c>
      <c r="G1008" s="5">
        <v>363</v>
      </c>
      <c r="H1008" s="5">
        <v>370</v>
      </c>
      <c r="I1008" s="5">
        <v>370</v>
      </c>
      <c r="J1008" s="5">
        <v>0</v>
      </c>
      <c r="K1008" s="8">
        <f t="shared" si="32"/>
        <v>101.92837465564739</v>
      </c>
      <c r="L1008" s="8">
        <f t="shared" si="33"/>
        <v>0</v>
      </c>
      <c r="M1008" t="s">
        <v>20</v>
      </c>
      <c r="N1008" t="s">
        <v>421</v>
      </c>
    </row>
    <row r="1009" spans="1:14" x14ac:dyDescent="0.3">
      <c r="A1009" t="s">
        <v>960</v>
      </c>
      <c r="B1009" s="2">
        <v>46217</v>
      </c>
      <c r="C1009" s="2">
        <v>46218</v>
      </c>
      <c r="D1009" s="1" t="s">
        <v>958</v>
      </c>
      <c r="E1009" t="s">
        <v>959</v>
      </c>
      <c r="F1009" t="s">
        <v>420</v>
      </c>
      <c r="G1009" s="5">
        <v>99</v>
      </c>
      <c r="H1009" s="5">
        <v>95</v>
      </c>
      <c r="I1009" s="5">
        <v>95</v>
      </c>
      <c r="J1009" s="5">
        <v>0</v>
      </c>
      <c r="K1009" s="8">
        <f t="shared" si="32"/>
        <v>95.959595959595958</v>
      </c>
      <c r="L1009" s="8">
        <f t="shared" si="33"/>
        <v>0</v>
      </c>
      <c r="M1009" t="s">
        <v>20</v>
      </c>
      <c r="N1009" t="s">
        <v>421</v>
      </c>
    </row>
    <row r="1010" spans="1:14" x14ac:dyDescent="0.3">
      <c r="A1010" t="s">
        <v>961</v>
      </c>
      <c r="B1010" s="2">
        <v>46218</v>
      </c>
      <c r="C1010" s="2">
        <v>46219</v>
      </c>
      <c r="D1010" s="1" t="s">
        <v>958</v>
      </c>
      <c r="E1010" t="s">
        <v>959</v>
      </c>
      <c r="F1010" t="s">
        <v>420</v>
      </c>
      <c r="G1010" s="5">
        <v>363</v>
      </c>
      <c r="H1010" s="5">
        <v>368</v>
      </c>
      <c r="I1010" s="5">
        <v>368</v>
      </c>
      <c r="J1010" s="5">
        <v>0</v>
      </c>
      <c r="K1010" s="8">
        <f t="shared" si="32"/>
        <v>101.37741046831957</v>
      </c>
      <c r="L1010" s="8">
        <f t="shared" si="33"/>
        <v>0</v>
      </c>
      <c r="M1010" t="s">
        <v>20</v>
      </c>
      <c r="N1010" t="s">
        <v>421</v>
      </c>
    </row>
    <row r="1011" spans="1:14" x14ac:dyDescent="0.3">
      <c r="A1011" t="s">
        <v>962</v>
      </c>
      <c r="B1011" s="2">
        <v>46219</v>
      </c>
      <c r="C1011" s="2">
        <v>46220</v>
      </c>
      <c r="D1011" s="1" t="s">
        <v>958</v>
      </c>
      <c r="E1011" t="s">
        <v>959</v>
      </c>
      <c r="F1011" t="s">
        <v>420</v>
      </c>
      <c r="G1011" s="5">
        <v>99</v>
      </c>
      <c r="H1011" s="5">
        <v>99</v>
      </c>
      <c r="I1011" s="5">
        <v>99</v>
      </c>
      <c r="J1011" s="5">
        <v>0</v>
      </c>
      <c r="K1011" s="8">
        <f t="shared" si="32"/>
        <v>100</v>
      </c>
      <c r="L1011" s="8">
        <f t="shared" si="33"/>
        <v>0</v>
      </c>
      <c r="M1011" t="s">
        <v>20</v>
      </c>
      <c r="N1011" t="s">
        <v>421</v>
      </c>
    </row>
    <row r="1012" spans="1:14" x14ac:dyDescent="0.3">
      <c r="A1012" t="s">
        <v>963</v>
      </c>
      <c r="B1012" s="2">
        <v>46231</v>
      </c>
      <c r="C1012" s="2">
        <v>46232</v>
      </c>
      <c r="D1012" s="1" t="s">
        <v>958</v>
      </c>
      <c r="E1012" t="s">
        <v>959</v>
      </c>
      <c r="F1012" t="s">
        <v>420</v>
      </c>
      <c r="G1012" s="5">
        <v>264</v>
      </c>
      <c r="H1012" s="5">
        <v>264</v>
      </c>
      <c r="I1012" s="5">
        <v>264</v>
      </c>
      <c r="J1012" s="5">
        <v>0</v>
      </c>
      <c r="K1012" s="8">
        <f t="shared" si="32"/>
        <v>100</v>
      </c>
      <c r="L1012" s="8">
        <f t="shared" si="33"/>
        <v>0</v>
      </c>
      <c r="M1012" t="s">
        <v>20</v>
      </c>
      <c r="N1012" t="s">
        <v>421</v>
      </c>
    </row>
    <row r="1013" spans="1:14" x14ac:dyDescent="0.3">
      <c r="A1013" t="s">
        <v>964</v>
      </c>
      <c r="B1013" s="2">
        <v>46216</v>
      </c>
      <c r="C1013" s="2">
        <v>46217</v>
      </c>
      <c r="D1013" s="1" t="s">
        <v>965</v>
      </c>
      <c r="E1013" t="s">
        <v>966</v>
      </c>
      <c r="F1013" t="s">
        <v>420</v>
      </c>
      <c r="G1013" s="5">
        <v>70</v>
      </c>
      <c r="H1013" s="5">
        <v>65</v>
      </c>
      <c r="I1013" s="5">
        <v>65</v>
      </c>
      <c r="J1013" s="5">
        <v>0</v>
      </c>
      <c r="K1013" s="8">
        <f t="shared" si="32"/>
        <v>92.857142857142861</v>
      </c>
      <c r="L1013" s="8">
        <f t="shared" si="33"/>
        <v>0</v>
      </c>
      <c r="M1013" t="s">
        <v>20</v>
      </c>
      <c r="N1013" t="s">
        <v>421</v>
      </c>
    </row>
    <row r="1014" spans="1:14" x14ac:dyDescent="0.3">
      <c r="A1014" t="s">
        <v>967</v>
      </c>
      <c r="B1014" s="2">
        <v>46218</v>
      </c>
      <c r="C1014" s="2">
        <v>46219</v>
      </c>
      <c r="D1014" s="1" t="s">
        <v>965</v>
      </c>
      <c r="E1014" t="s">
        <v>966</v>
      </c>
      <c r="F1014" t="s">
        <v>420</v>
      </c>
      <c r="G1014" s="5">
        <v>70</v>
      </c>
      <c r="H1014" s="5">
        <v>66</v>
      </c>
      <c r="I1014" s="5">
        <v>66</v>
      </c>
      <c r="J1014" s="5">
        <v>0</v>
      </c>
      <c r="K1014" s="8">
        <f t="shared" si="32"/>
        <v>94.285714285714278</v>
      </c>
      <c r="L1014" s="8">
        <f t="shared" si="33"/>
        <v>0</v>
      </c>
      <c r="M1014" t="s">
        <v>20</v>
      </c>
      <c r="N1014" t="s">
        <v>421</v>
      </c>
    </row>
    <row r="1015" spans="1:14" x14ac:dyDescent="0.3">
      <c r="A1015" t="s">
        <v>968</v>
      </c>
      <c r="B1015" s="2">
        <v>46223</v>
      </c>
      <c r="C1015" s="2">
        <v>46224</v>
      </c>
      <c r="D1015" s="1" t="s">
        <v>965</v>
      </c>
      <c r="E1015" t="s">
        <v>966</v>
      </c>
      <c r="F1015" t="s">
        <v>420</v>
      </c>
      <c r="G1015" s="5">
        <v>70</v>
      </c>
      <c r="H1015" s="5">
        <v>56</v>
      </c>
      <c r="I1015" s="5">
        <v>56</v>
      </c>
      <c r="J1015" s="5">
        <v>0</v>
      </c>
      <c r="K1015" s="8">
        <f t="shared" si="32"/>
        <v>80</v>
      </c>
      <c r="L1015" s="8">
        <f t="shared" si="33"/>
        <v>0</v>
      </c>
      <c r="M1015" t="s">
        <v>20</v>
      </c>
      <c r="N1015" t="s">
        <v>421</v>
      </c>
    </row>
    <row r="1016" spans="1:14" x14ac:dyDescent="0.3">
      <c r="A1016" t="s">
        <v>969</v>
      </c>
      <c r="B1016" s="2">
        <v>46224</v>
      </c>
      <c r="C1016" s="2">
        <v>46231</v>
      </c>
      <c r="D1016" s="1" t="s">
        <v>965</v>
      </c>
      <c r="E1016" t="s">
        <v>966</v>
      </c>
      <c r="F1016" t="s">
        <v>420</v>
      </c>
      <c r="G1016" s="5">
        <v>70</v>
      </c>
      <c r="H1016" s="5">
        <v>63</v>
      </c>
      <c r="I1016" s="5">
        <v>63</v>
      </c>
      <c r="J1016" s="5">
        <v>0</v>
      </c>
      <c r="K1016" s="8">
        <f t="shared" si="32"/>
        <v>90</v>
      </c>
      <c r="L1016" s="8">
        <f t="shared" si="33"/>
        <v>0</v>
      </c>
      <c r="M1016" t="s">
        <v>20</v>
      </c>
      <c r="N1016" t="s">
        <v>421</v>
      </c>
    </row>
    <row r="1017" spans="1:14" x14ac:dyDescent="0.3">
      <c r="A1017" t="s">
        <v>970</v>
      </c>
      <c r="B1017" s="2">
        <v>46225</v>
      </c>
      <c r="C1017" s="2">
        <v>46226</v>
      </c>
      <c r="D1017" s="1" t="s">
        <v>965</v>
      </c>
      <c r="E1017" t="s">
        <v>966</v>
      </c>
      <c r="F1017" t="s">
        <v>420</v>
      </c>
      <c r="G1017" s="5">
        <v>70</v>
      </c>
      <c r="H1017" s="5">
        <v>67</v>
      </c>
      <c r="I1017" s="5">
        <v>67</v>
      </c>
      <c r="J1017" s="5">
        <v>0</v>
      </c>
      <c r="K1017" s="8">
        <f t="shared" si="32"/>
        <v>95.714285714285722</v>
      </c>
      <c r="L1017" s="8">
        <f t="shared" si="33"/>
        <v>0</v>
      </c>
      <c r="M1017" t="s">
        <v>20</v>
      </c>
      <c r="N1017" t="s">
        <v>421</v>
      </c>
    </row>
    <row r="1018" spans="1:14" x14ac:dyDescent="0.3">
      <c r="A1018" t="s">
        <v>971</v>
      </c>
      <c r="B1018" s="2">
        <v>46226</v>
      </c>
      <c r="C1018" s="2">
        <v>46227</v>
      </c>
      <c r="D1018" s="1" t="s">
        <v>965</v>
      </c>
      <c r="E1018" t="s">
        <v>966</v>
      </c>
      <c r="F1018" t="s">
        <v>420</v>
      </c>
      <c r="G1018" s="5">
        <v>70</v>
      </c>
      <c r="H1018" s="5">
        <v>62</v>
      </c>
      <c r="I1018" s="5">
        <v>62</v>
      </c>
      <c r="J1018" s="5">
        <v>0</v>
      </c>
      <c r="K1018" s="8">
        <f t="shared" si="32"/>
        <v>88.571428571428569</v>
      </c>
      <c r="L1018" s="8">
        <f t="shared" si="33"/>
        <v>0</v>
      </c>
      <c r="M1018" t="s">
        <v>20</v>
      </c>
      <c r="N1018" t="s">
        <v>421</v>
      </c>
    </row>
    <row r="1019" spans="1:14" x14ac:dyDescent="0.3">
      <c r="A1019" t="s">
        <v>972</v>
      </c>
      <c r="B1019" s="2">
        <v>46231</v>
      </c>
      <c r="C1019" s="2">
        <v>46232</v>
      </c>
      <c r="D1019" s="1" t="s">
        <v>965</v>
      </c>
      <c r="E1019" t="s">
        <v>966</v>
      </c>
      <c r="F1019" t="s">
        <v>420</v>
      </c>
      <c r="G1019" s="5">
        <v>70</v>
      </c>
      <c r="H1019" s="5">
        <v>61</v>
      </c>
      <c r="I1019" s="5">
        <v>61</v>
      </c>
      <c r="J1019" s="5">
        <v>0</v>
      </c>
      <c r="K1019" s="8">
        <f t="shared" si="32"/>
        <v>87.142857142857139</v>
      </c>
      <c r="L1019" s="8">
        <f t="shared" si="33"/>
        <v>0</v>
      </c>
      <c r="M1019" t="s">
        <v>20</v>
      </c>
      <c r="N1019" t="s">
        <v>421</v>
      </c>
    </row>
    <row r="1020" spans="1:14" x14ac:dyDescent="0.3">
      <c r="A1020" t="s">
        <v>973</v>
      </c>
      <c r="B1020" s="2">
        <v>46216</v>
      </c>
      <c r="C1020" s="2">
        <v>46217</v>
      </c>
      <c r="D1020" s="1" t="s">
        <v>974</v>
      </c>
      <c r="E1020" t="s">
        <v>975</v>
      </c>
      <c r="F1020" t="s">
        <v>420</v>
      </c>
      <c r="G1020" s="5">
        <v>65</v>
      </c>
      <c r="H1020" s="5">
        <v>63</v>
      </c>
      <c r="I1020" s="5">
        <v>63</v>
      </c>
      <c r="J1020" s="5">
        <v>0</v>
      </c>
      <c r="K1020" s="8">
        <f t="shared" si="32"/>
        <v>96.92307692307692</v>
      </c>
      <c r="L1020" s="8">
        <f t="shared" si="33"/>
        <v>0</v>
      </c>
      <c r="M1020" t="s">
        <v>20</v>
      </c>
      <c r="N1020" t="s">
        <v>421</v>
      </c>
    </row>
    <row r="1021" spans="1:14" x14ac:dyDescent="0.3">
      <c r="A1021" t="s">
        <v>976</v>
      </c>
      <c r="B1021" s="2">
        <v>46218</v>
      </c>
      <c r="C1021" s="2">
        <v>46219</v>
      </c>
      <c r="D1021" s="1" t="s">
        <v>974</v>
      </c>
      <c r="E1021" t="s">
        <v>975</v>
      </c>
      <c r="F1021" t="s">
        <v>420</v>
      </c>
      <c r="G1021" s="5">
        <v>65</v>
      </c>
      <c r="H1021" s="5">
        <v>64</v>
      </c>
      <c r="I1021" s="5">
        <v>64</v>
      </c>
      <c r="J1021" s="5">
        <v>0</v>
      </c>
      <c r="K1021" s="8">
        <f t="shared" ref="K1021:K1083" si="34">(H1021/G1021)*100</f>
        <v>98.461538461538467</v>
      </c>
      <c r="L1021" s="8">
        <f t="shared" si="33"/>
        <v>0</v>
      </c>
      <c r="M1021" t="s">
        <v>20</v>
      </c>
      <c r="N1021" t="s">
        <v>421</v>
      </c>
    </row>
    <row r="1022" spans="1:14" x14ac:dyDescent="0.3">
      <c r="A1022" t="s">
        <v>977</v>
      </c>
      <c r="B1022" s="2">
        <v>46220</v>
      </c>
      <c r="C1022" s="2">
        <v>46221</v>
      </c>
      <c r="D1022" s="1" t="s">
        <v>974</v>
      </c>
      <c r="E1022" t="s">
        <v>975</v>
      </c>
      <c r="F1022" t="s">
        <v>420</v>
      </c>
      <c r="G1022" s="5">
        <v>65</v>
      </c>
      <c r="H1022" s="5">
        <v>67</v>
      </c>
      <c r="I1022" s="5">
        <v>67</v>
      </c>
      <c r="J1022" s="5">
        <v>0</v>
      </c>
      <c r="K1022" s="8">
        <f t="shared" si="34"/>
        <v>103.07692307692307</v>
      </c>
      <c r="L1022" s="8">
        <f t="shared" ref="L1022:L1084" si="35">((H1022-I1022)/I1022)*100</f>
        <v>0</v>
      </c>
      <c r="M1022" t="s">
        <v>20</v>
      </c>
      <c r="N1022" t="s">
        <v>421</v>
      </c>
    </row>
    <row r="1023" spans="1:14" x14ac:dyDescent="0.3">
      <c r="A1023" t="s">
        <v>978</v>
      </c>
      <c r="B1023" s="2">
        <v>46223</v>
      </c>
      <c r="C1023" s="2">
        <v>46224</v>
      </c>
      <c r="D1023" s="1" t="s">
        <v>974</v>
      </c>
      <c r="E1023" t="s">
        <v>975</v>
      </c>
      <c r="F1023" t="s">
        <v>420</v>
      </c>
      <c r="G1023" s="5">
        <v>130</v>
      </c>
      <c r="H1023" s="5">
        <v>126</v>
      </c>
      <c r="I1023" s="5">
        <v>126</v>
      </c>
      <c r="J1023" s="5">
        <v>0</v>
      </c>
      <c r="K1023" s="8">
        <f t="shared" si="34"/>
        <v>96.92307692307692</v>
      </c>
      <c r="L1023" s="8">
        <f t="shared" si="35"/>
        <v>0</v>
      </c>
      <c r="M1023" t="s">
        <v>20</v>
      </c>
      <c r="N1023" t="s">
        <v>421</v>
      </c>
    </row>
    <row r="1024" spans="1:14" x14ac:dyDescent="0.3">
      <c r="A1024" t="s">
        <v>979</v>
      </c>
      <c r="B1024" s="2">
        <v>46224</v>
      </c>
      <c r="C1024" s="2">
        <v>46224</v>
      </c>
      <c r="D1024" s="1" t="s">
        <v>974</v>
      </c>
      <c r="E1024" t="s">
        <v>975</v>
      </c>
      <c r="F1024" t="s">
        <v>420</v>
      </c>
      <c r="G1024" s="5">
        <v>65</v>
      </c>
      <c r="H1024" s="5">
        <v>66</v>
      </c>
      <c r="I1024" s="5">
        <v>66</v>
      </c>
      <c r="J1024" s="5">
        <v>0</v>
      </c>
      <c r="K1024" s="8">
        <f t="shared" si="34"/>
        <v>101.53846153846153</v>
      </c>
      <c r="L1024" s="8">
        <f t="shared" si="35"/>
        <v>0</v>
      </c>
      <c r="M1024" t="s">
        <v>20</v>
      </c>
      <c r="N1024" t="s">
        <v>421</v>
      </c>
    </row>
    <row r="1025" spans="1:14" x14ac:dyDescent="0.3">
      <c r="A1025" t="s">
        <v>980</v>
      </c>
      <c r="B1025" s="2">
        <v>46225</v>
      </c>
      <c r="C1025" s="2">
        <v>46226</v>
      </c>
      <c r="D1025" s="1" t="s">
        <v>974</v>
      </c>
      <c r="E1025" t="s">
        <v>975</v>
      </c>
      <c r="F1025" t="s">
        <v>420</v>
      </c>
      <c r="G1025" s="5">
        <v>65</v>
      </c>
      <c r="H1025" s="5">
        <v>66</v>
      </c>
      <c r="I1025" s="5">
        <v>66</v>
      </c>
      <c r="J1025" s="5">
        <v>0</v>
      </c>
      <c r="K1025" s="8">
        <f t="shared" si="34"/>
        <v>101.53846153846153</v>
      </c>
      <c r="L1025" s="8">
        <f t="shared" si="35"/>
        <v>0</v>
      </c>
      <c r="M1025" t="s">
        <v>20</v>
      </c>
      <c r="N1025" t="s">
        <v>421</v>
      </c>
    </row>
    <row r="1026" spans="1:14" x14ac:dyDescent="0.3">
      <c r="A1026" t="s">
        <v>981</v>
      </c>
      <c r="B1026" s="2">
        <v>46232</v>
      </c>
      <c r="C1026" s="2">
        <v>46233</v>
      </c>
      <c r="D1026" s="1" t="s">
        <v>974</v>
      </c>
      <c r="E1026" t="s">
        <v>975</v>
      </c>
      <c r="F1026" t="s">
        <v>420</v>
      </c>
      <c r="G1026" s="5">
        <v>65</v>
      </c>
      <c r="H1026" s="5">
        <v>66</v>
      </c>
      <c r="I1026" s="5">
        <v>66</v>
      </c>
      <c r="J1026" s="5">
        <v>0</v>
      </c>
      <c r="K1026" s="8">
        <f t="shared" si="34"/>
        <v>101.53846153846153</v>
      </c>
      <c r="L1026" s="8">
        <f t="shared" si="35"/>
        <v>0</v>
      </c>
      <c r="M1026" t="s">
        <v>20</v>
      </c>
      <c r="N1026" t="s">
        <v>421</v>
      </c>
    </row>
    <row r="1027" spans="1:14" x14ac:dyDescent="0.3">
      <c r="A1027" t="s">
        <v>982</v>
      </c>
      <c r="B1027" s="2">
        <v>46214</v>
      </c>
      <c r="C1027" s="2">
        <v>46217</v>
      </c>
      <c r="D1027" s="1" t="s">
        <v>983</v>
      </c>
      <c r="E1027" t="s">
        <v>984</v>
      </c>
      <c r="F1027" t="s">
        <v>420</v>
      </c>
      <c r="G1027" s="5">
        <v>552</v>
      </c>
      <c r="H1027" s="5">
        <v>623</v>
      </c>
      <c r="I1027" s="5">
        <v>623</v>
      </c>
      <c r="J1027" s="5">
        <v>0</v>
      </c>
      <c r="K1027" s="8">
        <f t="shared" si="34"/>
        <v>112.86231884057972</v>
      </c>
      <c r="L1027" s="8">
        <f t="shared" si="35"/>
        <v>0</v>
      </c>
      <c r="M1027" t="s">
        <v>20</v>
      </c>
      <c r="N1027" t="s">
        <v>421</v>
      </c>
    </row>
    <row r="1028" spans="1:14" x14ac:dyDescent="0.3">
      <c r="A1028" t="s">
        <v>985</v>
      </c>
      <c r="B1028" s="2">
        <v>46220</v>
      </c>
      <c r="C1028" s="2">
        <v>46221</v>
      </c>
      <c r="D1028" s="1" t="s">
        <v>983</v>
      </c>
      <c r="E1028" t="s">
        <v>984</v>
      </c>
      <c r="F1028" t="s">
        <v>420</v>
      </c>
      <c r="G1028" s="5">
        <v>345</v>
      </c>
      <c r="H1028" s="5">
        <v>390</v>
      </c>
      <c r="I1028" s="5">
        <v>390</v>
      </c>
      <c r="J1028" s="5">
        <v>0</v>
      </c>
      <c r="K1028" s="8">
        <f t="shared" si="34"/>
        <v>113.04347826086956</v>
      </c>
      <c r="L1028" s="8">
        <f t="shared" si="35"/>
        <v>0</v>
      </c>
      <c r="M1028" t="s">
        <v>20</v>
      </c>
      <c r="N1028" t="s">
        <v>421</v>
      </c>
    </row>
    <row r="1029" spans="1:14" x14ac:dyDescent="0.3">
      <c r="A1029" t="s">
        <v>986</v>
      </c>
      <c r="B1029" s="2">
        <v>46216</v>
      </c>
      <c r="C1029" s="2">
        <v>46217</v>
      </c>
      <c r="D1029" s="1" t="s">
        <v>987</v>
      </c>
      <c r="E1029" t="s">
        <v>988</v>
      </c>
      <c r="F1029" t="s">
        <v>420</v>
      </c>
      <c r="G1029" s="5">
        <v>95</v>
      </c>
      <c r="H1029" s="5">
        <v>95</v>
      </c>
      <c r="I1029" s="5">
        <v>95</v>
      </c>
      <c r="J1029" s="5">
        <v>0</v>
      </c>
      <c r="K1029" s="8">
        <f t="shared" si="34"/>
        <v>100</v>
      </c>
      <c r="L1029" s="8">
        <f t="shared" si="35"/>
        <v>0</v>
      </c>
      <c r="M1029" t="s">
        <v>20</v>
      </c>
      <c r="N1029" t="s">
        <v>421</v>
      </c>
    </row>
    <row r="1030" spans="1:14" x14ac:dyDescent="0.3">
      <c r="A1030" t="s">
        <v>989</v>
      </c>
      <c r="B1030" s="2">
        <v>46217</v>
      </c>
      <c r="C1030" s="2">
        <v>46218</v>
      </c>
      <c r="D1030" s="1" t="s">
        <v>987</v>
      </c>
      <c r="E1030" t="s">
        <v>988</v>
      </c>
      <c r="F1030" t="s">
        <v>420</v>
      </c>
      <c r="G1030" s="5">
        <v>347</v>
      </c>
      <c r="H1030" s="5">
        <v>358</v>
      </c>
      <c r="I1030" s="5">
        <v>358</v>
      </c>
      <c r="J1030" s="5">
        <v>0</v>
      </c>
      <c r="K1030" s="8">
        <f t="shared" si="34"/>
        <v>103.1700288184438</v>
      </c>
      <c r="L1030" s="8">
        <f t="shared" si="35"/>
        <v>0</v>
      </c>
      <c r="M1030" t="s">
        <v>20</v>
      </c>
      <c r="N1030" t="s">
        <v>421</v>
      </c>
    </row>
    <row r="1031" spans="1:14" x14ac:dyDescent="0.3">
      <c r="A1031" t="s">
        <v>990</v>
      </c>
      <c r="B1031" s="2">
        <v>46218</v>
      </c>
      <c r="C1031" s="2">
        <v>46219</v>
      </c>
      <c r="D1031" s="1" t="s">
        <v>987</v>
      </c>
      <c r="E1031" t="s">
        <v>988</v>
      </c>
      <c r="F1031" t="s">
        <v>420</v>
      </c>
      <c r="G1031" s="5">
        <v>95</v>
      </c>
      <c r="H1031" s="5">
        <v>95</v>
      </c>
      <c r="I1031" s="5">
        <v>95</v>
      </c>
      <c r="J1031" s="5">
        <v>0</v>
      </c>
      <c r="K1031" s="8">
        <f t="shared" si="34"/>
        <v>100</v>
      </c>
      <c r="L1031" s="8">
        <f t="shared" si="35"/>
        <v>0</v>
      </c>
      <c r="M1031" t="s">
        <v>20</v>
      </c>
      <c r="N1031" t="s">
        <v>421</v>
      </c>
    </row>
    <row r="1032" spans="1:14" x14ac:dyDescent="0.3">
      <c r="A1032" t="s">
        <v>991</v>
      </c>
      <c r="B1032" s="2">
        <v>46219</v>
      </c>
      <c r="C1032" s="2">
        <v>46220</v>
      </c>
      <c r="D1032" s="1" t="s">
        <v>987</v>
      </c>
      <c r="E1032" t="s">
        <v>988</v>
      </c>
      <c r="F1032" t="s">
        <v>420</v>
      </c>
      <c r="G1032" s="5">
        <v>347</v>
      </c>
      <c r="H1032" s="5">
        <v>351</v>
      </c>
      <c r="I1032" s="5">
        <v>351</v>
      </c>
      <c r="J1032" s="5">
        <v>0</v>
      </c>
      <c r="K1032" s="8">
        <f t="shared" si="34"/>
        <v>101.15273775216139</v>
      </c>
      <c r="L1032" s="8">
        <f t="shared" si="35"/>
        <v>0</v>
      </c>
      <c r="M1032" t="s">
        <v>20</v>
      </c>
      <c r="N1032" t="s">
        <v>421</v>
      </c>
    </row>
    <row r="1033" spans="1:14" x14ac:dyDescent="0.3">
      <c r="A1033" t="s">
        <v>992</v>
      </c>
      <c r="B1033" s="2">
        <v>46226</v>
      </c>
      <c r="C1033" s="2">
        <v>46227</v>
      </c>
      <c r="D1033" s="1" t="s">
        <v>987</v>
      </c>
      <c r="E1033" t="s">
        <v>988</v>
      </c>
      <c r="F1033" t="s">
        <v>420</v>
      </c>
      <c r="G1033" s="5">
        <v>63</v>
      </c>
      <c r="H1033" s="5">
        <v>64</v>
      </c>
      <c r="I1033" s="5">
        <v>64</v>
      </c>
      <c r="J1033" s="5">
        <v>0</v>
      </c>
      <c r="K1033" s="8">
        <f t="shared" si="34"/>
        <v>101.58730158730158</v>
      </c>
      <c r="L1033" s="8">
        <f t="shared" si="35"/>
        <v>0</v>
      </c>
      <c r="M1033" t="s">
        <v>20</v>
      </c>
      <c r="N1033" t="s">
        <v>421</v>
      </c>
    </row>
    <row r="1034" spans="1:14" x14ac:dyDescent="0.3">
      <c r="A1034" t="s">
        <v>993</v>
      </c>
      <c r="B1034" s="2">
        <v>46230</v>
      </c>
      <c r="C1034" s="2">
        <v>46231</v>
      </c>
      <c r="D1034" s="1" t="s">
        <v>987</v>
      </c>
      <c r="E1034" t="s">
        <v>988</v>
      </c>
      <c r="F1034" t="s">
        <v>420</v>
      </c>
      <c r="G1034" s="5">
        <v>252</v>
      </c>
      <c r="H1034" s="5">
        <v>240</v>
      </c>
      <c r="I1034" s="5">
        <v>240</v>
      </c>
      <c r="J1034" s="5">
        <v>0</v>
      </c>
      <c r="K1034" s="8">
        <f t="shared" si="34"/>
        <v>95.238095238095227</v>
      </c>
      <c r="L1034" s="8">
        <f t="shared" si="35"/>
        <v>0</v>
      </c>
      <c r="M1034" t="s">
        <v>20</v>
      </c>
      <c r="N1034" t="s">
        <v>421</v>
      </c>
    </row>
    <row r="1035" spans="1:14" x14ac:dyDescent="0.3">
      <c r="A1035" t="s">
        <v>994</v>
      </c>
      <c r="B1035" s="2">
        <v>46232</v>
      </c>
      <c r="C1035" s="2">
        <v>46233</v>
      </c>
      <c r="D1035" s="1" t="s">
        <v>987</v>
      </c>
      <c r="E1035" t="s">
        <v>988</v>
      </c>
      <c r="F1035" t="s">
        <v>420</v>
      </c>
      <c r="G1035" s="5">
        <v>252</v>
      </c>
      <c r="H1035" s="5">
        <v>250</v>
      </c>
      <c r="I1035" s="5">
        <v>250</v>
      </c>
      <c r="J1035" s="5">
        <v>0</v>
      </c>
      <c r="K1035" s="8">
        <f t="shared" si="34"/>
        <v>99.206349206349216</v>
      </c>
      <c r="L1035" s="8">
        <f t="shared" si="35"/>
        <v>0</v>
      </c>
      <c r="M1035" t="s">
        <v>20</v>
      </c>
      <c r="N1035" t="s">
        <v>421</v>
      </c>
    </row>
    <row r="1036" spans="1:14" x14ac:dyDescent="0.3">
      <c r="A1036" t="s">
        <v>995</v>
      </c>
      <c r="B1036" s="2">
        <v>46217</v>
      </c>
      <c r="C1036" s="2">
        <v>46218</v>
      </c>
      <c r="D1036" s="1" t="s">
        <v>996</v>
      </c>
      <c r="E1036" t="s">
        <v>997</v>
      </c>
      <c r="F1036" t="s">
        <v>495</v>
      </c>
      <c r="G1036" s="5">
        <v>87</v>
      </c>
      <c r="H1036" s="5">
        <v>75</v>
      </c>
      <c r="I1036" s="5">
        <v>70</v>
      </c>
      <c r="J1036" s="5">
        <v>5</v>
      </c>
      <c r="K1036" s="8">
        <f t="shared" si="34"/>
        <v>86.206896551724128</v>
      </c>
      <c r="L1036" s="8">
        <f t="shared" si="35"/>
        <v>7.1428571428571423</v>
      </c>
      <c r="M1036" t="s">
        <v>20</v>
      </c>
      <c r="N1036" t="s">
        <v>421</v>
      </c>
    </row>
    <row r="1037" spans="1:14" x14ac:dyDescent="0.3">
      <c r="A1037" t="s">
        <v>998</v>
      </c>
      <c r="B1037" s="2">
        <v>46230</v>
      </c>
      <c r="C1037" s="2">
        <v>46231</v>
      </c>
      <c r="D1037" s="1" t="s">
        <v>996</v>
      </c>
      <c r="E1037" t="s">
        <v>997</v>
      </c>
      <c r="F1037" t="s">
        <v>495</v>
      </c>
      <c r="G1037" s="5">
        <v>87</v>
      </c>
      <c r="H1037" s="5">
        <v>74</v>
      </c>
      <c r="I1037" s="5">
        <v>67</v>
      </c>
      <c r="J1037" s="5">
        <v>7</v>
      </c>
      <c r="K1037" s="8">
        <f t="shared" si="34"/>
        <v>85.057471264367805</v>
      </c>
      <c r="L1037" s="8">
        <f t="shared" si="35"/>
        <v>10.44776119402985</v>
      </c>
      <c r="M1037" t="s">
        <v>20</v>
      </c>
      <c r="N1037" t="s">
        <v>421</v>
      </c>
    </row>
    <row r="1038" spans="1:14" x14ac:dyDescent="0.3">
      <c r="A1038" t="s">
        <v>999</v>
      </c>
      <c r="B1038" s="2">
        <v>46216</v>
      </c>
      <c r="C1038" s="2">
        <v>46218</v>
      </c>
      <c r="D1038" s="1" t="s">
        <v>1000</v>
      </c>
      <c r="E1038" t="s">
        <v>1001</v>
      </c>
      <c r="F1038" t="s">
        <v>425</v>
      </c>
      <c r="G1038" s="5">
        <v>815</v>
      </c>
      <c r="H1038" s="5">
        <v>781</v>
      </c>
      <c r="I1038" s="5">
        <v>774</v>
      </c>
      <c r="J1038" s="5">
        <v>7</v>
      </c>
      <c r="K1038" s="8">
        <f t="shared" si="34"/>
        <v>95.828220858895705</v>
      </c>
      <c r="L1038" s="8">
        <f t="shared" si="35"/>
        <v>0.90439276485788112</v>
      </c>
      <c r="M1038" t="s">
        <v>20</v>
      </c>
      <c r="N1038" t="s">
        <v>421</v>
      </c>
    </row>
    <row r="1039" spans="1:14" x14ac:dyDescent="0.3">
      <c r="A1039" t="s">
        <v>1002</v>
      </c>
      <c r="B1039" s="2">
        <v>46218</v>
      </c>
      <c r="C1039" s="2">
        <v>46219</v>
      </c>
      <c r="D1039" s="1" t="s">
        <v>1000</v>
      </c>
      <c r="E1039" t="s">
        <v>1001</v>
      </c>
      <c r="F1039" t="s">
        <v>425</v>
      </c>
      <c r="G1039" s="5">
        <v>2445</v>
      </c>
      <c r="H1039" s="5">
        <v>2167</v>
      </c>
      <c r="I1039" s="5">
        <v>2160</v>
      </c>
      <c r="J1039" s="5">
        <v>7</v>
      </c>
      <c r="K1039" s="8">
        <f t="shared" si="34"/>
        <v>88.629856850715754</v>
      </c>
      <c r="L1039" s="8">
        <f t="shared" si="35"/>
        <v>0.32407407407407407</v>
      </c>
      <c r="M1039" t="s">
        <v>20</v>
      </c>
      <c r="N1039" t="s">
        <v>421</v>
      </c>
    </row>
    <row r="1040" spans="1:14" x14ac:dyDescent="0.3">
      <c r="A1040" t="s">
        <v>1003</v>
      </c>
      <c r="B1040" s="2">
        <v>46223</v>
      </c>
      <c r="C1040" s="2">
        <v>46224</v>
      </c>
      <c r="D1040" s="1" t="s">
        <v>1000</v>
      </c>
      <c r="E1040" t="s">
        <v>1001</v>
      </c>
      <c r="F1040" t="s">
        <v>425</v>
      </c>
      <c r="G1040" s="5">
        <v>1630</v>
      </c>
      <c r="H1040" s="5">
        <v>1547</v>
      </c>
      <c r="I1040" s="5">
        <v>1536</v>
      </c>
      <c r="J1040" s="5">
        <v>11</v>
      </c>
      <c r="K1040" s="8">
        <f t="shared" si="34"/>
        <v>94.907975460122699</v>
      </c>
      <c r="L1040" s="8">
        <f t="shared" si="35"/>
        <v>0.71614583333333326</v>
      </c>
      <c r="M1040" t="s">
        <v>20</v>
      </c>
      <c r="N1040" t="s">
        <v>421</v>
      </c>
    </row>
    <row r="1041" spans="1:14" x14ac:dyDescent="0.3">
      <c r="A1041" t="s">
        <v>1004</v>
      </c>
      <c r="B1041" s="2">
        <v>46225</v>
      </c>
      <c r="C1041" s="2">
        <v>46226</v>
      </c>
      <c r="D1041" s="1" t="s">
        <v>1000</v>
      </c>
      <c r="E1041" t="s">
        <v>1001</v>
      </c>
      <c r="F1041" t="s">
        <v>425</v>
      </c>
      <c r="G1041" s="5">
        <v>4890</v>
      </c>
      <c r="H1041" s="5">
        <v>4531</v>
      </c>
      <c r="I1041" s="5">
        <v>4302</v>
      </c>
      <c r="J1041" s="5">
        <v>229</v>
      </c>
      <c r="K1041" s="8">
        <f t="shared" si="34"/>
        <v>92.658486707566468</v>
      </c>
      <c r="L1041" s="8">
        <f t="shared" si="35"/>
        <v>5.3231055323105538</v>
      </c>
      <c r="M1041" t="s">
        <v>20</v>
      </c>
      <c r="N1041" t="s">
        <v>421</v>
      </c>
    </row>
    <row r="1042" spans="1:14" x14ac:dyDescent="0.3">
      <c r="A1042" t="s">
        <v>1005</v>
      </c>
      <c r="B1042" s="2">
        <v>46226</v>
      </c>
      <c r="C1042" s="2">
        <v>46227</v>
      </c>
      <c r="D1042" s="1" t="s">
        <v>1000</v>
      </c>
      <c r="E1042" t="s">
        <v>1001</v>
      </c>
      <c r="F1042" t="s">
        <v>425</v>
      </c>
      <c r="G1042" s="5">
        <v>3260</v>
      </c>
      <c r="H1042" s="5">
        <v>3049</v>
      </c>
      <c r="I1042" s="5">
        <v>2898</v>
      </c>
      <c r="J1042" s="5">
        <v>151</v>
      </c>
      <c r="K1042" s="8">
        <f t="shared" si="34"/>
        <v>93.527607361963192</v>
      </c>
      <c r="L1042" s="8">
        <f t="shared" si="35"/>
        <v>5.2104899930986885</v>
      </c>
      <c r="M1042" t="s">
        <v>20</v>
      </c>
      <c r="N1042" t="s">
        <v>421</v>
      </c>
    </row>
    <row r="1043" spans="1:14" x14ac:dyDescent="0.3">
      <c r="A1043" t="s">
        <v>1006</v>
      </c>
      <c r="B1043" s="2">
        <v>46227</v>
      </c>
      <c r="C1043" s="2">
        <v>46228</v>
      </c>
      <c r="D1043" s="1" t="s">
        <v>1000</v>
      </c>
      <c r="E1043" t="s">
        <v>1001</v>
      </c>
      <c r="F1043" t="s">
        <v>425</v>
      </c>
      <c r="G1043" s="5">
        <v>3260</v>
      </c>
      <c r="H1043" s="5">
        <v>3664</v>
      </c>
      <c r="I1043" s="5">
        <v>3240</v>
      </c>
      <c r="J1043" s="5">
        <v>424</v>
      </c>
      <c r="K1043" s="8">
        <f t="shared" si="34"/>
        <v>112.39263803680981</v>
      </c>
      <c r="L1043" s="8">
        <f t="shared" si="35"/>
        <v>13.086419753086421</v>
      </c>
      <c r="M1043" t="s">
        <v>20</v>
      </c>
      <c r="N1043" t="s">
        <v>421</v>
      </c>
    </row>
    <row r="1044" spans="1:14" x14ac:dyDescent="0.3">
      <c r="A1044" t="s">
        <v>1007</v>
      </c>
      <c r="B1044" s="2">
        <v>46230</v>
      </c>
      <c r="C1044" s="2">
        <v>46231</v>
      </c>
      <c r="D1044" s="1" t="s">
        <v>1000</v>
      </c>
      <c r="E1044" t="s">
        <v>1001</v>
      </c>
      <c r="F1044" t="s">
        <v>425</v>
      </c>
      <c r="G1044" s="5">
        <v>4075</v>
      </c>
      <c r="H1044" s="5">
        <v>3770</v>
      </c>
      <c r="I1044" s="5">
        <v>3498</v>
      </c>
      <c r="J1044" s="5">
        <v>272</v>
      </c>
      <c r="K1044" s="8">
        <f t="shared" si="34"/>
        <v>92.515337423312886</v>
      </c>
      <c r="L1044" s="8">
        <f t="shared" si="35"/>
        <v>7.7758719268153227</v>
      </c>
      <c r="M1044" t="s">
        <v>20</v>
      </c>
      <c r="N1044" t="s">
        <v>421</v>
      </c>
    </row>
    <row r="1045" spans="1:14" x14ac:dyDescent="0.3">
      <c r="A1045" t="s">
        <v>1008</v>
      </c>
      <c r="B1045" s="2">
        <v>46231</v>
      </c>
      <c r="C1045" s="2">
        <v>46232</v>
      </c>
      <c r="D1045" s="1" t="s">
        <v>1000</v>
      </c>
      <c r="E1045" t="s">
        <v>1001</v>
      </c>
      <c r="F1045" t="s">
        <v>425</v>
      </c>
      <c r="G1045" s="5">
        <v>2445</v>
      </c>
      <c r="H1045" s="5">
        <v>2261</v>
      </c>
      <c r="I1045" s="5">
        <v>2238</v>
      </c>
      <c r="J1045" s="5">
        <v>23</v>
      </c>
      <c r="K1045" s="8">
        <f t="shared" si="34"/>
        <v>92.474437627811852</v>
      </c>
      <c r="L1045" s="8">
        <f t="shared" si="35"/>
        <v>1.0277033065236818</v>
      </c>
      <c r="M1045" t="s">
        <v>20</v>
      </c>
      <c r="N1045" t="s">
        <v>421</v>
      </c>
    </row>
    <row r="1046" spans="1:14" x14ac:dyDescent="0.3">
      <c r="A1046" t="s">
        <v>1009</v>
      </c>
      <c r="B1046" s="2">
        <v>46232</v>
      </c>
      <c r="C1046" s="2">
        <v>46233</v>
      </c>
      <c r="D1046" s="1" t="s">
        <v>1000</v>
      </c>
      <c r="E1046" t="s">
        <v>1001</v>
      </c>
      <c r="F1046" t="s">
        <v>425</v>
      </c>
      <c r="G1046" s="5">
        <v>3260</v>
      </c>
      <c r="H1046" s="5">
        <v>2939</v>
      </c>
      <c r="I1046" s="5">
        <v>2868</v>
      </c>
      <c r="J1046" s="5">
        <v>71</v>
      </c>
      <c r="K1046" s="8">
        <f t="shared" si="34"/>
        <v>90.153374233128829</v>
      </c>
      <c r="L1046" s="8">
        <f t="shared" si="35"/>
        <v>2.4755927475592747</v>
      </c>
      <c r="M1046" t="s">
        <v>20</v>
      </c>
      <c r="N1046" t="s">
        <v>421</v>
      </c>
    </row>
    <row r="1047" spans="1:14" x14ac:dyDescent="0.3">
      <c r="A1047" t="s">
        <v>1010</v>
      </c>
      <c r="B1047" s="2">
        <v>46219</v>
      </c>
      <c r="C1047" s="2">
        <v>46220</v>
      </c>
      <c r="D1047" s="1" t="s">
        <v>1011</v>
      </c>
      <c r="E1047" t="s">
        <v>1012</v>
      </c>
      <c r="F1047" t="s">
        <v>438</v>
      </c>
      <c r="G1047" s="5">
        <v>2680</v>
      </c>
      <c r="H1047" s="5">
        <v>2958</v>
      </c>
      <c r="I1047" s="5">
        <v>2934</v>
      </c>
      <c r="J1047" s="5">
        <v>24</v>
      </c>
      <c r="K1047" s="8">
        <f t="shared" si="34"/>
        <v>110.3731343283582</v>
      </c>
      <c r="L1047" s="8">
        <f t="shared" si="35"/>
        <v>0.81799591002045002</v>
      </c>
      <c r="M1047" t="s">
        <v>20</v>
      </c>
      <c r="N1047" t="s">
        <v>421</v>
      </c>
    </row>
    <row r="1048" spans="1:14" x14ac:dyDescent="0.3">
      <c r="A1048" t="s">
        <v>1013</v>
      </c>
      <c r="B1048" s="2">
        <v>46227</v>
      </c>
      <c r="C1048" s="2">
        <v>46228</v>
      </c>
      <c r="D1048" s="1" t="s">
        <v>1011</v>
      </c>
      <c r="E1048" t="s">
        <v>1012</v>
      </c>
      <c r="F1048" t="s">
        <v>438</v>
      </c>
      <c r="G1048" s="5">
        <v>2680</v>
      </c>
      <c r="H1048" s="5">
        <v>3042</v>
      </c>
      <c r="I1048" s="5">
        <v>2982</v>
      </c>
      <c r="J1048" s="5">
        <v>60</v>
      </c>
      <c r="K1048" s="8">
        <f t="shared" si="34"/>
        <v>113.50746268656718</v>
      </c>
      <c r="L1048" s="8">
        <f t="shared" si="35"/>
        <v>2.0120724346076457</v>
      </c>
      <c r="M1048" t="s">
        <v>20</v>
      </c>
      <c r="N1048" t="s">
        <v>421</v>
      </c>
    </row>
    <row r="1049" spans="1:14" x14ac:dyDescent="0.3">
      <c r="A1049" t="s">
        <v>1014</v>
      </c>
      <c r="B1049" s="2">
        <v>46230</v>
      </c>
      <c r="C1049" s="2">
        <v>46232</v>
      </c>
      <c r="D1049" s="1" t="s">
        <v>1011</v>
      </c>
      <c r="E1049" t="s">
        <v>1012</v>
      </c>
      <c r="F1049" t="s">
        <v>438</v>
      </c>
      <c r="G1049" s="5">
        <v>2680</v>
      </c>
      <c r="H1049" s="5">
        <v>2245</v>
      </c>
      <c r="I1049" s="5">
        <v>2232</v>
      </c>
      <c r="J1049" s="5">
        <v>13</v>
      </c>
      <c r="K1049" s="8">
        <f t="shared" si="34"/>
        <v>83.768656716417908</v>
      </c>
      <c r="L1049" s="8">
        <f t="shared" si="35"/>
        <v>0.58243727598566308</v>
      </c>
      <c r="M1049" t="s">
        <v>20</v>
      </c>
      <c r="N1049" t="s">
        <v>421</v>
      </c>
    </row>
    <row r="1050" spans="1:14" x14ac:dyDescent="0.3">
      <c r="A1050" t="s">
        <v>1015</v>
      </c>
      <c r="B1050" s="2">
        <v>46231</v>
      </c>
      <c r="C1050" s="2">
        <v>46232</v>
      </c>
      <c r="D1050" s="1" t="s">
        <v>1011</v>
      </c>
      <c r="E1050" t="s">
        <v>1012</v>
      </c>
      <c r="F1050" t="s">
        <v>438</v>
      </c>
      <c r="G1050" s="5">
        <v>2680</v>
      </c>
      <c r="H1050" s="5">
        <v>3064</v>
      </c>
      <c r="I1050" s="5">
        <v>3030</v>
      </c>
      <c r="J1050" s="5">
        <v>34</v>
      </c>
      <c r="K1050" s="8">
        <f t="shared" si="34"/>
        <v>114.32835820895522</v>
      </c>
      <c r="L1050" s="8">
        <f t="shared" si="35"/>
        <v>1.1221122112211221</v>
      </c>
      <c r="M1050" t="s">
        <v>20</v>
      </c>
      <c r="N1050" t="s">
        <v>421</v>
      </c>
    </row>
    <row r="1051" spans="1:14" x14ac:dyDescent="0.3">
      <c r="A1051" t="s">
        <v>1018</v>
      </c>
      <c r="B1051" s="2">
        <v>46223</v>
      </c>
      <c r="C1051" s="2">
        <v>46224</v>
      </c>
      <c r="D1051" s="1" t="s">
        <v>1016</v>
      </c>
      <c r="E1051" t="s">
        <v>1017</v>
      </c>
      <c r="F1051" t="s">
        <v>425</v>
      </c>
      <c r="G1051" s="5">
        <v>815</v>
      </c>
      <c r="H1051" s="5">
        <v>899</v>
      </c>
      <c r="I1051" s="5">
        <v>882</v>
      </c>
      <c r="J1051" s="5">
        <v>17</v>
      </c>
      <c r="K1051" s="8">
        <f t="shared" si="34"/>
        <v>110.30674846625767</v>
      </c>
      <c r="L1051" s="8">
        <f t="shared" si="35"/>
        <v>1.9274376417233559</v>
      </c>
      <c r="M1051" t="s">
        <v>20</v>
      </c>
      <c r="N1051" t="s">
        <v>421</v>
      </c>
    </row>
    <row r="1052" spans="1:14" x14ac:dyDescent="0.3">
      <c r="A1052" t="s">
        <v>1019</v>
      </c>
      <c r="B1052" s="2">
        <v>46225</v>
      </c>
      <c r="C1052" s="2">
        <v>46226</v>
      </c>
      <c r="D1052" s="1" t="s">
        <v>1016</v>
      </c>
      <c r="E1052" t="s">
        <v>1017</v>
      </c>
      <c r="F1052" t="s">
        <v>425</v>
      </c>
      <c r="G1052" s="5">
        <v>815</v>
      </c>
      <c r="H1052" s="5">
        <v>885</v>
      </c>
      <c r="I1052" s="5">
        <v>870</v>
      </c>
      <c r="J1052" s="5">
        <v>15</v>
      </c>
      <c r="K1052" s="8">
        <f t="shared" si="34"/>
        <v>108.58895705521472</v>
      </c>
      <c r="L1052" s="8">
        <f t="shared" si="35"/>
        <v>1.7241379310344827</v>
      </c>
      <c r="M1052" t="s">
        <v>20</v>
      </c>
      <c r="N1052" t="s">
        <v>421</v>
      </c>
    </row>
    <row r="1053" spans="1:14" x14ac:dyDescent="0.3">
      <c r="A1053" t="s">
        <v>1020</v>
      </c>
      <c r="B1053" s="2">
        <v>46232</v>
      </c>
      <c r="C1053" s="2">
        <v>46233</v>
      </c>
      <c r="D1053" s="1" t="s">
        <v>1016</v>
      </c>
      <c r="E1053" t="s">
        <v>1017</v>
      </c>
      <c r="F1053" t="s">
        <v>425</v>
      </c>
      <c r="G1053" s="5">
        <v>815</v>
      </c>
      <c r="H1053" s="5">
        <v>845</v>
      </c>
      <c r="I1053" s="5">
        <v>840</v>
      </c>
      <c r="J1053" s="5">
        <v>5</v>
      </c>
      <c r="K1053" s="8">
        <f t="shared" si="34"/>
        <v>103.68098159509202</v>
      </c>
      <c r="L1053" s="8">
        <f t="shared" si="35"/>
        <v>0.59523809523809523</v>
      </c>
      <c r="M1053" t="s">
        <v>20</v>
      </c>
      <c r="N1053" t="s">
        <v>421</v>
      </c>
    </row>
    <row r="1054" spans="1:14" x14ac:dyDescent="0.3">
      <c r="A1054" t="s">
        <v>1021</v>
      </c>
      <c r="B1054" s="2">
        <v>46216</v>
      </c>
      <c r="C1054" s="2">
        <v>46217</v>
      </c>
      <c r="D1054" s="1" t="s">
        <v>1022</v>
      </c>
      <c r="E1054" t="s">
        <v>1023</v>
      </c>
      <c r="F1054" t="s">
        <v>420</v>
      </c>
      <c r="G1054" s="5">
        <v>78</v>
      </c>
      <c r="H1054" s="5">
        <v>75</v>
      </c>
      <c r="I1054" s="5">
        <v>75</v>
      </c>
      <c r="J1054" s="5">
        <v>0</v>
      </c>
      <c r="K1054" s="8">
        <f t="shared" si="34"/>
        <v>96.15384615384616</v>
      </c>
      <c r="L1054" s="8">
        <f t="shared" si="35"/>
        <v>0</v>
      </c>
      <c r="M1054" t="s">
        <v>20</v>
      </c>
      <c r="N1054" t="s">
        <v>421</v>
      </c>
    </row>
    <row r="1055" spans="1:14" x14ac:dyDescent="0.3">
      <c r="A1055" t="s">
        <v>1024</v>
      </c>
      <c r="B1055" s="2">
        <v>46216</v>
      </c>
      <c r="C1055" s="2">
        <v>46217</v>
      </c>
      <c r="D1055" s="1" t="s">
        <v>1025</v>
      </c>
      <c r="E1055" t="s">
        <v>1026</v>
      </c>
      <c r="F1055" t="s">
        <v>420</v>
      </c>
      <c r="G1055" s="5">
        <v>80</v>
      </c>
      <c r="H1055" s="5">
        <v>89</v>
      </c>
      <c r="I1055" s="5">
        <v>89</v>
      </c>
      <c r="J1055" s="5">
        <v>0</v>
      </c>
      <c r="K1055" s="8">
        <f t="shared" si="34"/>
        <v>111.25</v>
      </c>
      <c r="L1055" s="8">
        <f t="shared" si="35"/>
        <v>0</v>
      </c>
      <c r="M1055" t="s">
        <v>20</v>
      </c>
      <c r="N1055" t="s">
        <v>421</v>
      </c>
    </row>
    <row r="1056" spans="1:14" x14ac:dyDescent="0.3">
      <c r="A1056" t="s">
        <v>1027</v>
      </c>
      <c r="B1056" s="2">
        <v>46217</v>
      </c>
      <c r="C1056" s="2">
        <v>46218</v>
      </c>
      <c r="D1056" s="1" t="s">
        <v>1025</v>
      </c>
      <c r="E1056" t="s">
        <v>1026</v>
      </c>
      <c r="F1056" t="s">
        <v>420</v>
      </c>
      <c r="G1056" s="5">
        <v>80</v>
      </c>
      <c r="H1056" s="5">
        <v>86</v>
      </c>
      <c r="I1056" s="5">
        <v>86</v>
      </c>
      <c r="J1056" s="5">
        <v>0</v>
      </c>
      <c r="K1056" s="8">
        <f t="shared" si="34"/>
        <v>107.5</v>
      </c>
      <c r="L1056" s="8">
        <f t="shared" si="35"/>
        <v>0</v>
      </c>
      <c r="M1056" t="s">
        <v>20</v>
      </c>
      <c r="N1056" t="s">
        <v>421</v>
      </c>
    </row>
    <row r="1057" spans="1:14" x14ac:dyDescent="0.3">
      <c r="A1057" t="s">
        <v>1028</v>
      </c>
      <c r="B1057" s="2">
        <v>46220</v>
      </c>
      <c r="C1057" s="2">
        <v>46221</v>
      </c>
      <c r="D1057" s="1" t="s">
        <v>1025</v>
      </c>
      <c r="E1057" t="s">
        <v>1026</v>
      </c>
      <c r="F1057" t="s">
        <v>420</v>
      </c>
      <c r="G1057" s="5">
        <v>80</v>
      </c>
      <c r="H1057" s="5">
        <v>90</v>
      </c>
      <c r="I1057" s="5">
        <v>90</v>
      </c>
      <c r="J1057" s="5">
        <v>0</v>
      </c>
      <c r="K1057" s="8">
        <f t="shared" si="34"/>
        <v>112.5</v>
      </c>
      <c r="L1057" s="8">
        <f t="shared" si="35"/>
        <v>0</v>
      </c>
      <c r="M1057" t="s">
        <v>20</v>
      </c>
      <c r="N1057" t="s">
        <v>421</v>
      </c>
    </row>
    <row r="1058" spans="1:14" x14ac:dyDescent="0.3">
      <c r="A1058" t="s">
        <v>1029</v>
      </c>
      <c r="B1058" s="2">
        <v>46223</v>
      </c>
      <c r="C1058" s="2">
        <v>46224</v>
      </c>
      <c r="D1058" s="1" t="s">
        <v>1025</v>
      </c>
      <c r="E1058" t="s">
        <v>1026</v>
      </c>
      <c r="F1058" t="s">
        <v>420</v>
      </c>
      <c r="G1058" s="5">
        <v>80</v>
      </c>
      <c r="H1058" s="5">
        <v>91</v>
      </c>
      <c r="I1058" s="5">
        <v>91</v>
      </c>
      <c r="J1058" s="5">
        <v>0</v>
      </c>
      <c r="K1058" s="8">
        <f t="shared" si="34"/>
        <v>113.75</v>
      </c>
      <c r="L1058" s="8">
        <f t="shared" si="35"/>
        <v>0</v>
      </c>
      <c r="M1058" t="s">
        <v>20</v>
      </c>
      <c r="N1058" t="s">
        <v>421</v>
      </c>
    </row>
    <row r="1059" spans="1:14" x14ac:dyDescent="0.3">
      <c r="A1059" t="s">
        <v>1030</v>
      </c>
      <c r="B1059" s="2">
        <v>46226</v>
      </c>
      <c r="C1059" s="2">
        <v>46231</v>
      </c>
      <c r="D1059" s="1" t="s">
        <v>1025</v>
      </c>
      <c r="E1059" t="s">
        <v>1026</v>
      </c>
      <c r="F1059" t="s">
        <v>420</v>
      </c>
      <c r="G1059" s="5">
        <v>80</v>
      </c>
      <c r="H1059" s="5">
        <v>87</v>
      </c>
      <c r="I1059" s="5">
        <v>87</v>
      </c>
      <c r="J1059" s="5">
        <v>0</v>
      </c>
      <c r="K1059" s="8">
        <f t="shared" si="34"/>
        <v>108.74999999999999</v>
      </c>
      <c r="L1059" s="8">
        <f t="shared" si="35"/>
        <v>0</v>
      </c>
      <c r="M1059" t="s">
        <v>20</v>
      </c>
      <c r="N1059" t="s">
        <v>421</v>
      </c>
    </row>
    <row r="1060" spans="1:14" x14ac:dyDescent="0.3">
      <c r="A1060" t="s">
        <v>1031</v>
      </c>
      <c r="B1060" s="2">
        <v>46231</v>
      </c>
      <c r="C1060" s="2">
        <v>46233</v>
      </c>
      <c r="D1060" s="1" t="s">
        <v>1025</v>
      </c>
      <c r="E1060" t="s">
        <v>1026</v>
      </c>
      <c r="F1060" t="s">
        <v>420</v>
      </c>
      <c r="G1060" s="5">
        <v>80</v>
      </c>
      <c r="H1060" s="5">
        <v>86</v>
      </c>
      <c r="I1060" s="5">
        <v>86</v>
      </c>
      <c r="J1060" s="5">
        <v>0</v>
      </c>
      <c r="K1060" s="8">
        <f t="shared" si="34"/>
        <v>107.5</v>
      </c>
      <c r="L1060" s="8">
        <f t="shared" si="35"/>
        <v>0</v>
      </c>
      <c r="M1060" t="s">
        <v>20</v>
      </c>
      <c r="N1060" t="s">
        <v>421</v>
      </c>
    </row>
    <row r="1061" spans="1:14" x14ac:dyDescent="0.3">
      <c r="A1061" t="s">
        <v>1032</v>
      </c>
      <c r="B1061" s="2">
        <v>46216</v>
      </c>
      <c r="C1061" s="2">
        <v>46217</v>
      </c>
      <c r="D1061" s="1" t="s">
        <v>1033</v>
      </c>
      <c r="E1061" t="s">
        <v>1034</v>
      </c>
      <c r="F1061" t="s">
        <v>438</v>
      </c>
      <c r="G1061" s="5">
        <v>204</v>
      </c>
      <c r="H1061" s="5">
        <v>192</v>
      </c>
      <c r="I1061" s="5">
        <v>184</v>
      </c>
      <c r="J1061" s="5">
        <v>8</v>
      </c>
      <c r="K1061" s="8">
        <f t="shared" si="34"/>
        <v>94.117647058823522</v>
      </c>
      <c r="L1061" s="8">
        <f t="shared" si="35"/>
        <v>4.3478260869565215</v>
      </c>
      <c r="M1061" t="s">
        <v>20</v>
      </c>
      <c r="N1061" t="s">
        <v>421</v>
      </c>
    </row>
    <row r="1062" spans="1:14" x14ac:dyDescent="0.3">
      <c r="A1062" t="s">
        <v>1035</v>
      </c>
      <c r="B1062" s="2">
        <v>46217</v>
      </c>
      <c r="C1062" s="2">
        <v>46218</v>
      </c>
      <c r="D1062" s="1" t="s">
        <v>1033</v>
      </c>
      <c r="E1062" t="s">
        <v>1034</v>
      </c>
      <c r="F1062" t="s">
        <v>438</v>
      </c>
      <c r="G1062" s="5">
        <v>102</v>
      </c>
      <c r="H1062" s="5">
        <v>95</v>
      </c>
      <c r="I1062" s="5">
        <v>93</v>
      </c>
      <c r="J1062" s="5">
        <v>2</v>
      </c>
      <c r="K1062" s="8">
        <f t="shared" si="34"/>
        <v>93.137254901960787</v>
      </c>
      <c r="L1062" s="8">
        <f t="shared" si="35"/>
        <v>2.1505376344086025</v>
      </c>
      <c r="M1062" t="s">
        <v>20</v>
      </c>
      <c r="N1062" t="s">
        <v>421</v>
      </c>
    </row>
    <row r="1063" spans="1:14" x14ac:dyDescent="0.3">
      <c r="A1063" t="s">
        <v>1036</v>
      </c>
      <c r="B1063" s="2">
        <v>46218</v>
      </c>
      <c r="C1063" s="2">
        <v>46219</v>
      </c>
      <c r="D1063" s="1" t="s">
        <v>1033</v>
      </c>
      <c r="E1063" t="s">
        <v>1034</v>
      </c>
      <c r="F1063" t="s">
        <v>438</v>
      </c>
      <c r="G1063" s="5">
        <v>204</v>
      </c>
      <c r="H1063" s="5">
        <v>189</v>
      </c>
      <c r="I1063" s="5">
        <v>186</v>
      </c>
      <c r="J1063" s="5">
        <v>3</v>
      </c>
      <c r="K1063" s="8">
        <f t="shared" si="34"/>
        <v>92.64705882352942</v>
      </c>
      <c r="L1063" s="8">
        <f t="shared" si="35"/>
        <v>1.6129032258064515</v>
      </c>
      <c r="M1063" t="s">
        <v>20</v>
      </c>
      <c r="N1063" t="s">
        <v>421</v>
      </c>
    </row>
    <row r="1064" spans="1:14" x14ac:dyDescent="0.3">
      <c r="A1064" t="s">
        <v>1037</v>
      </c>
      <c r="B1064" s="2">
        <v>46217</v>
      </c>
      <c r="C1064" s="2">
        <v>46218</v>
      </c>
      <c r="D1064" s="1" t="s">
        <v>1033</v>
      </c>
      <c r="E1064" t="s">
        <v>1034</v>
      </c>
      <c r="F1064" t="s">
        <v>438</v>
      </c>
      <c r="G1064" s="5">
        <v>102</v>
      </c>
      <c r="H1064" s="5">
        <v>94</v>
      </c>
      <c r="I1064" s="5">
        <v>93</v>
      </c>
      <c r="J1064" s="5">
        <v>1</v>
      </c>
      <c r="K1064" s="8">
        <f t="shared" si="34"/>
        <v>92.156862745098039</v>
      </c>
      <c r="L1064" s="8">
        <f t="shared" si="35"/>
        <v>1.0752688172043012</v>
      </c>
      <c r="M1064" t="s">
        <v>20</v>
      </c>
      <c r="N1064" t="s">
        <v>421</v>
      </c>
    </row>
    <row r="1065" spans="1:14" x14ac:dyDescent="0.3">
      <c r="A1065" t="s">
        <v>1038</v>
      </c>
      <c r="B1065" s="2">
        <v>46219</v>
      </c>
      <c r="C1065" s="2">
        <v>46221</v>
      </c>
      <c r="D1065" s="1" t="s">
        <v>1033</v>
      </c>
      <c r="E1065" t="s">
        <v>1034</v>
      </c>
      <c r="F1065" t="s">
        <v>438</v>
      </c>
      <c r="G1065" s="5">
        <v>204</v>
      </c>
      <c r="H1065" s="5">
        <v>204</v>
      </c>
      <c r="I1065" s="5">
        <v>198</v>
      </c>
      <c r="J1065" s="5">
        <v>6</v>
      </c>
      <c r="K1065" s="8">
        <f t="shared" si="34"/>
        <v>100</v>
      </c>
      <c r="L1065" s="8">
        <f t="shared" si="35"/>
        <v>3.0303030303030303</v>
      </c>
      <c r="M1065" t="s">
        <v>20</v>
      </c>
      <c r="N1065" t="s">
        <v>421</v>
      </c>
    </row>
    <row r="1066" spans="1:14" x14ac:dyDescent="0.3">
      <c r="A1066" t="s">
        <v>1039</v>
      </c>
      <c r="B1066" s="2">
        <v>46219</v>
      </c>
      <c r="C1066" s="2">
        <v>46221</v>
      </c>
      <c r="D1066" s="1" t="s">
        <v>1033</v>
      </c>
      <c r="E1066" t="s">
        <v>1034</v>
      </c>
      <c r="F1066" t="s">
        <v>438</v>
      </c>
      <c r="G1066" s="5">
        <v>102</v>
      </c>
      <c r="H1066" s="5">
        <v>88</v>
      </c>
      <c r="I1066" s="5">
        <v>85</v>
      </c>
      <c r="J1066" s="5">
        <v>3</v>
      </c>
      <c r="K1066" s="8">
        <f t="shared" si="34"/>
        <v>86.274509803921575</v>
      </c>
      <c r="L1066" s="8">
        <f t="shared" si="35"/>
        <v>3.5294117647058822</v>
      </c>
      <c r="M1066" t="s">
        <v>20</v>
      </c>
      <c r="N1066" t="s">
        <v>421</v>
      </c>
    </row>
    <row r="1067" spans="1:14" x14ac:dyDescent="0.3">
      <c r="A1067" t="s">
        <v>1040</v>
      </c>
      <c r="B1067" s="2">
        <v>46223</v>
      </c>
      <c r="C1067" s="2">
        <v>46224</v>
      </c>
      <c r="D1067" s="1" t="s">
        <v>1033</v>
      </c>
      <c r="E1067" t="s">
        <v>1034</v>
      </c>
      <c r="F1067" t="s">
        <v>438</v>
      </c>
      <c r="G1067" s="5">
        <v>204</v>
      </c>
      <c r="H1067" s="5">
        <v>198</v>
      </c>
      <c r="I1067" s="5">
        <v>190</v>
      </c>
      <c r="J1067" s="5">
        <v>8</v>
      </c>
      <c r="K1067" s="8">
        <f t="shared" si="34"/>
        <v>97.058823529411768</v>
      </c>
      <c r="L1067" s="8">
        <f t="shared" si="35"/>
        <v>4.2105263157894735</v>
      </c>
      <c r="M1067" t="s">
        <v>20</v>
      </c>
      <c r="N1067" t="s">
        <v>421</v>
      </c>
    </row>
    <row r="1068" spans="1:14" x14ac:dyDescent="0.3">
      <c r="A1068" t="s">
        <v>1041</v>
      </c>
      <c r="B1068" s="2">
        <v>46226</v>
      </c>
      <c r="C1068" s="2">
        <v>46230</v>
      </c>
      <c r="D1068" s="1" t="s">
        <v>1033</v>
      </c>
      <c r="E1068" t="s">
        <v>1034</v>
      </c>
      <c r="F1068" t="s">
        <v>438</v>
      </c>
      <c r="G1068" s="5">
        <v>204</v>
      </c>
      <c r="H1068" s="5">
        <v>279</v>
      </c>
      <c r="I1068" s="5">
        <v>275</v>
      </c>
      <c r="J1068" s="5">
        <v>4</v>
      </c>
      <c r="K1068" s="8">
        <f t="shared" si="34"/>
        <v>136.76470588235296</v>
      </c>
      <c r="L1068" s="8">
        <f t="shared" si="35"/>
        <v>1.4545454545454546</v>
      </c>
      <c r="M1068" t="s">
        <v>20</v>
      </c>
      <c r="N1068" t="s">
        <v>421</v>
      </c>
    </row>
    <row r="1069" spans="1:14" x14ac:dyDescent="0.3">
      <c r="A1069" t="s">
        <v>1042</v>
      </c>
      <c r="B1069" s="2">
        <v>46230</v>
      </c>
      <c r="C1069" s="2">
        <v>46232</v>
      </c>
      <c r="D1069" s="1" t="s">
        <v>1033</v>
      </c>
      <c r="E1069" t="s">
        <v>1034</v>
      </c>
      <c r="F1069" t="s">
        <v>438</v>
      </c>
      <c r="G1069" s="5">
        <v>102</v>
      </c>
      <c r="H1069" s="5">
        <v>99</v>
      </c>
      <c r="I1069" s="5">
        <v>97</v>
      </c>
      <c r="J1069" s="5">
        <v>2</v>
      </c>
      <c r="K1069" s="8">
        <f t="shared" si="34"/>
        <v>97.058823529411768</v>
      </c>
      <c r="L1069" s="8">
        <f t="shared" si="35"/>
        <v>2.0618556701030926</v>
      </c>
      <c r="M1069" t="s">
        <v>20</v>
      </c>
      <c r="N1069" t="s">
        <v>421</v>
      </c>
    </row>
    <row r="1070" spans="1:14" x14ac:dyDescent="0.3">
      <c r="A1070" t="s">
        <v>1043</v>
      </c>
      <c r="B1070" s="2">
        <v>46231</v>
      </c>
      <c r="C1070" s="2">
        <v>46232</v>
      </c>
      <c r="D1070" s="1" t="s">
        <v>1033</v>
      </c>
      <c r="E1070" t="s">
        <v>1034</v>
      </c>
      <c r="F1070" t="s">
        <v>438</v>
      </c>
      <c r="G1070" s="5">
        <v>204</v>
      </c>
      <c r="H1070" s="5">
        <v>183</v>
      </c>
      <c r="I1070" s="5">
        <v>174</v>
      </c>
      <c r="J1070" s="5">
        <v>9</v>
      </c>
      <c r="K1070" s="8">
        <f t="shared" si="34"/>
        <v>89.705882352941174</v>
      </c>
      <c r="L1070" s="8">
        <f t="shared" si="35"/>
        <v>5.1724137931034484</v>
      </c>
      <c r="M1070" t="s">
        <v>20</v>
      </c>
      <c r="N1070" t="s">
        <v>421</v>
      </c>
    </row>
    <row r="1071" spans="1:14" x14ac:dyDescent="0.3">
      <c r="A1071" t="s">
        <v>1044</v>
      </c>
      <c r="B1071" s="2">
        <v>46216</v>
      </c>
      <c r="C1071" s="2">
        <v>46217</v>
      </c>
      <c r="D1071" s="1" t="s">
        <v>1045</v>
      </c>
      <c r="E1071" t="s">
        <v>1046</v>
      </c>
      <c r="F1071" t="s">
        <v>438</v>
      </c>
      <c r="G1071" s="5">
        <v>204</v>
      </c>
      <c r="H1071" s="5">
        <v>204</v>
      </c>
      <c r="I1071" s="5">
        <v>204</v>
      </c>
      <c r="J1071" s="5">
        <v>0</v>
      </c>
      <c r="K1071" s="8">
        <f t="shared" si="34"/>
        <v>100</v>
      </c>
      <c r="L1071" s="8">
        <f t="shared" si="35"/>
        <v>0</v>
      </c>
      <c r="M1071" t="s">
        <v>20</v>
      </c>
      <c r="N1071" t="s">
        <v>421</v>
      </c>
    </row>
    <row r="1072" spans="1:14" x14ac:dyDescent="0.3">
      <c r="A1072" t="s">
        <v>1047</v>
      </c>
      <c r="B1072" s="2">
        <v>46218</v>
      </c>
      <c r="C1072" s="2">
        <v>46219</v>
      </c>
      <c r="D1072" s="1" t="s">
        <v>1045</v>
      </c>
      <c r="E1072" t="s">
        <v>1046</v>
      </c>
      <c r="F1072" t="s">
        <v>438</v>
      </c>
      <c r="G1072" s="5">
        <v>204</v>
      </c>
      <c r="H1072" s="5">
        <v>204</v>
      </c>
      <c r="I1072" s="5">
        <v>204</v>
      </c>
      <c r="J1072" s="5">
        <v>0</v>
      </c>
      <c r="K1072" s="8">
        <f t="shared" si="34"/>
        <v>100</v>
      </c>
      <c r="L1072" s="8">
        <f t="shared" si="35"/>
        <v>0</v>
      </c>
      <c r="M1072" t="s">
        <v>20</v>
      </c>
      <c r="N1072" t="s">
        <v>421</v>
      </c>
    </row>
    <row r="1073" spans="1:14" x14ac:dyDescent="0.3">
      <c r="A1073" t="s">
        <v>1048</v>
      </c>
      <c r="B1073" s="2">
        <v>46231</v>
      </c>
      <c r="C1073" s="2">
        <v>46232</v>
      </c>
      <c r="D1073" s="1" t="s">
        <v>1045</v>
      </c>
      <c r="E1073" t="s">
        <v>1046</v>
      </c>
      <c r="F1073" t="s">
        <v>438</v>
      </c>
      <c r="G1073" s="5">
        <v>204</v>
      </c>
      <c r="H1073" s="5">
        <v>204</v>
      </c>
      <c r="I1073" s="5">
        <v>202</v>
      </c>
      <c r="J1073" s="5">
        <v>2</v>
      </c>
      <c r="K1073" s="8">
        <f t="shared" si="34"/>
        <v>100</v>
      </c>
      <c r="L1073" s="8">
        <f t="shared" si="35"/>
        <v>0.99009900990099009</v>
      </c>
      <c r="M1073" t="s">
        <v>20</v>
      </c>
      <c r="N1073" t="s">
        <v>421</v>
      </c>
    </row>
    <row r="1074" spans="1:14" x14ac:dyDescent="0.3">
      <c r="A1074" t="s">
        <v>1049</v>
      </c>
      <c r="B1074" s="2">
        <v>46213</v>
      </c>
      <c r="C1074" s="2">
        <v>46217</v>
      </c>
      <c r="D1074" s="1" t="s">
        <v>1050</v>
      </c>
      <c r="E1074" t="s">
        <v>1051</v>
      </c>
      <c r="F1074" t="s">
        <v>438</v>
      </c>
      <c r="G1074" s="5">
        <v>170</v>
      </c>
      <c r="H1074" s="5">
        <v>168</v>
      </c>
      <c r="I1074" s="5">
        <v>166</v>
      </c>
      <c r="J1074" s="5">
        <v>2</v>
      </c>
      <c r="K1074" s="8">
        <f t="shared" si="34"/>
        <v>98.82352941176471</v>
      </c>
      <c r="L1074" s="8">
        <f t="shared" si="35"/>
        <v>1.2048192771084338</v>
      </c>
      <c r="M1074" t="s">
        <v>20</v>
      </c>
      <c r="N1074" t="s">
        <v>421</v>
      </c>
    </row>
    <row r="1075" spans="1:14" x14ac:dyDescent="0.3">
      <c r="A1075" t="s">
        <v>1052</v>
      </c>
      <c r="B1075" s="2">
        <v>46217</v>
      </c>
      <c r="C1075" s="2">
        <v>46218</v>
      </c>
      <c r="D1075" s="1" t="s">
        <v>1050</v>
      </c>
      <c r="E1075" t="s">
        <v>1051</v>
      </c>
      <c r="F1075" t="s">
        <v>438</v>
      </c>
      <c r="G1075" s="5">
        <v>85</v>
      </c>
      <c r="H1075" s="5">
        <v>84</v>
      </c>
      <c r="I1075" s="5">
        <v>83</v>
      </c>
      <c r="J1075" s="5">
        <v>1</v>
      </c>
      <c r="K1075" s="8">
        <f t="shared" si="34"/>
        <v>98.82352941176471</v>
      </c>
      <c r="L1075" s="8">
        <f t="shared" si="35"/>
        <v>1.2048192771084338</v>
      </c>
      <c r="M1075" t="s">
        <v>20</v>
      </c>
      <c r="N1075" t="s">
        <v>421</v>
      </c>
    </row>
    <row r="1076" spans="1:14" x14ac:dyDescent="0.3">
      <c r="A1076" t="s">
        <v>1053</v>
      </c>
      <c r="B1076" s="2">
        <v>46219</v>
      </c>
      <c r="C1076" s="2">
        <v>46221</v>
      </c>
      <c r="D1076" s="1" t="s">
        <v>1050</v>
      </c>
      <c r="E1076" t="s">
        <v>1051</v>
      </c>
      <c r="F1076" t="s">
        <v>438</v>
      </c>
      <c r="G1076" s="5">
        <v>170</v>
      </c>
      <c r="H1076" s="5">
        <v>168</v>
      </c>
      <c r="I1076" s="5">
        <v>165</v>
      </c>
      <c r="J1076" s="5">
        <v>3</v>
      </c>
      <c r="K1076" s="8">
        <f t="shared" si="34"/>
        <v>98.82352941176471</v>
      </c>
      <c r="L1076" s="8">
        <f t="shared" si="35"/>
        <v>1.8181818181818181</v>
      </c>
      <c r="M1076" t="s">
        <v>20</v>
      </c>
      <c r="N1076" t="s">
        <v>421</v>
      </c>
    </row>
    <row r="1077" spans="1:14" x14ac:dyDescent="0.3">
      <c r="A1077" t="s">
        <v>1054</v>
      </c>
      <c r="B1077" s="2">
        <v>46223</v>
      </c>
      <c r="C1077" s="2">
        <v>46224</v>
      </c>
      <c r="D1077" s="1" t="s">
        <v>1050</v>
      </c>
      <c r="E1077" t="s">
        <v>1051</v>
      </c>
      <c r="F1077" t="s">
        <v>438</v>
      </c>
      <c r="G1077" s="5">
        <v>85</v>
      </c>
      <c r="H1077" s="5">
        <v>82</v>
      </c>
      <c r="I1077" s="5">
        <v>78</v>
      </c>
      <c r="J1077" s="5">
        <v>4</v>
      </c>
      <c r="K1077" s="8">
        <f t="shared" si="34"/>
        <v>96.470588235294116</v>
      </c>
      <c r="L1077" s="8">
        <f t="shared" si="35"/>
        <v>5.1282051282051277</v>
      </c>
      <c r="M1077" t="s">
        <v>20</v>
      </c>
      <c r="N1077" t="s">
        <v>421</v>
      </c>
    </row>
    <row r="1078" spans="1:14" x14ac:dyDescent="0.3">
      <c r="A1078" t="s">
        <v>1055</v>
      </c>
      <c r="B1078" s="2">
        <v>46225</v>
      </c>
      <c r="C1078" s="2">
        <v>46227</v>
      </c>
      <c r="D1078" s="1" t="s">
        <v>1050</v>
      </c>
      <c r="E1078" t="s">
        <v>1051</v>
      </c>
      <c r="F1078" t="s">
        <v>438</v>
      </c>
      <c r="G1078" s="5">
        <v>255</v>
      </c>
      <c r="H1078" s="5">
        <v>252</v>
      </c>
      <c r="I1078" s="5">
        <v>249</v>
      </c>
      <c r="J1078" s="5">
        <v>3</v>
      </c>
      <c r="K1078" s="8">
        <f t="shared" si="34"/>
        <v>98.82352941176471</v>
      </c>
      <c r="L1078" s="8">
        <f t="shared" si="35"/>
        <v>1.2048192771084338</v>
      </c>
      <c r="M1078" t="s">
        <v>20</v>
      </c>
      <c r="N1078" t="s">
        <v>421</v>
      </c>
    </row>
    <row r="1079" spans="1:14" x14ac:dyDescent="0.3">
      <c r="A1079" t="s">
        <v>1056</v>
      </c>
      <c r="B1079" s="2">
        <v>46227</v>
      </c>
      <c r="C1079" s="2">
        <v>46230</v>
      </c>
      <c r="D1079" s="1" t="s">
        <v>1050</v>
      </c>
      <c r="E1079" t="s">
        <v>1051</v>
      </c>
      <c r="F1079" t="s">
        <v>438</v>
      </c>
      <c r="G1079" s="5">
        <v>170</v>
      </c>
      <c r="H1079" s="5">
        <v>158</v>
      </c>
      <c r="I1079" s="5">
        <v>156</v>
      </c>
      <c r="J1079" s="5">
        <v>2</v>
      </c>
      <c r="K1079" s="8">
        <f t="shared" si="34"/>
        <v>92.941176470588232</v>
      </c>
      <c r="L1079" s="8">
        <f t="shared" si="35"/>
        <v>1.2820512820512819</v>
      </c>
      <c r="M1079" t="s">
        <v>20</v>
      </c>
      <c r="N1079" t="s">
        <v>421</v>
      </c>
    </row>
    <row r="1080" spans="1:14" x14ac:dyDescent="0.3">
      <c r="A1080" t="s">
        <v>1057</v>
      </c>
      <c r="B1080" s="2">
        <v>46230</v>
      </c>
      <c r="C1080" s="2">
        <v>46232</v>
      </c>
      <c r="D1080" s="1" t="s">
        <v>1050</v>
      </c>
      <c r="E1080" t="s">
        <v>1051</v>
      </c>
      <c r="F1080" t="s">
        <v>438</v>
      </c>
      <c r="G1080" s="5">
        <v>85</v>
      </c>
      <c r="H1080" s="5">
        <v>83</v>
      </c>
      <c r="I1080" s="5">
        <v>83</v>
      </c>
      <c r="J1080" s="5">
        <v>0</v>
      </c>
      <c r="K1080" s="8">
        <f t="shared" si="34"/>
        <v>97.647058823529406</v>
      </c>
      <c r="L1080" s="8">
        <f t="shared" si="35"/>
        <v>0</v>
      </c>
      <c r="M1080" t="s">
        <v>20</v>
      </c>
      <c r="N1080" t="s">
        <v>421</v>
      </c>
    </row>
    <row r="1081" spans="1:14" x14ac:dyDescent="0.3">
      <c r="A1081" t="s">
        <v>1058</v>
      </c>
      <c r="B1081" s="2">
        <v>46213</v>
      </c>
      <c r="C1081" s="2">
        <v>46217</v>
      </c>
      <c r="D1081" s="1" t="s">
        <v>1059</v>
      </c>
      <c r="E1081" t="s">
        <v>1060</v>
      </c>
      <c r="F1081" t="s">
        <v>438</v>
      </c>
      <c r="G1081" s="5">
        <v>137</v>
      </c>
      <c r="H1081" s="5">
        <v>164</v>
      </c>
      <c r="I1081" s="5">
        <v>160</v>
      </c>
      <c r="J1081" s="5">
        <v>4</v>
      </c>
      <c r="K1081" s="8">
        <f t="shared" si="34"/>
        <v>119.70802919708031</v>
      </c>
      <c r="L1081" s="8">
        <f t="shared" si="35"/>
        <v>2.5</v>
      </c>
      <c r="M1081" t="s">
        <v>20</v>
      </c>
      <c r="N1081" t="s">
        <v>421</v>
      </c>
    </row>
    <row r="1082" spans="1:14" x14ac:dyDescent="0.3">
      <c r="A1082" t="s">
        <v>1061</v>
      </c>
      <c r="B1082" s="2">
        <v>46216</v>
      </c>
      <c r="C1082" s="2">
        <v>46217</v>
      </c>
      <c r="D1082" s="1" t="s">
        <v>1059</v>
      </c>
      <c r="E1082" t="s">
        <v>1060</v>
      </c>
      <c r="F1082" t="s">
        <v>438</v>
      </c>
      <c r="G1082" s="5">
        <v>137</v>
      </c>
      <c r="H1082" s="5">
        <v>160</v>
      </c>
      <c r="I1082" s="5">
        <v>155</v>
      </c>
      <c r="J1082" s="5">
        <v>5</v>
      </c>
      <c r="K1082" s="8">
        <f t="shared" si="34"/>
        <v>116.7883211678832</v>
      </c>
      <c r="L1082" s="8">
        <f t="shared" si="35"/>
        <v>3.225806451612903</v>
      </c>
      <c r="M1082" t="s">
        <v>20</v>
      </c>
      <c r="N1082" t="s">
        <v>421</v>
      </c>
    </row>
    <row r="1083" spans="1:14" x14ac:dyDescent="0.3">
      <c r="A1083" t="s">
        <v>1062</v>
      </c>
      <c r="B1083" s="2">
        <v>46218</v>
      </c>
      <c r="C1083" s="2">
        <v>46219</v>
      </c>
      <c r="D1083" s="1" t="s">
        <v>1059</v>
      </c>
      <c r="E1083" t="s">
        <v>1060</v>
      </c>
      <c r="F1083" t="s">
        <v>438</v>
      </c>
      <c r="G1083" s="5">
        <v>137</v>
      </c>
      <c r="H1083" s="5">
        <v>162</v>
      </c>
      <c r="I1083" s="5">
        <v>157</v>
      </c>
      <c r="J1083" s="5">
        <v>5</v>
      </c>
      <c r="K1083" s="8">
        <f t="shared" si="34"/>
        <v>118.24817518248176</v>
      </c>
      <c r="L1083" s="8">
        <f t="shared" si="35"/>
        <v>3.1847133757961785</v>
      </c>
      <c r="M1083" t="s">
        <v>20</v>
      </c>
      <c r="N1083" t="s">
        <v>421</v>
      </c>
    </row>
    <row r="1084" spans="1:14" x14ac:dyDescent="0.3">
      <c r="A1084" t="s">
        <v>1063</v>
      </c>
      <c r="B1084" s="2">
        <v>46219</v>
      </c>
      <c r="C1084" s="2">
        <v>46221</v>
      </c>
      <c r="D1084" s="1" t="s">
        <v>1059</v>
      </c>
      <c r="E1084" t="s">
        <v>1060</v>
      </c>
      <c r="F1084" t="s">
        <v>438</v>
      </c>
      <c r="G1084" s="5">
        <v>137</v>
      </c>
      <c r="H1084" s="5">
        <v>152</v>
      </c>
      <c r="I1084" s="5">
        <v>152</v>
      </c>
      <c r="J1084" s="5">
        <v>0</v>
      </c>
      <c r="K1084" s="8">
        <f t="shared" ref="K1084:K1141" si="36">(H1084/G1084)*100</f>
        <v>110.94890510948905</v>
      </c>
      <c r="L1084" s="8">
        <f t="shared" si="35"/>
        <v>0</v>
      </c>
      <c r="M1084" t="s">
        <v>20</v>
      </c>
      <c r="N1084" t="s">
        <v>421</v>
      </c>
    </row>
    <row r="1085" spans="1:14" x14ac:dyDescent="0.3">
      <c r="A1085" t="s">
        <v>1064</v>
      </c>
      <c r="B1085" s="2">
        <v>46223</v>
      </c>
      <c r="C1085" s="2">
        <v>46224</v>
      </c>
      <c r="D1085" s="1" t="s">
        <v>1059</v>
      </c>
      <c r="E1085" t="s">
        <v>1060</v>
      </c>
      <c r="F1085" t="s">
        <v>438</v>
      </c>
      <c r="G1085" s="5">
        <v>137</v>
      </c>
      <c r="H1085" s="5">
        <v>162</v>
      </c>
      <c r="I1085" s="5">
        <v>158</v>
      </c>
      <c r="J1085" s="5">
        <v>4</v>
      </c>
      <c r="K1085" s="8">
        <f t="shared" si="36"/>
        <v>118.24817518248176</v>
      </c>
      <c r="L1085" s="8">
        <f t="shared" ref="L1085:L1141" si="37">((H1085-I1085)/I1085)*100</f>
        <v>2.5316455696202533</v>
      </c>
      <c r="M1085" t="s">
        <v>20</v>
      </c>
      <c r="N1085" t="s">
        <v>421</v>
      </c>
    </row>
    <row r="1086" spans="1:14" x14ac:dyDescent="0.3">
      <c r="A1086" t="s">
        <v>1065</v>
      </c>
      <c r="B1086" s="2">
        <v>46225</v>
      </c>
      <c r="C1086" s="2">
        <v>46227</v>
      </c>
      <c r="D1086" s="1" t="s">
        <v>1059</v>
      </c>
      <c r="E1086" t="s">
        <v>1060</v>
      </c>
      <c r="F1086" t="s">
        <v>438</v>
      </c>
      <c r="G1086" s="5">
        <v>137</v>
      </c>
      <c r="H1086" s="5">
        <v>150</v>
      </c>
      <c r="I1086" s="5">
        <v>143</v>
      </c>
      <c r="J1086" s="5">
        <v>7</v>
      </c>
      <c r="K1086" s="8">
        <f t="shared" si="36"/>
        <v>109.48905109489051</v>
      </c>
      <c r="L1086" s="8">
        <f t="shared" si="37"/>
        <v>4.895104895104895</v>
      </c>
      <c r="M1086" t="s">
        <v>20</v>
      </c>
      <c r="N1086" t="s">
        <v>421</v>
      </c>
    </row>
    <row r="1087" spans="1:14" x14ac:dyDescent="0.3">
      <c r="A1087" t="s">
        <v>1066</v>
      </c>
      <c r="B1087" s="2">
        <v>46227</v>
      </c>
      <c r="C1087" s="2">
        <v>46230</v>
      </c>
      <c r="D1087" s="1" t="s">
        <v>1059</v>
      </c>
      <c r="E1087" t="s">
        <v>1060</v>
      </c>
      <c r="F1087" t="s">
        <v>438</v>
      </c>
      <c r="G1087" s="5">
        <v>137</v>
      </c>
      <c r="H1087" s="5">
        <v>160</v>
      </c>
      <c r="I1087" s="5">
        <v>156</v>
      </c>
      <c r="J1087" s="5">
        <v>4</v>
      </c>
      <c r="K1087" s="8">
        <f t="shared" si="36"/>
        <v>116.7883211678832</v>
      </c>
      <c r="L1087" s="8">
        <f t="shared" si="37"/>
        <v>2.5641025641025639</v>
      </c>
      <c r="M1087" t="s">
        <v>20</v>
      </c>
      <c r="N1087" t="s">
        <v>421</v>
      </c>
    </row>
    <row r="1088" spans="1:14" x14ac:dyDescent="0.3">
      <c r="A1088" t="s">
        <v>1067</v>
      </c>
      <c r="B1088" s="2">
        <v>46230</v>
      </c>
      <c r="C1088" s="2">
        <v>46232</v>
      </c>
      <c r="D1088" s="1" t="s">
        <v>1059</v>
      </c>
      <c r="E1088" t="s">
        <v>1060</v>
      </c>
      <c r="F1088" t="s">
        <v>438</v>
      </c>
      <c r="G1088" s="5">
        <v>137</v>
      </c>
      <c r="H1088" s="5">
        <v>160</v>
      </c>
      <c r="I1088" s="5">
        <v>160</v>
      </c>
      <c r="J1088" s="5">
        <v>0</v>
      </c>
      <c r="K1088" s="8">
        <f t="shared" si="36"/>
        <v>116.7883211678832</v>
      </c>
      <c r="L1088" s="8">
        <f t="shared" si="37"/>
        <v>0</v>
      </c>
      <c r="M1088" t="s">
        <v>20</v>
      </c>
      <c r="N1088" t="s">
        <v>421</v>
      </c>
    </row>
    <row r="1089" spans="1:14" x14ac:dyDescent="0.3">
      <c r="A1089" t="s">
        <v>1068</v>
      </c>
      <c r="B1089" s="2">
        <v>46220</v>
      </c>
      <c r="C1089" s="2">
        <v>46221</v>
      </c>
      <c r="D1089" s="1" t="s">
        <v>1069</v>
      </c>
      <c r="E1089" t="s">
        <v>1070</v>
      </c>
      <c r="F1089" t="s">
        <v>491</v>
      </c>
      <c r="G1089" s="5">
        <v>197</v>
      </c>
      <c r="H1089" s="5">
        <v>213</v>
      </c>
      <c r="I1089" s="5">
        <v>197</v>
      </c>
      <c r="J1089" s="5">
        <v>16</v>
      </c>
      <c r="K1089" s="8">
        <f t="shared" si="36"/>
        <v>108.12182741116752</v>
      </c>
      <c r="L1089" s="8">
        <f t="shared" si="37"/>
        <v>8.1218274111675122</v>
      </c>
      <c r="M1089" t="s">
        <v>20</v>
      </c>
      <c r="N1089" t="s">
        <v>421</v>
      </c>
    </row>
    <row r="1090" spans="1:14" x14ac:dyDescent="0.3">
      <c r="A1090" t="s">
        <v>1071</v>
      </c>
      <c r="B1090" s="2">
        <v>46232</v>
      </c>
      <c r="C1090" s="2">
        <v>46233</v>
      </c>
      <c r="D1090" s="1" t="s">
        <v>1069</v>
      </c>
      <c r="E1090" t="s">
        <v>1070</v>
      </c>
      <c r="F1090" t="s">
        <v>491</v>
      </c>
      <c r="G1090" s="5">
        <v>181</v>
      </c>
      <c r="H1090" s="5">
        <v>181</v>
      </c>
      <c r="I1090" s="5">
        <v>181</v>
      </c>
      <c r="J1090" s="5">
        <v>0</v>
      </c>
      <c r="K1090" s="8">
        <f t="shared" si="36"/>
        <v>100</v>
      </c>
      <c r="L1090" s="8">
        <f t="shared" si="37"/>
        <v>0</v>
      </c>
      <c r="M1090" t="s">
        <v>20</v>
      </c>
      <c r="N1090" t="s">
        <v>421</v>
      </c>
    </row>
    <row r="1091" spans="1:14" x14ac:dyDescent="0.3">
      <c r="A1091" t="s">
        <v>1072</v>
      </c>
      <c r="B1091" s="2">
        <v>46216</v>
      </c>
      <c r="C1091" s="2">
        <v>46217</v>
      </c>
      <c r="D1091" s="1" t="s">
        <v>1073</v>
      </c>
      <c r="E1091" t="s">
        <v>1074</v>
      </c>
      <c r="F1091" t="s">
        <v>677</v>
      </c>
      <c r="G1091" s="5">
        <v>8400</v>
      </c>
      <c r="H1091" s="5">
        <v>8460</v>
      </c>
      <c r="I1091" s="5">
        <v>8445</v>
      </c>
      <c r="J1091" s="5">
        <v>15</v>
      </c>
      <c r="K1091" s="8">
        <f t="shared" si="36"/>
        <v>100.71428571428571</v>
      </c>
      <c r="L1091" s="8">
        <f t="shared" si="37"/>
        <v>0.17761989342806395</v>
      </c>
      <c r="M1091" t="s">
        <v>20</v>
      </c>
      <c r="N1091" t="s">
        <v>421</v>
      </c>
    </row>
    <row r="1092" spans="1:14" x14ac:dyDescent="0.3">
      <c r="A1092" t="s">
        <v>1075</v>
      </c>
      <c r="B1092" s="2">
        <v>46223</v>
      </c>
      <c r="C1092" s="2">
        <v>46226</v>
      </c>
      <c r="D1092" s="1" t="s">
        <v>1073</v>
      </c>
      <c r="E1092" t="s">
        <v>1074</v>
      </c>
      <c r="F1092" t="s">
        <v>677</v>
      </c>
      <c r="G1092" s="5">
        <v>3600</v>
      </c>
      <c r="H1092" s="5">
        <v>3572</v>
      </c>
      <c r="I1092" s="5">
        <v>3570</v>
      </c>
      <c r="J1092" s="5">
        <v>2</v>
      </c>
      <c r="K1092" s="8">
        <f t="shared" si="36"/>
        <v>99.222222222222229</v>
      </c>
      <c r="L1092" s="8">
        <f t="shared" si="37"/>
        <v>5.6022408963585429E-2</v>
      </c>
      <c r="M1092" t="s">
        <v>20</v>
      </c>
      <c r="N1092" t="s">
        <v>421</v>
      </c>
    </row>
    <row r="1093" spans="1:14" x14ac:dyDescent="0.3">
      <c r="A1093" t="s">
        <v>1076</v>
      </c>
      <c r="B1093" s="2">
        <v>46224</v>
      </c>
      <c r="C1093" s="2">
        <v>46225</v>
      </c>
      <c r="D1093" s="1" t="s">
        <v>1073</v>
      </c>
      <c r="E1093" t="s">
        <v>1074</v>
      </c>
      <c r="F1093" t="s">
        <v>677</v>
      </c>
      <c r="G1093" s="5">
        <v>1800</v>
      </c>
      <c r="H1093" s="5">
        <v>1758</v>
      </c>
      <c r="I1093" s="5">
        <v>1755</v>
      </c>
      <c r="J1093" s="5">
        <v>3</v>
      </c>
      <c r="K1093" s="8">
        <f t="shared" si="36"/>
        <v>97.666666666666671</v>
      </c>
      <c r="L1093" s="8">
        <f t="shared" si="37"/>
        <v>0.17094017094017094</v>
      </c>
      <c r="M1093" t="s">
        <v>20</v>
      </c>
      <c r="N1093" t="s">
        <v>421</v>
      </c>
    </row>
    <row r="1094" spans="1:14" x14ac:dyDescent="0.3">
      <c r="A1094" t="s">
        <v>1077</v>
      </c>
      <c r="B1094" s="2">
        <v>46225</v>
      </c>
      <c r="C1094" s="2">
        <v>46226</v>
      </c>
      <c r="D1094" s="1" t="s">
        <v>1073</v>
      </c>
      <c r="E1094" t="s">
        <v>1074</v>
      </c>
      <c r="F1094" t="s">
        <v>677</v>
      </c>
      <c r="G1094" s="5">
        <v>1800</v>
      </c>
      <c r="H1094" s="5">
        <v>1965</v>
      </c>
      <c r="I1094" s="5">
        <v>1965</v>
      </c>
      <c r="J1094" s="5">
        <v>0</v>
      </c>
      <c r="K1094" s="8">
        <f t="shared" si="36"/>
        <v>109.16666666666666</v>
      </c>
      <c r="L1094" s="8">
        <f t="shared" si="37"/>
        <v>0</v>
      </c>
      <c r="M1094" t="s">
        <v>20</v>
      </c>
      <c r="N1094" t="s">
        <v>421</v>
      </c>
    </row>
    <row r="1095" spans="1:14" x14ac:dyDescent="0.3">
      <c r="A1095" t="s">
        <v>1078</v>
      </c>
      <c r="B1095" s="2">
        <v>46230</v>
      </c>
      <c r="C1095" s="2">
        <v>46231</v>
      </c>
      <c r="D1095" s="1" t="s">
        <v>1073</v>
      </c>
      <c r="E1095" t="s">
        <v>1074</v>
      </c>
      <c r="F1095" t="s">
        <v>677</v>
      </c>
      <c r="G1095" s="5">
        <v>6000</v>
      </c>
      <c r="H1095" s="5">
        <v>5824</v>
      </c>
      <c r="I1095" s="5">
        <v>5820</v>
      </c>
      <c r="J1095" s="5">
        <v>4</v>
      </c>
      <c r="K1095" s="8">
        <f t="shared" si="36"/>
        <v>97.066666666666663</v>
      </c>
      <c r="L1095" s="8">
        <f t="shared" si="37"/>
        <v>6.8728522336769765E-2</v>
      </c>
      <c r="M1095" t="s">
        <v>20</v>
      </c>
      <c r="N1095" t="s">
        <v>421</v>
      </c>
    </row>
    <row r="1096" spans="1:14" x14ac:dyDescent="0.3">
      <c r="A1096" t="s">
        <v>1079</v>
      </c>
      <c r="B1096" s="2">
        <v>46232</v>
      </c>
      <c r="C1096" s="2">
        <v>46233</v>
      </c>
      <c r="D1096" s="1" t="s">
        <v>1073</v>
      </c>
      <c r="E1096" t="s">
        <v>1074</v>
      </c>
      <c r="F1096" t="s">
        <v>677</v>
      </c>
      <c r="G1096" s="5">
        <v>600</v>
      </c>
      <c r="H1096" s="5">
        <v>570</v>
      </c>
      <c r="I1096" s="5">
        <v>570</v>
      </c>
      <c r="J1096" s="5">
        <v>0</v>
      </c>
      <c r="K1096" s="8">
        <f t="shared" si="36"/>
        <v>95</v>
      </c>
      <c r="L1096" s="8">
        <f t="shared" si="37"/>
        <v>0</v>
      </c>
      <c r="M1096" t="s">
        <v>20</v>
      </c>
      <c r="N1096" t="s">
        <v>421</v>
      </c>
    </row>
    <row r="1097" spans="1:14" x14ac:dyDescent="0.3">
      <c r="A1097" t="s">
        <v>1080</v>
      </c>
      <c r="B1097" s="2">
        <v>46226</v>
      </c>
      <c r="C1097" s="2">
        <v>46227</v>
      </c>
      <c r="D1097" s="1" t="s">
        <v>1081</v>
      </c>
      <c r="E1097" t="s">
        <v>1189</v>
      </c>
      <c r="F1097" t="s">
        <v>677</v>
      </c>
      <c r="G1097" s="5">
        <v>1600</v>
      </c>
      <c r="H1097" s="5">
        <v>1536</v>
      </c>
      <c r="I1097" s="5">
        <v>1530</v>
      </c>
      <c r="J1097" s="5">
        <v>6</v>
      </c>
      <c r="K1097" s="8">
        <f t="shared" si="36"/>
        <v>96</v>
      </c>
      <c r="L1097" s="8">
        <f t="shared" si="37"/>
        <v>0.39215686274509803</v>
      </c>
      <c r="M1097" t="s">
        <v>20</v>
      </c>
      <c r="N1097" t="s">
        <v>421</v>
      </c>
    </row>
    <row r="1098" spans="1:14" x14ac:dyDescent="0.3">
      <c r="A1098" t="s">
        <v>1082</v>
      </c>
      <c r="B1098" s="2">
        <v>46230</v>
      </c>
      <c r="C1098" s="2">
        <v>46233</v>
      </c>
      <c r="D1098" s="1" t="s">
        <v>1081</v>
      </c>
      <c r="E1098" t="s">
        <v>1189</v>
      </c>
      <c r="F1098" t="s">
        <v>677</v>
      </c>
      <c r="G1098" s="5">
        <v>2400</v>
      </c>
      <c r="H1098" s="5">
        <v>2378</v>
      </c>
      <c r="I1098" s="5">
        <v>2370</v>
      </c>
      <c r="J1098" s="5">
        <v>8</v>
      </c>
      <c r="K1098" s="8">
        <f t="shared" si="36"/>
        <v>99.083333333333329</v>
      </c>
      <c r="L1098" s="8">
        <f t="shared" si="37"/>
        <v>0.33755274261603374</v>
      </c>
      <c r="M1098" t="s">
        <v>20</v>
      </c>
      <c r="N1098" t="s">
        <v>421</v>
      </c>
    </row>
    <row r="1099" spans="1:14" x14ac:dyDescent="0.3">
      <c r="A1099" t="s">
        <v>1083</v>
      </c>
      <c r="B1099" s="2">
        <v>46231</v>
      </c>
      <c r="C1099" s="2">
        <v>46232</v>
      </c>
      <c r="D1099" s="1" t="s">
        <v>1081</v>
      </c>
      <c r="E1099" t="s">
        <v>1189</v>
      </c>
      <c r="F1099" t="s">
        <v>677</v>
      </c>
      <c r="G1099" s="5">
        <v>1600</v>
      </c>
      <c r="H1099" s="5">
        <v>1655</v>
      </c>
      <c r="I1099" s="5">
        <v>1650</v>
      </c>
      <c r="J1099" s="5">
        <v>5</v>
      </c>
      <c r="K1099" s="8">
        <f t="shared" si="36"/>
        <v>103.4375</v>
      </c>
      <c r="L1099" s="8">
        <f t="shared" si="37"/>
        <v>0.30303030303030304</v>
      </c>
      <c r="M1099" t="s">
        <v>20</v>
      </c>
      <c r="N1099" t="s">
        <v>421</v>
      </c>
    </row>
    <row r="1100" spans="1:14" x14ac:dyDescent="0.3">
      <c r="A1100" t="s">
        <v>1084</v>
      </c>
      <c r="B1100" s="2">
        <v>46216</v>
      </c>
      <c r="C1100" s="2">
        <v>46217</v>
      </c>
      <c r="D1100" s="1" t="s">
        <v>1085</v>
      </c>
      <c r="E1100" t="s">
        <v>1086</v>
      </c>
      <c r="F1100" t="s">
        <v>438</v>
      </c>
      <c r="G1100" s="5">
        <v>1200</v>
      </c>
      <c r="H1100" s="5">
        <v>1161</v>
      </c>
      <c r="I1100" s="5">
        <v>1148</v>
      </c>
      <c r="J1100" s="5">
        <v>13</v>
      </c>
      <c r="K1100" s="8">
        <f t="shared" si="36"/>
        <v>96.75</v>
      </c>
      <c r="L1100" s="8">
        <f t="shared" si="37"/>
        <v>1.132404181184669</v>
      </c>
      <c r="M1100" t="s">
        <v>20</v>
      </c>
      <c r="N1100" t="s">
        <v>421</v>
      </c>
    </row>
    <row r="1101" spans="1:14" x14ac:dyDescent="0.3">
      <c r="A1101" t="s">
        <v>1087</v>
      </c>
      <c r="B1101" s="2">
        <v>46217</v>
      </c>
      <c r="C1101" s="2">
        <v>46218</v>
      </c>
      <c r="D1101" s="1" t="s">
        <v>1085</v>
      </c>
      <c r="E1101" t="s">
        <v>1086</v>
      </c>
      <c r="F1101" t="s">
        <v>438</v>
      </c>
      <c r="G1101" s="5">
        <v>600</v>
      </c>
      <c r="H1101" s="5">
        <v>584</v>
      </c>
      <c r="I1101" s="5">
        <v>584</v>
      </c>
      <c r="J1101" s="5">
        <v>0</v>
      </c>
      <c r="K1101" s="8">
        <f t="shared" si="36"/>
        <v>97.333333333333343</v>
      </c>
      <c r="L1101" s="8">
        <f t="shared" si="37"/>
        <v>0</v>
      </c>
      <c r="M1101" t="s">
        <v>20</v>
      </c>
      <c r="N1101" t="s">
        <v>421</v>
      </c>
    </row>
    <row r="1102" spans="1:14" x14ac:dyDescent="0.3">
      <c r="A1102" t="s">
        <v>1088</v>
      </c>
      <c r="B1102" s="2">
        <v>46225</v>
      </c>
      <c r="C1102" s="2">
        <v>46226</v>
      </c>
      <c r="D1102" s="1" t="s">
        <v>1085</v>
      </c>
      <c r="E1102" t="s">
        <v>1086</v>
      </c>
      <c r="F1102" t="s">
        <v>438</v>
      </c>
      <c r="G1102" s="5">
        <v>600</v>
      </c>
      <c r="H1102" s="5">
        <v>594</v>
      </c>
      <c r="I1102" s="5">
        <v>584</v>
      </c>
      <c r="J1102" s="5">
        <v>10</v>
      </c>
      <c r="K1102" s="8">
        <f t="shared" si="36"/>
        <v>99</v>
      </c>
      <c r="L1102" s="8">
        <f t="shared" si="37"/>
        <v>1.7123287671232876</v>
      </c>
      <c r="M1102" t="s">
        <v>20</v>
      </c>
      <c r="N1102" t="s">
        <v>421</v>
      </c>
    </row>
    <row r="1103" spans="1:14" x14ac:dyDescent="0.3">
      <c r="A1103" t="s">
        <v>1089</v>
      </c>
      <c r="B1103" s="2">
        <v>46230</v>
      </c>
      <c r="C1103" s="2">
        <v>46231</v>
      </c>
      <c r="D1103" s="1" t="s">
        <v>1085</v>
      </c>
      <c r="E1103" t="s">
        <v>1086</v>
      </c>
      <c r="F1103" t="s">
        <v>438</v>
      </c>
      <c r="G1103" s="5">
        <v>600</v>
      </c>
      <c r="H1103" s="5">
        <v>598</v>
      </c>
      <c r="I1103" s="5">
        <v>596</v>
      </c>
      <c r="J1103" s="5">
        <v>2</v>
      </c>
      <c r="K1103" s="8">
        <f t="shared" si="36"/>
        <v>99.666666666666671</v>
      </c>
      <c r="L1103" s="8">
        <f t="shared" si="37"/>
        <v>0.33557046979865773</v>
      </c>
      <c r="M1103" t="s">
        <v>20</v>
      </c>
      <c r="N1103" t="s">
        <v>421</v>
      </c>
    </row>
    <row r="1104" spans="1:14" x14ac:dyDescent="0.3">
      <c r="A1104" t="s">
        <v>1090</v>
      </c>
      <c r="B1104" s="2">
        <v>46232</v>
      </c>
      <c r="C1104" s="2">
        <v>46233</v>
      </c>
      <c r="D1104" s="1" t="s">
        <v>1085</v>
      </c>
      <c r="E1104" t="s">
        <v>1086</v>
      </c>
      <c r="F1104" t="s">
        <v>438</v>
      </c>
      <c r="G1104" s="5">
        <v>600</v>
      </c>
      <c r="H1104" s="5">
        <v>600</v>
      </c>
      <c r="I1104" s="5">
        <v>600</v>
      </c>
      <c r="J1104" s="5">
        <v>0</v>
      </c>
      <c r="K1104" s="8">
        <f t="shared" si="36"/>
        <v>100</v>
      </c>
      <c r="L1104" s="8">
        <f t="shared" si="37"/>
        <v>0</v>
      </c>
      <c r="M1104" t="s">
        <v>20</v>
      </c>
      <c r="N1104" t="s">
        <v>421</v>
      </c>
    </row>
    <row r="1105" spans="1:14" x14ac:dyDescent="0.3">
      <c r="A1105" t="s">
        <v>1091</v>
      </c>
      <c r="B1105" s="2">
        <v>46213</v>
      </c>
      <c r="C1105" s="2">
        <v>46217</v>
      </c>
      <c r="D1105" s="1" t="s">
        <v>1092</v>
      </c>
      <c r="E1105" t="s">
        <v>1093</v>
      </c>
      <c r="F1105" t="s">
        <v>438</v>
      </c>
      <c r="G1105" s="5">
        <v>112</v>
      </c>
      <c r="H1105" s="5">
        <v>98</v>
      </c>
      <c r="I1105" s="5">
        <v>95</v>
      </c>
      <c r="J1105" s="5">
        <v>3</v>
      </c>
      <c r="K1105" s="8">
        <f t="shared" si="36"/>
        <v>87.5</v>
      </c>
      <c r="L1105" s="8">
        <f t="shared" si="37"/>
        <v>3.1578947368421053</v>
      </c>
      <c r="M1105" t="s">
        <v>20</v>
      </c>
      <c r="N1105" t="s">
        <v>421</v>
      </c>
    </row>
    <row r="1106" spans="1:14" x14ac:dyDescent="0.3">
      <c r="A1106" t="s">
        <v>1094</v>
      </c>
      <c r="B1106" s="2">
        <v>46217</v>
      </c>
      <c r="C1106" s="2">
        <v>46218</v>
      </c>
      <c r="D1106" s="1" t="s">
        <v>1092</v>
      </c>
      <c r="E1106" t="s">
        <v>1093</v>
      </c>
      <c r="F1106" t="s">
        <v>438</v>
      </c>
      <c r="G1106" s="5">
        <v>112</v>
      </c>
      <c r="H1106" s="5">
        <v>104</v>
      </c>
      <c r="I1106" s="5">
        <v>104</v>
      </c>
      <c r="J1106" s="5">
        <v>0</v>
      </c>
      <c r="K1106" s="8">
        <f t="shared" si="36"/>
        <v>92.857142857142861</v>
      </c>
      <c r="L1106" s="8">
        <f t="shared" si="37"/>
        <v>0</v>
      </c>
      <c r="M1106" t="s">
        <v>20</v>
      </c>
      <c r="N1106" t="s">
        <v>421</v>
      </c>
    </row>
    <row r="1107" spans="1:14" x14ac:dyDescent="0.3">
      <c r="A1107" t="s">
        <v>1095</v>
      </c>
      <c r="B1107" s="2">
        <v>46226</v>
      </c>
      <c r="C1107" s="2">
        <v>46228</v>
      </c>
      <c r="D1107" s="1" t="s">
        <v>1092</v>
      </c>
      <c r="E1107" t="s">
        <v>1093</v>
      </c>
      <c r="F1107" t="s">
        <v>438</v>
      </c>
      <c r="G1107" s="5">
        <v>112</v>
      </c>
      <c r="H1107" s="5">
        <v>104</v>
      </c>
      <c r="I1107" s="5">
        <v>104</v>
      </c>
      <c r="J1107" s="5">
        <v>0</v>
      </c>
      <c r="K1107" s="8">
        <f t="shared" si="36"/>
        <v>92.857142857142861</v>
      </c>
      <c r="L1107" s="8">
        <f t="shared" si="37"/>
        <v>0</v>
      </c>
      <c r="M1107" t="s">
        <v>20</v>
      </c>
      <c r="N1107" t="s">
        <v>421</v>
      </c>
    </row>
    <row r="1108" spans="1:14" x14ac:dyDescent="0.3">
      <c r="A1108" t="s">
        <v>1096</v>
      </c>
      <c r="B1108" s="2">
        <v>46227</v>
      </c>
      <c r="C1108" s="2">
        <v>46230</v>
      </c>
      <c r="D1108" s="1" t="s">
        <v>1092</v>
      </c>
      <c r="E1108" t="s">
        <v>1093</v>
      </c>
      <c r="F1108" t="s">
        <v>438</v>
      </c>
      <c r="G1108" s="5">
        <v>112</v>
      </c>
      <c r="H1108" s="5">
        <v>108</v>
      </c>
      <c r="I1108" s="5">
        <v>107</v>
      </c>
      <c r="J1108" s="5">
        <v>1</v>
      </c>
      <c r="K1108" s="8">
        <f t="shared" si="36"/>
        <v>96.428571428571431</v>
      </c>
      <c r="L1108" s="8">
        <f t="shared" si="37"/>
        <v>0.93457943925233633</v>
      </c>
      <c r="M1108" t="s">
        <v>20</v>
      </c>
      <c r="N1108" t="s">
        <v>421</v>
      </c>
    </row>
    <row r="1109" spans="1:14" x14ac:dyDescent="0.3">
      <c r="A1109" t="s">
        <v>1097</v>
      </c>
      <c r="B1109" s="2">
        <v>46216</v>
      </c>
      <c r="C1109" s="2">
        <v>46217</v>
      </c>
      <c r="D1109" s="1" t="s">
        <v>1098</v>
      </c>
      <c r="E1109" t="s">
        <v>1099</v>
      </c>
      <c r="F1109" t="s">
        <v>438</v>
      </c>
      <c r="G1109" s="5">
        <v>1200</v>
      </c>
      <c r="H1109" s="5">
        <v>1269</v>
      </c>
      <c r="I1109" s="5">
        <v>1220</v>
      </c>
      <c r="J1109" s="5">
        <v>49</v>
      </c>
      <c r="K1109" s="8">
        <f t="shared" si="36"/>
        <v>105.75000000000001</v>
      </c>
      <c r="L1109" s="8">
        <f t="shared" si="37"/>
        <v>4.0163934426229506</v>
      </c>
      <c r="M1109" t="s">
        <v>20</v>
      </c>
      <c r="N1109" t="s">
        <v>421</v>
      </c>
    </row>
    <row r="1110" spans="1:14" x14ac:dyDescent="0.3">
      <c r="A1110" t="s">
        <v>1100</v>
      </c>
      <c r="B1110" s="2">
        <v>46225</v>
      </c>
      <c r="C1110" s="2">
        <v>46226</v>
      </c>
      <c r="D1110" s="1" t="s">
        <v>1098</v>
      </c>
      <c r="E1110" t="s">
        <v>1099</v>
      </c>
      <c r="F1110" t="s">
        <v>438</v>
      </c>
      <c r="G1110" s="5">
        <v>1200</v>
      </c>
      <c r="H1110" s="5">
        <v>1235</v>
      </c>
      <c r="I1110" s="5">
        <v>1160</v>
      </c>
      <c r="J1110" s="5">
        <v>75</v>
      </c>
      <c r="K1110" s="8">
        <f t="shared" si="36"/>
        <v>102.91666666666666</v>
      </c>
      <c r="L1110" s="8">
        <f t="shared" si="37"/>
        <v>6.4655172413793105</v>
      </c>
      <c r="M1110" t="s">
        <v>20</v>
      </c>
      <c r="N1110" t="s">
        <v>421</v>
      </c>
    </row>
    <row r="1111" spans="1:14" x14ac:dyDescent="0.3">
      <c r="A1111" t="s">
        <v>1101</v>
      </c>
      <c r="B1111" s="2">
        <v>46218</v>
      </c>
      <c r="C1111" s="2">
        <v>46219</v>
      </c>
      <c r="D1111" s="1" t="s">
        <v>376</v>
      </c>
      <c r="E1111" t="s">
        <v>377</v>
      </c>
      <c r="F1111" t="s">
        <v>495</v>
      </c>
      <c r="G1111" s="5">
        <v>310</v>
      </c>
      <c r="H1111" s="5">
        <v>300</v>
      </c>
      <c r="I1111" s="5">
        <v>280</v>
      </c>
      <c r="J1111" s="5">
        <v>20</v>
      </c>
      <c r="K1111" s="8">
        <f t="shared" si="36"/>
        <v>96.774193548387103</v>
      </c>
      <c r="L1111" s="8">
        <f t="shared" si="37"/>
        <v>7.1428571428571423</v>
      </c>
      <c r="M1111" t="s">
        <v>20</v>
      </c>
      <c r="N1111" t="s">
        <v>421</v>
      </c>
    </row>
    <row r="1112" spans="1:14" x14ac:dyDescent="0.3">
      <c r="A1112" t="s">
        <v>1102</v>
      </c>
      <c r="B1112" s="2">
        <v>46223</v>
      </c>
      <c r="C1112" s="2">
        <v>46224</v>
      </c>
      <c r="D1112" s="1" t="s">
        <v>376</v>
      </c>
      <c r="E1112" t="s">
        <v>377</v>
      </c>
      <c r="F1112" t="s">
        <v>495</v>
      </c>
      <c r="G1112" s="5">
        <v>620</v>
      </c>
      <c r="H1112" s="5">
        <v>600</v>
      </c>
      <c r="I1112" s="5">
        <v>583</v>
      </c>
      <c r="J1112" s="5">
        <v>17</v>
      </c>
      <c r="K1112" s="8">
        <f t="shared" si="36"/>
        <v>96.774193548387103</v>
      </c>
      <c r="L1112" s="8">
        <f t="shared" si="37"/>
        <v>2.9159519725557463</v>
      </c>
      <c r="M1112" t="s">
        <v>20</v>
      </c>
      <c r="N1112" t="s">
        <v>421</v>
      </c>
    </row>
    <row r="1113" spans="1:14" x14ac:dyDescent="0.3">
      <c r="A1113" t="s">
        <v>1103</v>
      </c>
      <c r="B1113" s="2">
        <v>46216</v>
      </c>
      <c r="C1113" s="2">
        <v>46217</v>
      </c>
      <c r="D1113" s="1" t="s">
        <v>380</v>
      </c>
      <c r="E1113" t="s">
        <v>381</v>
      </c>
      <c r="F1113" t="s">
        <v>495</v>
      </c>
      <c r="G1113" s="5">
        <v>404</v>
      </c>
      <c r="H1113" s="5">
        <v>397</v>
      </c>
      <c r="I1113" s="5">
        <v>383</v>
      </c>
      <c r="J1113" s="5">
        <v>14</v>
      </c>
      <c r="K1113" s="8">
        <f t="shared" si="36"/>
        <v>98.267326732673268</v>
      </c>
      <c r="L1113" s="8">
        <f t="shared" si="37"/>
        <v>3.6553524804177546</v>
      </c>
      <c r="M1113" t="s">
        <v>20</v>
      </c>
      <c r="N1113" t="s">
        <v>421</v>
      </c>
    </row>
    <row r="1114" spans="1:14" x14ac:dyDescent="0.3">
      <c r="A1114" t="s">
        <v>1104</v>
      </c>
      <c r="B1114" s="2">
        <v>46217</v>
      </c>
      <c r="C1114" s="2">
        <v>46220</v>
      </c>
      <c r="D1114" s="1" t="s">
        <v>380</v>
      </c>
      <c r="E1114" t="s">
        <v>381</v>
      </c>
      <c r="F1114" t="s">
        <v>495</v>
      </c>
      <c r="G1114" s="5">
        <v>606</v>
      </c>
      <c r="H1114" s="5">
        <v>631</v>
      </c>
      <c r="I1114" s="5">
        <v>621</v>
      </c>
      <c r="J1114" s="5">
        <v>10</v>
      </c>
      <c r="K1114" s="8">
        <f t="shared" si="36"/>
        <v>104.12541254125414</v>
      </c>
      <c r="L1114" s="8">
        <f t="shared" si="37"/>
        <v>1.6103059581320449</v>
      </c>
      <c r="M1114" t="s">
        <v>20</v>
      </c>
      <c r="N1114" t="s">
        <v>421</v>
      </c>
    </row>
    <row r="1115" spans="1:14" x14ac:dyDescent="0.3">
      <c r="A1115" t="s">
        <v>1105</v>
      </c>
      <c r="B1115" s="2">
        <v>46219</v>
      </c>
      <c r="C1115" s="2">
        <v>46221</v>
      </c>
      <c r="D1115" s="1" t="s">
        <v>1106</v>
      </c>
      <c r="E1115" t="s">
        <v>1107</v>
      </c>
      <c r="F1115" t="s">
        <v>425</v>
      </c>
      <c r="G1115" s="5">
        <v>1605</v>
      </c>
      <c r="H1115" s="5">
        <v>1458</v>
      </c>
      <c r="I1115" s="5">
        <v>1410</v>
      </c>
      <c r="J1115" s="5">
        <v>48</v>
      </c>
      <c r="K1115" s="8">
        <f t="shared" si="36"/>
        <v>90.841121495327101</v>
      </c>
      <c r="L1115" s="8">
        <f t="shared" si="37"/>
        <v>3.4042553191489362</v>
      </c>
      <c r="M1115" t="s">
        <v>20</v>
      </c>
      <c r="N1115" t="s">
        <v>421</v>
      </c>
    </row>
    <row r="1116" spans="1:14" x14ac:dyDescent="0.3">
      <c r="A1116" t="s">
        <v>1108</v>
      </c>
      <c r="B1116" s="2">
        <v>46223</v>
      </c>
      <c r="C1116" s="2">
        <v>46224</v>
      </c>
      <c r="D1116" s="1" t="s">
        <v>1106</v>
      </c>
      <c r="E1116" t="s">
        <v>1107</v>
      </c>
      <c r="F1116" t="s">
        <v>425</v>
      </c>
      <c r="G1116" s="5">
        <v>1605</v>
      </c>
      <c r="H1116" s="5">
        <v>1488</v>
      </c>
      <c r="I1116" s="5">
        <v>1470</v>
      </c>
      <c r="J1116" s="5">
        <v>18</v>
      </c>
      <c r="K1116" s="8">
        <f t="shared" si="36"/>
        <v>92.710280373831779</v>
      </c>
      <c r="L1116" s="8">
        <f t="shared" si="37"/>
        <v>1.2244897959183674</v>
      </c>
      <c r="M1116" t="s">
        <v>20</v>
      </c>
      <c r="N1116" t="s">
        <v>421</v>
      </c>
    </row>
    <row r="1117" spans="1:14" x14ac:dyDescent="0.3">
      <c r="A1117" t="s">
        <v>1109</v>
      </c>
      <c r="B1117" s="2">
        <v>46217</v>
      </c>
      <c r="C1117" s="2">
        <v>46218</v>
      </c>
      <c r="D1117" s="1" t="s">
        <v>1110</v>
      </c>
      <c r="E1117" t="s">
        <v>1111</v>
      </c>
      <c r="F1117" t="s">
        <v>677</v>
      </c>
      <c r="G1117" s="5">
        <v>4000</v>
      </c>
      <c r="H1117" s="5">
        <v>4005</v>
      </c>
      <c r="I1117" s="5">
        <v>4005</v>
      </c>
      <c r="J1117" s="5">
        <v>0</v>
      </c>
      <c r="K1117" s="8">
        <f t="shared" si="36"/>
        <v>100.125</v>
      </c>
      <c r="L1117" s="8">
        <f t="shared" si="37"/>
        <v>0</v>
      </c>
      <c r="M1117" t="s">
        <v>20</v>
      </c>
      <c r="N1117" t="s">
        <v>421</v>
      </c>
    </row>
    <row r="1118" spans="1:14" x14ac:dyDescent="0.3">
      <c r="A1118" t="s">
        <v>1112</v>
      </c>
      <c r="B1118" s="2">
        <v>46219</v>
      </c>
      <c r="C1118" s="2">
        <v>46220</v>
      </c>
      <c r="D1118" s="1" t="s">
        <v>1110</v>
      </c>
      <c r="E1118" t="s">
        <v>1111</v>
      </c>
      <c r="F1118" t="s">
        <v>677</v>
      </c>
      <c r="G1118" s="5">
        <v>4000</v>
      </c>
      <c r="H1118" s="5">
        <v>4007</v>
      </c>
      <c r="I1118" s="5">
        <v>4005</v>
      </c>
      <c r="J1118" s="5">
        <v>2</v>
      </c>
      <c r="K1118" s="8">
        <f t="shared" si="36"/>
        <v>100.175</v>
      </c>
      <c r="L1118" s="8">
        <f t="shared" si="37"/>
        <v>4.9937578027465665E-2</v>
      </c>
      <c r="M1118" t="s">
        <v>20</v>
      </c>
      <c r="N1118" t="s">
        <v>421</v>
      </c>
    </row>
    <row r="1119" spans="1:14" x14ac:dyDescent="0.3">
      <c r="A1119" t="s">
        <v>1113</v>
      </c>
      <c r="B1119" s="2">
        <v>46232</v>
      </c>
      <c r="C1119" s="2">
        <v>46233</v>
      </c>
      <c r="D1119" s="1" t="s">
        <v>1110</v>
      </c>
      <c r="E1119" t="s">
        <v>1111</v>
      </c>
      <c r="F1119" t="s">
        <v>677</v>
      </c>
      <c r="G1119" s="5">
        <v>4000</v>
      </c>
      <c r="H1119" s="5">
        <v>3991</v>
      </c>
      <c r="I1119" s="5">
        <v>3990</v>
      </c>
      <c r="J1119" s="5">
        <v>1</v>
      </c>
      <c r="K1119" s="8">
        <f t="shared" si="36"/>
        <v>99.775000000000006</v>
      </c>
      <c r="L1119" s="8">
        <f t="shared" si="37"/>
        <v>2.5062656641604009E-2</v>
      </c>
      <c r="M1119" t="s">
        <v>20</v>
      </c>
      <c r="N1119" t="s">
        <v>421</v>
      </c>
    </row>
    <row r="1120" spans="1:14" x14ac:dyDescent="0.3">
      <c r="A1120" t="s">
        <v>1114</v>
      </c>
      <c r="B1120" s="2">
        <v>46218</v>
      </c>
      <c r="C1120" s="2">
        <v>46219</v>
      </c>
      <c r="D1120" s="1" t="s">
        <v>1115</v>
      </c>
      <c r="E1120" t="s">
        <v>1116</v>
      </c>
      <c r="F1120" t="s">
        <v>677</v>
      </c>
      <c r="G1120" s="5">
        <v>4000</v>
      </c>
      <c r="H1120" s="5">
        <v>3976</v>
      </c>
      <c r="I1120" s="5">
        <v>3975</v>
      </c>
      <c r="J1120" s="5">
        <v>1</v>
      </c>
      <c r="K1120" s="8">
        <f t="shared" si="36"/>
        <v>99.4</v>
      </c>
      <c r="L1120" s="8">
        <f t="shared" si="37"/>
        <v>2.5157232704402514E-2</v>
      </c>
      <c r="M1120" t="s">
        <v>20</v>
      </c>
      <c r="N1120" t="s">
        <v>421</v>
      </c>
    </row>
    <row r="1121" spans="1:14" x14ac:dyDescent="0.3">
      <c r="A1121" t="s">
        <v>1117</v>
      </c>
      <c r="B1121" s="2">
        <v>46220</v>
      </c>
      <c r="C1121" s="2">
        <v>46221</v>
      </c>
      <c r="D1121" s="1" t="s">
        <v>1115</v>
      </c>
      <c r="E1121" t="s">
        <v>1116</v>
      </c>
      <c r="F1121" t="s">
        <v>677</v>
      </c>
      <c r="G1121" s="5">
        <v>4000</v>
      </c>
      <c r="H1121" s="5">
        <v>3990</v>
      </c>
      <c r="I1121" s="5">
        <v>3990</v>
      </c>
      <c r="J1121" s="5">
        <v>0</v>
      </c>
      <c r="K1121" s="8">
        <f t="shared" si="36"/>
        <v>99.75</v>
      </c>
      <c r="L1121" s="8">
        <f t="shared" si="37"/>
        <v>0</v>
      </c>
      <c r="M1121" t="s">
        <v>20</v>
      </c>
      <c r="N1121" t="s">
        <v>421</v>
      </c>
    </row>
    <row r="1122" spans="1:14" x14ac:dyDescent="0.3">
      <c r="A1122" t="s">
        <v>1118</v>
      </c>
      <c r="B1122" s="2">
        <v>46231</v>
      </c>
      <c r="C1122" s="2">
        <v>46232</v>
      </c>
      <c r="D1122" s="1" t="s">
        <v>1115</v>
      </c>
      <c r="E1122" t="s">
        <v>1116</v>
      </c>
      <c r="F1122" t="s">
        <v>677</v>
      </c>
      <c r="G1122" s="5">
        <v>4000</v>
      </c>
      <c r="H1122" s="5">
        <v>4035</v>
      </c>
      <c r="I1122" s="5">
        <v>4035</v>
      </c>
      <c r="J1122" s="5">
        <v>0</v>
      </c>
      <c r="K1122" s="8">
        <f t="shared" si="36"/>
        <v>100.875</v>
      </c>
      <c r="L1122" s="8">
        <f t="shared" si="37"/>
        <v>0</v>
      </c>
      <c r="M1122" t="s">
        <v>20</v>
      </c>
      <c r="N1122" t="s">
        <v>421</v>
      </c>
    </row>
    <row r="1123" spans="1:14" x14ac:dyDescent="0.3">
      <c r="A1123" t="s">
        <v>1119</v>
      </c>
      <c r="B1123" s="2">
        <v>46225</v>
      </c>
      <c r="C1123" s="2">
        <v>46226</v>
      </c>
      <c r="D1123" s="1" t="s">
        <v>1120</v>
      </c>
      <c r="E1123" t="s">
        <v>1121</v>
      </c>
      <c r="F1123" t="s">
        <v>425</v>
      </c>
      <c r="G1123" s="5">
        <v>690</v>
      </c>
      <c r="H1123" s="5">
        <v>750</v>
      </c>
      <c r="I1123" s="5">
        <v>735</v>
      </c>
      <c r="J1123" s="5">
        <v>15</v>
      </c>
      <c r="K1123" s="8">
        <f t="shared" si="36"/>
        <v>108.69565217391303</v>
      </c>
      <c r="L1123" s="8">
        <f t="shared" si="37"/>
        <v>2.0408163265306123</v>
      </c>
      <c r="M1123" t="s">
        <v>20</v>
      </c>
      <c r="N1123" t="s">
        <v>421</v>
      </c>
    </row>
    <row r="1124" spans="1:14" x14ac:dyDescent="0.3">
      <c r="A1124" t="s">
        <v>1122</v>
      </c>
      <c r="B1124" s="2">
        <v>46216</v>
      </c>
      <c r="C1124" s="2">
        <v>46217</v>
      </c>
      <c r="D1124" s="1" t="s">
        <v>1123</v>
      </c>
      <c r="E1124" t="s">
        <v>1124</v>
      </c>
      <c r="F1124" t="s">
        <v>495</v>
      </c>
      <c r="G1124" s="5">
        <v>476</v>
      </c>
      <c r="H1124" s="5">
        <v>511</v>
      </c>
      <c r="I1124" s="5">
        <v>487</v>
      </c>
      <c r="J1124" s="5">
        <v>24</v>
      </c>
      <c r="K1124" s="8">
        <f t="shared" si="36"/>
        <v>107.35294117647058</v>
      </c>
      <c r="L1124" s="8">
        <f t="shared" si="37"/>
        <v>4.9281314168377826</v>
      </c>
      <c r="M1124" t="s">
        <v>20</v>
      </c>
      <c r="N1124" t="s">
        <v>421</v>
      </c>
    </row>
    <row r="1125" spans="1:14" x14ac:dyDescent="0.3">
      <c r="A1125" t="s">
        <v>1125</v>
      </c>
      <c r="B1125" s="2">
        <v>46217</v>
      </c>
      <c r="C1125" s="2">
        <v>46220</v>
      </c>
      <c r="D1125" s="1" t="s">
        <v>1123</v>
      </c>
      <c r="E1125" t="s">
        <v>1124</v>
      </c>
      <c r="F1125" t="s">
        <v>495</v>
      </c>
      <c r="G1125" s="5">
        <v>476</v>
      </c>
      <c r="H1125" s="5">
        <v>510</v>
      </c>
      <c r="I1125" s="5">
        <v>488</v>
      </c>
      <c r="J1125" s="5">
        <v>22</v>
      </c>
      <c r="K1125" s="8">
        <f t="shared" si="36"/>
        <v>107.14285714285714</v>
      </c>
      <c r="L1125" s="8">
        <f t="shared" si="37"/>
        <v>4.5081967213114753</v>
      </c>
      <c r="M1125" t="s">
        <v>20</v>
      </c>
      <c r="N1125" t="s">
        <v>421</v>
      </c>
    </row>
    <row r="1126" spans="1:14" x14ac:dyDescent="0.3">
      <c r="A1126" t="s">
        <v>1126</v>
      </c>
      <c r="B1126" s="2">
        <v>46218</v>
      </c>
      <c r="C1126" s="2">
        <v>46219</v>
      </c>
      <c r="D1126" s="1" t="s">
        <v>1123</v>
      </c>
      <c r="E1126" t="s">
        <v>1124</v>
      </c>
      <c r="F1126" t="s">
        <v>495</v>
      </c>
      <c r="G1126" s="5">
        <v>476</v>
      </c>
      <c r="H1126" s="5">
        <v>559</v>
      </c>
      <c r="I1126" s="5">
        <v>467</v>
      </c>
      <c r="J1126" s="5">
        <v>92</v>
      </c>
      <c r="K1126" s="8">
        <f t="shared" si="36"/>
        <v>117.43697478991596</v>
      </c>
      <c r="L1126" s="8">
        <f t="shared" si="37"/>
        <v>19.700214132762312</v>
      </c>
      <c r="M1126" t="s">
        <v>20</v>
      </c>
      <c r="N1126" t="s">
        <v>421</v>
      </c>
    </row>
    <row r="1127" spans="1:14" x14ac:dyDescent="0.3">
      <c r="A1127" t="s">
        <v>1127</v>
      </c>
      <c r="B1127" s="2">
        <v>46231</v>
      </c>
      <c r="C1127" s="2">
        <v>46232</v>
      </c>
      <c r="D1127" s="1" t="s">
        <v>1123</v>
      </c>
      <c r="E1127" t="s">
        <v>1124</v>
      </c>
      <c r="F1127" t="s">
        <v>495</v>
      </c>
      <c r="G1127" s="5">
        <v>952</v>
      </c>
      <c r="H1127" s="5">
        <v>940</v>
      </c>
      <c r="I1127" s="5">
        <v>894</v>
      </c>
      <c r="J1127" s="5">
        <v>46</v>
      </c>
      <c r="K1127" s="8">
        <f t="shared" si="36"/>
        <v>98.739495798319325</v>
      </c>
      <c r="L1127" s="8">
        <f t="shared" si="37"/>
        <v>5.1454138702460845</v>
      </c>
      <c r="M1127" t="s">
        <v>20</v>
      </c>
      <c r="N1127" t="s">
        <v>421</v>
      </c>
    </row>
    <row r="1128" spans="1:14" x14ac:dyDescent="0.3">
      <c r="A1128" t="s">
        <v>1128</v>
      </c>
      <c r="B1128" s="2">
        <v>46218</v>
      </c>
      <c r="C1128" s="2">
        <v>46221</v>
      </c>
      <c r="D1128" s="1" t="s">
        <v>1129</v>
      </c>
      <c r="E1128" t="s">
        <v>1130</v>
      </c>
      <c r="F1128" t="s">
        <v>438</v>
      </c>
      <c r="G1128" s="5">
        <v>1360</v>
      </c>
      <c r="H1128" s="5">
        <v>1305</v>
      </c>
      <c r="I1128" s="5">
        <v>1300</v>
      </c>
      <c r="J1128" s="5">
        <v>5</v>
      </c>
      <c r="K1128" s="8">
        <f t="shared" si="36"/>
        <v>95.955882352941174</v>
      </c>
      <c r="L1128" s="8">
        <f t="shared" si="37"/>
        <v>0.38461538461538464</v>
      </c>
      <c r="M1128" t="s">
        <v>20</v>
      </c>
      <c r="N1128" t="s">
        <v>421</v>
      </c>
    </row>
    <row r="1129" spans="1:14" x14ac:dyDescent="0.3">
      <c r="A1129" t="s">
        <v>1131</v>
      </c>
      <c r="B1129" s="2">
        <v>46227</v>
      </c>
      <c r="C1129" s="2">
        <v>46228</v>
      </c>
      <c r="D1129" s="1" t="s">
        <v>1129</v>
      </c>
      <c r="E1129" t="s">
        <v>1130</v>
      </c>
      <c r="F1129" t="s">
        <v>438</v>
      </c>
      <c r="G1129" s="5">
        <v>1360</v>
      </c>
      <c r="H1129" s="5">
        <v>1340</v>
      </c>
      <c r="I1129" s="5">
        <v>1330</v>
      </c>
      <c r="J1129" s="5">
        <v>10</v>
      </c>
      <c r="K1129" s="8">
        <f t="shared" si="36"/>
        <v>98.529411764705884</v>
      </c>
      <c r="L1129" s="8">
        <f t="shared" si="37"/>
        <v>0.75187969924812026</v>
      </c>
      <c r="M1129" t="s">
        <v>20</v>
      </c>
      <c r="N1129" t="s">
        <v>421</v>
      </c>
    </row>
    <row r="1130" spans="1:14" x14ac:dyDescent="0.3">
      <c r="A1130" t="s">
        <v>1132</v>
      </c>
      <c r="B1130" s="2">
        <v>46231</v>
      </c>
      <c r="C1130" s="2">
        <v>46232</v>
      </c>
      <c r="D1130" s="1" t="s">
        <v>1129</v>
      </c>
      <c r="E1130" t="s">
        <v>1130</v>
      </c>
      <c r="F1130" t="s">
        <v>438</v>
      </c>
      <c r="G1130" s="5">
        <v>1360</v>
      </c>
      <c r="H1130" s="5">
        <v>1192</v>
      </c>
      <c r="I1130" s="5">
        <v>1180</v>
      </c>
      <c r="J1130" s="5">
        <v>12</v>
      </c>
      <c r="K1130" s="8">
        <f t="shared" si="36"/>
        <v>87.647058823529406</v>
      </c>
      <c r="L1130" s="8">
        <f t="shared" si="37"/>
        <v>1.0169491525423728</v>
      </c>
      <c r="M1130" t="s">
        <v>20</v>
      </c>
      <c r="N1130" t="s">
        <v>421</v>
      </c>
    </row>
    <row r="1131" spans="1:14" x14ac:dyDescent="0.3">
      <c r="A1131" t="s">
        <v>1133</v>
      </c>
      <c r="B1131" s="2">
        <v>46213</v>
      </c>
      <c r="C1131" s="2">
        <v>46216</v>
      </c>
      <c r="D1131" s="1" t="s">
        <v>1134</v>
      </c>
      <c r="E1131" t="s">
        <v>1135</v>
      </c>
      <c r="F1131" t="s">
        <v>438</v>
      </c>
      <c r="G1131" s="5">
        <v>3096</v>
      </c>
      <c r="H1131" s="5">
        <v>3120</v>
      </c>
      <c r="I1131" s="5">
        <v>3090</v>
      </c>
      <c r="J1131" s="5">
        <v>30</v>
      </c>
      <c r="K1131" s="8">
        <f t="shared" si="36"/>
        <v>100.77519379844961</v>
      </c>
      <c r="L1131" s="8">
        <f t="shared" si="37"/>
        <v>0.97087378640776689</v>
      </c>
      <c r="M1131" t="s">
        <v>20</v>
      </c>
      <c r="N1131" t="s">
        <v>421</v>
      </c>
    </row>
    <row r="1132" spans="1:14" x14ac:dyDescent="0.3">
      <c r="A1132" t="s">
        <v>1136</v>
      </c>
      <c r="B1132" s="2">
        <v>46216</v>
      </c>
      <c r="C1132" s="2">
        <v>46217</v>
      </c>
      <c r="D1132" s="1" t="s">
        <v>1134</v>
      </c>
      <c r="E1132" t="s">
        <v>1135</v>
      </c>
      <c r="F1132" t="s">
        <v>438</v>
      </c>
      <c r="G1132" s="5">
        <v>3096</v>
      </c>
      <c r="H1132" s="5">
        <v>3210</v>
      </c>
      <c r="I1132" s="5">
        <v>3180</v>
      </c>
      <c r="J1132" s="5">
        <v>30</v>
      </c>
      <c r="K1132" s="8">
        <f t="shared" si="36"/>
        <v>103.68217054263566</v>
      </c>
      <c r="L1132" s="8">
        <f t="shared" si="37"/>
        <v>0.94339622641509435</v>
      </c>
      <c r="M1132" t="s">
        <v>20</v>
      </c>
      <c r="N1132" t="s">
        <v>421</v>
      </c>
    </row>
    <row r="1133" spans="1:14" x14ac:dyDescent="0.3">
      <c r="A1133" t="s">
        <v>1137</v>
      </c>
      <c r="B1133" s="2">
        <v>46227</v>
      </c>
      <c r="C1133" s="2">
        <v>46232</v>
      </c>
      <c r="D1133" s="1" t="s">
        <v>1134</v>
      </c>
      <c r="E1133" t="s">
        <v>1135</v>
      </c>
      <c r="F1133" t="s">
        <v>438</v>
      </c>
      <c r="G1133" s="5">
        <v>3096</v>
      </c>
      <c r="H1133" s="5">
        <v>3180</v>
      </c>
      <c r="I1133" s="5">
        <v>3120</v>
      </c>
      <c r="J1133" s="5">
        <v>60</v>
      </c>
      <c r="K1133" s="8">
        <f t="shared" si="36"/>
        <v>102.71317829457365</v>
      </c>
      <c r="L1133" s="8">
        <f t="shared" si="37"/>
        <v>1.9230769230769231</v>
      </c>
      <c r="M1133" t="s">
        <v>20</v>
      </c>
      <c r="N1133" t="s">
        <v>421</v>
      </c>
    </row>
    <row r="1134" spans="1:14" x14ac:dyDescent="0.3">
      <c r="A1134" t="s">
        <v>1138</v>
      </c>
      <c r="B1134" s="2">
        <v>46213</v>
      </c>
      <c r="C1134" s="2">
        <v>46216</v>
      </c>
      <c r="D1134" s="1" t="s">
        <v>1139</v>
      </c>
      <c r="E1134" t="s">
        <v>1140</v>
      </c>
      <c r="F1134" t="s">
        <v>438</v>
      </c>
      <c r="G1134" s="5">
        <v>1960</v>
      </c>
      <c r="H1134" s="5">
        <v>1953</v>
      </c>
      <c r="I1134" s="5">
        <v>1950</v>
      </c>
      <c r="J1134" s="5">
        <v>3</v>
      </c>
      <c r="K1134" s="8">
        <f t="shared" si="36"/>
        <v>99.642857142857139</v>
      </c>
      <c r="L1134" s="8">
        <f t="shared" si="37"/>
        <v>0.15384615384615385</v>
      </c>
      <c r="M1134" t="s">
        <v>20</v>
      </c>
      <c r="N1134" t="s">
        <v>421</v>
      </c>
    </row>
    <row r="1135" spans="1:14" x14ac:dyDescent="0.3">
      <c r="A1135" t="s">
        <v>1141</v>
      </c>
      <c r="B1135" s="2">
        <v>46213</v>
      </c>
      <c r="C1135" s="2">
        <v>46216</v>
      </c>
      <c r="D1135" s="1" t="s">
        <v>1139</v>
      </c>
      <c r="E1135" t="s">
        <v>1140</v>
      </c>
      <c r="F1135" t="s">
        <v>495</v>
      </c>
      <c r="G1135" s="5">
        <v>1960</v>
      </c>
      <c r="H1135" s="5">
        <v>1952</v>
      </c>
      <c r="I1135" s="5">
        <v>1950</v>
      </c>
      <c r="J1135" s="5">
        <v>2</v>
      </c>
      <c r="K1135" s="8">
        <f t="shared" si="36"/>
        <v>99.591836734693871</v>
      </c>
      <c r="L1135" s="8">
        <f t="shared" si="37"/>
        <v>0.10256410256410256</v>
      </c>
      <c r="M1135" t="s">
        <v>20</v>
      </c>
      <c r="N1135" t="s">
        <v>421</v>
      </c>
    </row>
    <row r="1136" spans="1:14" x14ac:dyDescent="0.3">
      <c r="A1136" t="s">
        <v>1142</v>
      </c>
      <c r="B1136" s="2">
        <v>46216</v>
      </c>
      <c r="C1136" s="2">
        <v>46219</v>
      </c>
      <c r="D1136" s="1" t="s">
        <v>1139</v>
      </c>
      <c r="E1136" t="s">
        <v>1140</v>
      </c>
      <c r="F1136" t="s">
        <v>438</v>
      </c>
      <c r="G1136" s="5">
        <v>1176</v>
      </c>
      <c r="H1136" s="5">
        <v>1189</v>
      </c>
      <c r="I1136" s="5">
        <v>1185</v>
      </c>
      <c r="J1136" s="5">
        <v>4</v>
      </c>
      <c r="K1136" s="8">
        <f t="shared" si="36"/>
        <v>101.10544217687074</v>
      </c>
      <c r="L1136" s="8">
        <f t="shared" si="37"/>
        <v>0.33755274261603374</v>
      </c>
      <c r="M1136" t="s">
        <v>20</v>
      </c>
      <c r="N1136" t="s">
        <v>421</v>
      </c>
    </row>
    <row r="1137" spans="1:14" x14ac:dyDescent="0.3">
      <c r="A1137" t="s">
        <v>1143</v>
      </c>
      <c r="B1137" s="2">
        <v>46217</v>
      </c>
      <c r="C1137" s="2">
        <v>46220</v>
      </c>
      <c r="D1137" s="1" t="s">
        <v>1139</v>
      </c>
      <c r="E1137" t="s">
        <v>1140</v>
      </c>
      <c r="F1137" t="s">
        <v>438</v>
      </c>
      <c r="G1137" s="5">
        <v>1176</v>
      </c>
      <c r="H1137" s="5">
        <v>1145</v>
      </c>
      <c r="I1137" s="5">
        <v>1140</v>
      </c>
      <c r="J1137" s="5">
        <v>5</v>
      </c>
      <c r="K1137" s="8">
        <f t="shared" si="36"/>
        <v>97.363945578231295</v>
      </c>
      <c r="L1137" s="8">
        <f t="shared" si="37"/>
        <v>0.43859649122807015</v>
      </c>
      <c r="M1137" t="s">
        <v>20</v>
      </c>
      <c r="N1137" t="s">
        <v>421</v>
      </c>
    </row>
    <row r="1138" spans="1:14" x14ac:dyDescent="0.3">
      <c r="A1138" t="s">
        <v>1144</v>
      </c>
      <c r="B1138" s="2">
        <v>46218</v>
      </c>
      <c r="C1138" s="2">
        <v>46221</v>
      </c>
      <c r="D1138" s="1" t="s">
        <v>1139</v>
      </c>
      <c r="E1138" t="s">
        <v>1140</v>
      </c>
      <c r="F1138" t="s">
        <v>438</v>
      </c>
      <c r="G1138" s="5">
        <v>1176</v>
      </c>
      <c r="H1138" s="5">
        <v>1170</v>
      </c>
      <c r="I1138" s="5">
        <v>1170</v>
      </c>
      <c r="J1138" s="5">
        <v>0</v>
      </c>
      <c r="K1138" s="8">
        <f t="shared" si="36"/>
        <v>99.489795918367349</v>
      </c>
      <c r="L1138" s="8">
        <f t="shared" si="37"/>
        <v>0</v>
      </c>
      <c r="M1138" t="s">
        <v>20</v>
      </c>
      <c r="N1138" t="s">
        <v>421</v>
      </c>
    </row>
    <row r="1139" spans="1:14" x14ac:dyDescent="0.3">
      <c r="A1139" t="s">
        <v>1145</v>
      </c>
      <c r="B1139" s="2">
        <v>46220</v>
      </c>
      <c r="C1139" s="2">
        <v>46221</v>
      </c>
      <c r="D1139" s="1" t="s">
        <v>1139</v>
      </c>
      <c r="E1139" t="s">
        <v>1140</v>
      </c>
      <c r="F1139" t="s">
        <v>495</v>
      </c>
      <c r="G1139" s="5">
        <v>1960</v>
      </c>
      <c r="H1139" s="5">
        <v>1873</v>
      </c>
      <c r="I1139" s="5">
        <v>1869</v>
      </c>
      <c r="J1139" s="5">
        <v>4</v>
      </c>
      <c r="K1139" s="8">
        <f t="shared" si="36"/>
        <v>95.561224489795919</v>
      </c>
      <c r="L1139" s="8">
        <f t="shared" si="37"/>
        <v>0.21401819154628141</v>
      </c>
      <c r="M1139" t="s">
        <v>20</v>
      </c>
      <c r="N1139" t="s">
        <v>421</v>
      </c>
    </row>
    <row r="1140" spans="1:14" x14ac:dyDescent="0.3">
      <c r="A1140" t="s">
        <v>1146</v>
      </c>
      <c r="B1140" s="2">
        <v>46220</v>
      </c>
      <c r="C1140" s="2">
        <v>46221</v>
      </c>
      <c r="D1140" s="1" t="s">
        <v>1139</v>
      </c>
      <c r="E1140" t="s">
        <v>1140</v>
      </c>
      <c r="F1140" t="s">
        <v>438</v>
      </c>
      <c r="G1140" s="5">
        <v>1960</v>
      </c>
      <c r="H1140" s="5">
        <v>1873</v>
      </c>
      <c r="I1140" s="5">
        <v>1869</v>
      </c>
      <c r="J1140" s="5">
        <v>4</v>
      </c>
      <c r="K1140" s="8">
        <f t="shared" si="36"/>
        <v>95.561224489795919</v>
      </c>
      <c r="L1140" s="8">
        <f t="shared" si="37"/>
        <v>0.21401819154628141</v>
      </c>
      <c r="M1140" t="s">
        <v>20</v>
      </c>
      <c r="N1140" t="s">
        <v>421</v>
      </c>
    </row>
    <row r="1141" spans="1:14" x14ac:dyDescent="0.3">
      <c r="A1141" t="s">
        <v>1147</v>
      </c>
      <c r="B1141" s="2">
        <v>46230</v>
      </c>
      <c r="C1141" s="2">
        <v>46232</v>
      </c>
      <c r="D1141" s="1" t="s">
        <v>1139</v>
      </c>
      <c r="E1141" t="s">
        <v>1140</v>
      </c>
      <c r="F1141" t="s">
        <v>495</v>
      </c>
      <c r="G1141" s="5">
        <v>784</v>
      </c>
      <c r="H1141" s="5">
        <v>774</v>
      </c>
      <c r="I1141" s="5">
        <v>761</v>
      </c>
      <c r="J1141" s="5">
        <v>13</v>
      </c>
      <c r="K1141" s="8">
        <f t="shared" si="36"/>
        <v>98.724489795918373</v>
      </c>
      <c r="L1141" s="8">
        <f t="shared" si="37"/>
        <v>1.7082785808147174</v>
      </c>
      <c r="M1141" t="s">
        <v>20</v>
      </c>
      <c r="N1141" t="s">
        <v>421</v>
      </c>
    </row>
    <row r="1142" spans="1:14" x14ac:dyDescent="0.3">
      <c r="A1142" t="s">
        <v>1318</v>
      </c>
      <c r="B1142" s="2">
        <v>46237</v>
      </c>
      <c r="C1142" s="2">
        <v>46237</v>
      </c>
      <c r="D1142" s="1" t="s">
        <v>418</v>
      </c>
      <c r="E1142" t="s">
        <v>419</v>
      </c>
      <c r="F1142" t="s">
        <v>420</v>
      </c>
      <c r="G1142" s="5">
        <v>44</v>
      </c>
      <c r="H1142" s="5">
        <v>35</v>
      </c>
      <c r="I1142" s="5">
        <v>35</v>
      </c>
      <c r="J1142" s="5">
        <v>0</v>
      </c>
      <c r="K1142" s="8">
        <f>(H1142/G1142)*100</f>
        <v>79.545454545454547</v>
      </c>
      <c r="L1142" s="8">
        <f>((H1142-I1142)/I1142)*100</f>
        <v>0</v>
      </c>
      <c r="M1142" t="s">
        <v>20</v>
      </c>
      <c r="N1142" t="s">
        <v>421</v>
      </c>
    </row>
    <row r="1143" spans="1:14" x14ac:dyDescent="0.3">
      <c r="A1143" t="s">
        <v>1319</v>
      </c>
      <c r="B1143" s="2">
        <v>46232</v>
      </c>
      <c r="C1143" s="2">
        <v>46234</v>
      </c>
      <c r="D1143" s="1" t="s">
        <v>423</v>
      </c>
      <c r="E1143" t="s">
        <v>424</v>
      </c>
      <c r="F1143" t="s">
        <v>425</v>
      </c>
      <c r="G1143" s="5">
        <v>528</v>
      </c>
      <c r="H1143" s="5">
        <v>611</v>
      </c>
      <c r="I1143" s="5">
        <v>553</v>
      </c>
      <c r="J1143" s="5">
        <v>58</v>
      </c>
      <c r="K1143" s="8">
        <f t="shared" ref="K1143:K1206" si="38">(H1143/G1143)*100</f>
        <v>115.71969696969697</v>
      </c>
      <c r="L1143" s="8">
        <f t="shared" ref="L1143:L1206" si="39">((H1143-I1143)/I1143)*100</f>
        <v>10.488245931283906</v>
      </c>
      <c r="M1143" t="s">
        <v>20</v>
      </c>
      <c r="N1143" t="s">
        <v>421</v>
      </c>
    </row>
    <row r="1144" spans="1:14" x14ac:dyDescent="0.3">
      <c r="A1144" t="s">
        <v>1320</v>
      </c>
      <c r="B1144" s="2">
        <v>46237</v>
      </c>
      <c r="C1144" s="2">
        <v>46238</v>
      </c>
      <c r="D1144" s="1" t="s">
        <v>423</v>
      </c>
      <c r="E1144" t="s">
        <v>424</v>
      </c>
      <c r="F1144" t="s">
        <v>425</v>
      </c>
      <c r="G1144" s="5">
        <v>792</v>
      </c>
      <c r="H1144" s="5">
        <v>703</v>
      </c>
      <c r="I1144" s="5">
        <v>693</v>
      </c>
      <c r="J1144" s="5">
        <v>10</v>
      </c>
      <c r="K1144" s="8">
        <f t="shared" si="38"/>
        <v>88.76262626262627</v>
      </c>
      <c r="L1144" s="8">
        <f t="shared" si="39"/>
        <v>1.4430014430014431</v>
      </c>
      <c r="M1144" t="s">
        <v>20</v>
      </c>
      <c r="N1144" t="s">
        <v>421</v>
      </c>
    </row>
    <row r="1145" spans="1:14" x14ac:dyDescent="0.3">
      <c r="A1145" t="s">
        <v>1321</v>
      </c>
      <c r="B1145" s="2">
        <v>46238</v>
      </c>
      <c r="C1145" s="2">
        <v>46239</v>
      </c>
      <c r="D1145" s="1" t="s">
        <v>423</v>
      </c>
      <c r="E1145" t="s">
        <v>424</v>
      </c>
      <c r="F1145" t="s">
        <v>425</v>
      </c>
      <c r="G1145" s="5">
        <v>792</v>
      </c>
      <c r="H1145" s="5">
        <v>875</v>
      </c>
      <c r="I1145" s="5">
        <v>854</v>
      </c>
      <c r="J1145" s="5">
        <v>21</v>
      </c>
      <c r="K1145" s="8">
        <f t="shared" si="38"/>
        <v>110.47979797979799</v>
      </c>
      <c r="L1145" s="8">
        <f t="shared" si="39"/>
        <v>2.459016393442623</v>
      </c>
      <c r="M1145" t="s">
        <v>20</v>
      </c>
      <c r="N1145" t="s">
        <v>421</v>
      </c>
    </row>
    <row r="1146" spans="1:14" x14ac:dyDescent="0.3">
      <c r="A1146" t="s">
        <v>1322</v>
      </c>
      <c r="B1146" s="2">
        <v>46239</v>
      </c>
      <c r="C1146" s="2">
        <v>46240</v>
      </c>
      <c r="D1146" s="1" t="s">
        <v>423</v>
      </c>
      <c r="E1146" t="s">
        <v>424</v>
      </c>
      <c r="F1146" t="s">
        <v>425</v>
      </c>
      <c r="G1146" s="5">
        <v>792</v>
      </c>
      <c r="H1146" s="5">
        <v>793</v>
      </c>
      <c r="I1146" s="5">
        <v>763</v>
      </c>
      <c r="J1146" s="5">
        <v>30</v>
      </c>
      <c r="K1146" s="8">
        <f t="shared" si="38"/>
        <v>100.12626262626263</v>
      </c>
      <c r="L1146" s="8">
        <f t="shared" si="39"/>
        <v>3.9318479685452163</v>
      </c>
      <c r="M1146" t="s">
        <v>20</v>
      </c>
      <c r="N1146" t="s">
        <v>421</v>
      </c>
    </row>
    <row r="1147" spans="1:14" x14ac:dyDescent="0.3">
      <c r="A1147" t="s">
        <v>449</v>
      </c>
      <c r="B1147" s="2">
        <v>46232</v>
      </c>
      <c r="C1147" s="2">
        <v>46233</v>
      </c>
      <c r="D1147" s="1" t="s">
        <v>436</v>
      </c>
      <c r="E1147" t="s">
        <v>437</v>
      </c>
      <c r="F1147" t="s">
        <v>438</v>
      </c>
      <c r="G1147" s="5">
        <v>334</v>
      </c>
      <c r="H1147" s="5">
        <v>338</v>
      </c>
      <c r="I1147" s="5">
        <v>330</v>
      </c>
      <c r="J1147" s="5">
        <v>8</v>
      </c>
      <c r="K1147" s="8">
        <f t="shared" si="38"/>
        <v>101.19760479041918</v>
      </c>
      <c r="L1147" s="8">
        <f t="shared" si="39"/>
        <v>2.4242424242424243</v>
      </c>
      <c r="M1147" t="s">
        <v>20</v>
      </c>
      <c r="N1147" t="s">
        <v>421</v>
      </c>
    </row>
    <row r="1148" spans="1:14" x14ac:dyDescent="0.3">
      <c r="A1148" t="s">
        <v>1323</v>
      </c>
      <c r="B1148" s="2">
        <v>46238</v>
      </c>
      <c r="C1148" s="2">
        <v>46239</v>
      </c>
      <c r="D1148" s="1" t="s">
        <v>436</v>
      </c>
      <c r="E1148" t="s">
        <v>437</v>
      </c>
      <c r="F1148" t="s">
        <v>438</v>
      </c>
      <c r="G1148" s="5">
        <v>501</v>
      </c>
      <c r="H1148" s="5">
        <v>479</v>
      </c>
      <c r="I1148" s="5">
        <v>470</v>
      </c>
      <c r="J1148" s="5">
        <v>9</v>
      </c>
      <c r="K1148" s="8">
        <f t="shared" si="38"/>
        <v>95.60878243512974</v>
      </c>
      <c r="L1148" s="8">
        <f t="shared" si="39"/>
        <v>1.9148936170212765</v>
      </c>
      <c r="M1148" t="s">
        <v>20</v>
      </c>
      <c r="N1148" t="s">
        <v>421</v>
      </c>
    </row>
    <row r="1149" spans="1:14" x14ac:dyDescent="0.3">
      <c r="A1149" t="s">
        <v>1324</v>
      </c>
      <c r="B1149" s="2">
        <v>46239</v>
      </c>
      <c r="C1149" s="2">
        <v>46240</v>
      </c>
      <c r="D1149" s="1" t="s">
        <v>436</v>
      </c>
      <c r="E1149" t="s">
        <v>437</v>
      </c>
      <c r="F1149" t="s">
        <v>438</v>
      </c>
      <c r="G1149" s="5">
        <v>501</v>
      </c>
      <c r="H1149" s="5">
        <v>464</v>
      </c>
      <c r="I1149" s="5">
        <v>460</v>
      </c>
      <c r="J1149" s="5">
        <v>4</v>
      </c>
      <c r="K1149" s="8">
        <f t="shared" si="38"/>
        <v>92.614770459081839</v>
      </c>
      <c r="L1149" s="8">
        <f t="shared" si="39"/>
        <v>0.86956521739130432</v>
      </c>
      <c r="M1149" t="s">
        <v>20</v>
      </c>
      <c r="N1149" t="s">
        <v>421</v>
      </c>
    </row>
    <row r="1150" spans="1:14" x14ac:dyDescent="0.3">
      <c r="A1150" t="s">
        <v>457</v>
      </c>
      <c r="B1150" s="2">
        <v>46226</v>
      </c>
      <c r="C1150" s="2">
        <v>46233</v>
      </c>
      <c r="D1150" s="1" t="s">
        <v>451</v>
      </c>
      <c r="E1150" t="s">
        <v>452</v>
      </c>
      <c r="F1150" t="s">
        <v>425</v>
      </c>
      <c r="G1150" s="5">
        <v>2304</v>
      </c>
      <c r="H1150" s="5">
        <v>1617</v>
      </c>
      <c r="I1150" s="5">
        <v>1460</v>
      </c>
      <c r="J1150" s="5">
        <v>157</v>
      </c>
      <c r="K1150" s="8">
        <f t="shared" si="38"/>
        <v>70.182291666666657</v>
      </c>
      <c r="L1150" s="8">
        <f t="shared" si="39"/>
        <v>10.753424657534246</v>
      </c>
      <c r="M1150" t="s">
        <v>20</v>
      </c>
      <c r="N1150" t="s">
        <v>421</v>
      </c>
    </row>
    <row r="1151" spans="1:14" x14ac:dyDescent="0.3">
      <c r="A1151" t="s">
        <v>1325</v>
      </c>
      <c r="B1151" s="2">
        <v>46230</v>
      </c>
      <c r="C1151" s="2">
        <v>46234</v>
      </c>
      <c r="D1151" s="1" t="s">
        <v>451</v>
      </c>
      <c r="E1151" t="s">
        <v>452</v>
      </c>
      <c r="F1151" t="s">
        <v>425</v>
      </c>
      <c r="G1151" s="5">
        <v>1152</v>
      </c>
      <c r="H1151" s="5">
        <v>818</v>
      </c>
      <c r="I1151" s="5">
        <v>780</v>
      </c>
      <c r="J1151" s="5">
        <v>38</v>
      </c>
      <c r="K1151" s="8">
        <f t="shared" si="38"/>
        <v>71.006944444444443</v>
      </c>
      <c r="L1151" s="8">
        <f t="shared" si="39"/>
        <v>4.8717948717948723</v>
      </c>
      <c r="M1151" t="s">
        <v>20</v>
      </c>
      <c r="N1151" t="s">
        <v>421</v>
      </c>
    </row>
    <row r="1152" spans="1:14" x14ac:dyDescent="0.3">
      <c r="A1152" t="s">
        <v>458</v>
      </c>
      <c r="B1152" s="2">
        <v>46231</v>
      </c>
      <c r="C1152" s="2">
        <v>46233</v>
      </c>
      <c r="D1152" s="1" t="s">
        <v>451</v>
      </c>
      <c r="E1152" t="s">
        <v>452</v>
      </c>
      <c r="F1152" t="s">
        <v>425</v>
      </c>
      <c r="G1152" s="5">
        <v>2304</v>
      </c>
      <c r="H1152" s="5">
        <v>1596</v>
      </c>
      <c r="I1152" s="5">
        <v>1460</v>
      </c>
      <c r="J1152" s="5">
        <v>136</v>
      </c>
      <c r="K1152" s="8">
        <f t="shared" si="38"/>
        <v>69.270833333333343</v>
      </c>
      <c r="L1152" s="8">
        <f t="shared" si="39"/>
        <v>9.3150684931506849</v>
      </c>
      <c r="M1152" t="s">
        <v>20</v>
      </c>
      <c r="N1152" t="s">
        <v>421</v>
      </c>
    </row>
    <row r="1153" spans="1:14" x14ac:dyDescent="0.3">
      <c r="A1153" t="s">
        <v>1326</v>
      </c>
      <c r="B1153" s="2">
        <v>46238</v>
      </c>
      <c r="C1153" s="2">
        <v>46240</v>
      </c>
      <c r="D1153" s="1" t="s">
        <v>451</v>
      </c>
      <c r="E1153" t="s">
        <v>452</v>
      </c>
      <c r="F1153" t="s">
        <v>425</v>
      </c>
      <c r="G1153" s="5">
        <v>2304</v>
      </c>
      <c r="H1153" s="5">
        <v>1611</v>
      </c>
      <c r="I1153" s="5">
        <v>1470</v>
      </c>
      <c r="J1153" s="5">
        <v>141</v>
      </c>
      <c r="K1153" s="8">
        <f t="shared" si="38"/>
        <v>69.921875</v>
      </c>
      <c r="L1153" s="8">
        <f t="shared" si="39"/>
        <v>9.591836734693878</v>
      </c>
      <c r="M1153" t="s">
        <v>20</v>
      </c>
      <c r="N1153" t="s">
        <v>421</v>
      </c>
    </row>
    <row r="1154" spans="1:14" x14ac:dyDescent="0.3">
      <c r="A1154" t="s">
        <v>1327</v>
      </c>
      <c r="B1154" s="2">
        <v>46232</v>
      </c>
      <c r="C1154" s="2">
        <v>46234</v>
      </c>
      <c r="D1154" s="1" t="s">
        <v>460</v>
      </c>
      <c r="E1154" t="s">
        <v>461</v>
      </c>
      <c r="F1154" t="s">
        <v>425</v>
      </c>
      <c r="G1154" s="5">
        <v>825</v>
      </c>
      <c r="H1154" s="5">
        <v>496</v>
      </c>
      <c r="I1154" s="5">
        <v>270</v>
      </c>
      <c r="J1154" s="5">
        <v>226</v>
      </c>
      <c r="K1154" s="8">
        <f t="shared" si="38"/>
        <v>60.121212121212118</v>
      </c>
      <c r="L1154" s="8">
        <f t="shared" si="39"/>
        <v>83.703703703703695</v>
      </c>
      <c r="M1154" t="s">
        <v>20</v>
      </c>
      <c r="N1154" t="s">
        <v>421</v>
      </c>
    </row>
    <row r="1155" spans="1:14" x14ac:dyDescent="0.3">
      <c r="A1155" t="s">
        <v>1328</v>
      </c>
      <c r="B1155" s="2">
        <v>46238</v>
      </c>
      <c r="C1155" s="2">
        <v>46239</v>
      </c>
      <c r="D1155" s="1" t="s">
        <v>460</v>
      </c>
      <c r="E1155" t="s">
        <v>461</v>
      </c>
      <c r="F1155" t="s">
        <v>425</v>
      </c>
      <c r="G1155" s="5">
        <v>825</v>
      </c>
      <c r="H1155" s="5">
        <v>742</v>
      </c>
      <c r="I1155" s="5">
        <v>500</v>
      </c>
      <c r="J1155" s="5">
        <v>242</v>
      </c>
      <c r="K1155" s="8">
        <f t="shared" si="38"/>
        <v>89.939393939393938</v>
      </c>
      <c r="L1155" s="8">
        <f t="shared" si="39"/>
        <v>48.4</v>
      </c>
      <c r="M1155" t="s">
        <v>20</v>
      </c>
      <c r="N1155" t="s">
        <v>421</v>
      </c>
    </row>
    <row r="1156" spans="1:14" x14ac:dyDescent="0.3">
      <c r="A1156" t="s">
        <v>1329</v>
      </c>
      <c r="B1156" s="2">
        <v>46239</v>
      </c>
      <c r="C1156" s="2">
        <v>46240</v>
      </c>
      <c r="D1156" s="1" t="s">
        <v>460</v>
      </c>
      <c r="E1156" t="s">
        <v>461</v>
      </c>
      <c r="F1156" t="s">
        <v>425</v>
      </c>
      <c r="G1156" s="5">
        <v>825</v>
      </c>
      <c r="H1156" s="5">
        <v>588</v>
      </c>
      <c r="I1156" s="5">
        <v>320</v>
      </c>
      <c r="J1156" s="5">
        <v>268</v>
      </c>
      <c r="K1156" s="8">
        <f t="shared" si="38"/>
        <v>71.27272727272728</v>
      </c>
      <c r="L1156" s="8">
        <f t="shared" si="39"/>
        <v>83.75</v>
      </c>
      <c r="M1156" t="s">
        <v>20</v>
      </c>
      <c r="N1156" t="s">
        <v>421</v>
      </c>
    </row>
    <row r="1157" spans="1:14" x14ac:dyDescent="0.3">
      <c r="A1157" t="s">
        <v>470</v>
      </c>
      <c r="B1157" s="2">
        <v>46232</v>
      </c>
      <c r="C1157" s="2">
        <v>46233</v>
      </c>
      <c r="D1157" s="1" t="s">
        <v>468</v>
      </c>
      <c r="E1157" t="s">
        <v>469</v>
      </c>
      <c r="F1157" t="s">
        <v>438</v>
      </c>
      <c r="G1157" s="5">
        <v>540</v>
      </c>
      <c r="H1157" s="5">
        <v>513</v>
      </c>
      <c r="I1157" s="5">
        <v>450</v>
      </c>
      <c r="J1157" s="5">
        <v>63</v>
      </c>
      <c r="K1157" s="8">
        <f t="shared" si="38"/>
        <v>95</v>
      </c>
      <c r="L1157" s="8">
        <f t="shared" si="39"/>
        <v>14.000000000000002</v>
      </c>
      <c r="M1157" t="s">
        <v>20</v>
      </c>
      <c r="N1157" t="s">
        <v>421</v>
      </c>
    </row>
    <row r="1158" spans="1:14" x14ac:dyDescent="0.3">
      <c r="A1158" t="s">
        <v>481</v>
      </c>
      <c r="B1158" s="2">
        <v>46232</v>
      </c>
      <c r="C1158" s="2">
        <v>46233</v>
      </c>
      <c r="D1158" s="1" t="s">
        <v>472</v>
      </c>
      <c r="E1158" t="s">
        <v>473</v>
      </c>
      <c r="F1158" t="s">
        <v>438</v>
      </c>
      <c r="G1158" s="5">
        <v>234</v>
      </c>
      <c r="H1158" s="5">
        <v>263</v>
      </c>
      <c r="I1158" s="5">
        <v>260</v>
      </c>
      <c r="J1158" s="5">
        <v>3</v>
      </c>
      <c r="K1158" s="8">
        <f t="shared" si="38"/>
        <v>112.3931623931624</v>
      </c>
      <c r="L1158" s="8">
        <f t="shared" si="39"/>
        <v>1.153846153846154</v>
      </c>
      <c r="M1158" t="s">
        <v>20</v>
      </c>
      <c r="N1158" t="s">
        <v>421</v>
      </c>
    </row>
    <row r="1159" spans="1:14" x14ac:dyDescent="0.3">
      <c r="A1159" t="s">
        <v>1330</v>
      </c>
      <c r="B1159" s="2">
        <v>46238</v>
      </c>
      <c r="C1159" s="2">
        <v>46239</v>
      </c>
      <c r="D1159" s="1" t="s">
        <v>472</v>
      </c>
      <c r="E1159" t="s">
        <v>473</v>
      </c>
      <c r="F1159" t="s">
        <v>438</v>
      </c>
      <c r="G1159" s="5">
        <v>234</v>
      </c>
      <c r="H1159" s="5">
        <v>261</v>
      </c>
      <c r="I1159" s="5">
        <v>244</v>
      </c>
      <c r="J1159" s="5">
        <v>17</v>
      </c>
      <c r="K1159" s="8">
        <f t="shared" si="38"/>
        <v>111.53846153846155</v>
      </c>
      <c r="L1159" s="8">
        <f t="shared" si="39"/>
        <v>6.9672131147540979</v>
      </c>
      <c r="M1159" t="s">
        <v>20</v>
      </c>
      <c r="N1159" t="s">
        <v>421</v>
      </c>
    </row>
    <row r="1160" spans="1:14" x14ac:dyDescent="0.3">
      <c r="A1160" t="s">
        <v>1331</v>
      </c>
      <c r="B1160" s="2">
        <v>46239</v>
      </c>
      <c r="C1160" s="2">
        <v>46240</v>
      </c>
      <c r="D1160" s="1" t="s">
        <v>472</v>
      </c>
      <c r="E1160" t="s">
        <v>473</v>
      </c>
      <c r="F1160" t="s">
        <v>438</v>
      </c>
      <c r="G1160" s="5">
        <v>234</v>
      </c>
      <c r="H1160" s="5">
        <v>261</v>
      </c>
      <c r="I1160" s="5">
        <v>216</v>
      </c>
      <c r="J1160" s="5">
        <v>45</v>
      </c>
      <c r="K1160" s="8">
        <f t="shared" si="38"/>
        <v>111.53846153846155</v>
      </c>
      <c r="L1160" s="8">
        <f t="shared" si="39"/>
        <v>20.833333333333336</v>
      </c>
      <c r="M1160" t="s">
        <v>20</v>
      </c>
      <c r="N1160" t="s">
        <v>421</v>
      </c>
    </row>
    <row r="1161" spans="1:14" x14ac:dyDescent="0.3">
      <c r="A1161" t="s">
        <v>1332</v>
      </c>
      <c r="B1161" s="2">
        <v>46238</v>
      </c>
      <c r="C1161" s="2">
        <v>46239</v>
      </c>
      <c r="D1161" s="1" t="s">
        <v>483</v>
      </c>
      <c r="E1161" t="s">
        <v>484</v>
      </c>
      <c r="F1161" t="s">
        <v>425</v>
      </c>
      <c r="G1161" s="5">
        <v>1152</v>
      </c>
      <c r="H1161" s="5">
        <v>915</v>
      </c>
      <c r="I1161" s="5">
        <v>800</v>
      </c>
      <c r="J1161" s="5">
        <v>115</v>
      </c>
      <c r="K1161" s="8">
        <f t="shared" si="38"/>
        <v>79.427083333333343</v>
      </c>
      <c r="L1161" s="8">
        <f t="shared" si="39"/>
        <v>14.374999999999998</v>
      </c>
      <c r="M1161" t="s">
        <v>20</v>
      </c>
      <c r="N1161" t="s">
        <v>421</v>
      </c>
    </row>
    <row r="1162" spans="1:14" x14ac:dyDescent="0.3">
      <c r="A1162" t="s">
        <v>1333</v>
      </c>
      <c r="B1162" s="2">
        <v>46239</v>
      </c>
      <c r="C1162" s="2">
        <v>46240</v>
      </c>
      <c r="D1162" s="1" t="s">
        <v>483</v>
      </c>
      <c r="E1162" t="s">
        <v>484</v>
      </c>
      <c r="F1162" t="s">
        <v>425</v>
      </c>
      <c r="G1162" s="5">
        <v>1152</v>
      </c>
      <c r="H1162" s="5">
        <v>760</v>
      </c>
      <c r="I1162" s="5">
        <v>710</v>
      </c>
      <c r="J1162" s="5">
        <v>50</v>
      </c>
      <c r="K1162" s="8">
        <f t="shared" si="38"/>
        <v>65.972222222222214</v>
      </c>
      <c r="L1162" s="8">
        <f t="shared" si="39"/>
        <v>7.042253521126761</v>
      </c>
      <c r="M1162" t="s">
        <v>20</v>
      </c>
      <c r="N1162" t="s">
        <v>421</v>
      </c>
    </row>
    <row r="1163" spans="1:14" x14ac:dyDescent="0.3">
      <c r="A1163" t="s">
        <v>500</v>
      </c>
      <c r="B1163" s="2">
        <v>46231</v>
      </c>
      <c r="C1163" s="2">
        <v>46233</v>
      </c>
      <c r="D1163" s="1" t="s">
        <v>497</v>
      </c>
      <c r="E1163" t="s">
        <v>498</v>
      </c>
      <c r="F1163" t="s">
        <v>438</v>
      </c>
      <c r="G1163" s="5">
        <v>1052</v>
      </c>
      <c r="H1163" s="5">
        <v>1118</v>
      </c>
      <c r="I1163" s="5">
        <v>1100</v>
      </c>
      <c r="J1163" s="5">
        <v>18</v>
      </c>
      <c r="K1163" s="8">
        <f t="shared" si="38"/>
        <v>106.27376425855513</v>
      </c>
      <c r="L1163" s="8">
        <f t="shared" si="39"/>
        <v>1.6363636363636365</v>
      </c>
      <c r="M1163" t="s">
        <v>20</v>
      </c>
      <c r="N1163" t="s">
        <v>421</v>
      </c>
    </row>
    <row r="1164" spans="1:14" x14ac:dyDescent="0.3">
      <c r="A1164" t="s">
        <v>1334</v>
      </c>
      <c r="B1164" s="2">
        <v>46232</v>
      </c>
      <c r="C1164" s="2">
        <v>46234</v>
      </c>
      <c r="D1164" s="1" t="s">
        <v>497</v>
      </c>
      <c r="E1164" t="s">
        <v>498</v>
      </c>
      <c r="F1164" t="s">
        <v>438</v>
      </c>
      <c r="G1164" s="5">
        <v>1052</v>
      </c>
      <c r="H1164" s="5">
        <v>1115</v>
      </c>
      <c r="I1164" s="5">
        <v>1060</v>
      </c>
      <c r="J1164" s="5">
        <v>55</v>
      </c>
      <c r="K1164" s="8">
        <f t="shared" si="38"/>
        <v>105.98859315589353</v>
      </c>
      <c r="L1164" s="8">
        <f t="shared" si="39"/>
        <v>5.1886792452830193</v>
      </c>
      <c r="M1164" t="s">
        <v>20</v>
      </c>
      <c r="N1164" t="s">
        <v>421</v>
      </c>
    </row>
    <row r="1165" spans="1:14" x14ac:dyDescent="0.3">
      <c r="A1165" t="s">
        <v>1335</v>
      </c>
      <c r="B1165" s="2">
        <v>46238</v>
      </c>
      <c r="C1165" s="2">
        <v>46239</v>
      </c>
      <c r="D1165" s="1" t="s">
        <v>497</v>
      </c>
      <c r="E1165" t="s">
        <v>498</v>
      </c>
      <c r="F1165" t="s">
        <v>438</v>
      </c>
      <c r="G1165" s="5">
        <v>1052</v>
      </c>
      <c r="H1165" s="5">
        <v>1042</v>
      </c>
      <c r="I1165" s="5">
        <v>930</v>
      </c>
      <c r="J1165" s="5">
        <v>112</v>
      </c>
      <c r="K1165" s="8">
        <f t="shared" si="38"/>
        <v>99.049429657794676</v>
      </c>
      <c r="L1165" s="8">
        <f t="shared" si="39"/>
        <v>12.043010752688172</v>
      </c>
      <c r="M1165" t="s">
        <v>20</v>
      </c>
      <c r="N1165" t="s">
        <v>421</v>
      </c>
    </row>
    <row r="1166" spans="1:14" x14ac:dyDescent="0.3">
      <c r="A1166" t="s">
        <v>1336</v>
      </c>
      <c r="B1166" s="2">
        <v>46239</v>
      </c>
      <c r="C1166" s="2">
        <v>46240</v>
      </c>
      <c r="D1166" s="1" t="s">
        <v>497</v>
      </c>
      <c r="E1166" t="s">
        <v>498</v>
      </c>
      <c r="F1166" t="s">
        <v>438</v>
      </c>
      <c r="G1166" s="5">
        <v>1052</v>
      </c>
      <c r="H1166" s="5">
        <v>1097</v>
      </c>
      <c r="I1166" s="5">
        <v>1010</v>
      </c>
      <c r="J1166" s="5">
        <v>87</v>
      </c>
      <c r="K1166" s="8">
        <f t="shared" si="38"/>
        <v>104.27756653992395</v>
      </c>
      <c r="L1166" s="8">
        <f t="shared" si="39"/>
        <v>8.6138613861386126</v>
      </c>
      <c r="M1166" t="s">
        <v>20</v>
      </c>
      <c r="N1166" t="s">
        <v>421</v>
      </c>
    </row>
    <row r="1167" spans="1:14" x14ac:dyDescent="0.3">
      <c r="A1167" t="s">
        <v>1337</v>
      </c>
      <c r="B1167" s="2">
        <v>46239</v>
      </c>
      <c r="C1167" s="2">
        <v>46240</v>
      </c>
      <c r="D1167" s="1" t="s">
        <v>506</v>
      </c>
      <c r="E1167" t="s">
        <v>507</v>
      </c>
      <c r="F1167" t="s">
        <v>425</v>
      </c>
      <c r="G1167" s="5">
        <v>115</v>
      </c>
      <c r="H1167" s="5">
        <v>113</v>
      </c>
      <c r="I1167" s="5">
        <v>113</v>
      </c>
      <c r="J1167" s="5">
        <v>0</v>
      </c>
      <c r="K1167" s="8">
        <f t="shared" si="38"/>
        <v>98.260869565217391</v>
      </c>
      <c r="L1167" s="8">
        <f t="shared" si="39"/>
        <v>0</v>
      </c>
      <c r="M1167" t="s">
        <v>20</v>
      </c>
      <c r="N1167" t="s">
        <v>421</v>
      </c>
    </row>
    <row r="1168" spans="1:14" x14ac:dyDescent="0.3">
      <c r="A1168" t="s">
        <v>522</v>
      </c>
      <c r="B1168" s="2">
        <v>46232</v>
      </c>
      <c r="C1168" s="2">
        <v>46233</v>
      </c>
      <c r="D1168" s="1" t="s">
        <v>518</v>
      </c>
      <c r="E1168" t="s">
        <v>519</v>
      </c>
      <c r="F1168" t="s">
        <v>438</v>
      </c>
      <c r="G1168" s="5">
        <v>194</v>
      </c>
      <c r="H1168" s="5">
        <v>195</v>
      </c>
      <c r="I1168" s="5">
        <v>195</v>
      </c>
      <c r="J1168" s="5">
        <v>0</v>
      </c>
      <c r="K1168" s="8">
        <f t="shared" si="38"/>
        <v>100.51546391752578</v>
      </c>
      <c r="L1168" s="8">
        <f t="shared" si="39"/>
        <v>0</v>
      </c>
      <c r="M1168" t="s">
        <v>20</v>
      </c>
      <c r="N1168" t="s">
        <v>421</v>
      </c>
    </row>
    <row r="1169" spans="1:14" x14ac:dyDescent="0.3">
      <c r="A1169" t="s">
        <v>528</v>
      </c>
      <c r="B1169" s="2">
        <v>46232</v>
      </c>
      <c r="C1169" s="2">
        <v>46233</v>
      </c>
      <c r="D1169" s="1" t="s">
        <v>524</v>
      </c>
      <c r="E1169" t="s">
        <v>525</v>
      </c>
      <c r="F1169" t="s">
        <v>438</v>
      </c>
      <c r="G1169" s="5">
        <v>112</v>
      </c>
      <c r="H1169" s="5">
        <v>101</v>
      </c>
      <c r="I1169" s="5">
        <v>100</v>
      </c>
      <c r="J1169" s="5">
        <v>1</v>
      </c>
      <c r="K1169" s="8">
        <f t="shared" si="38"/>
        <v>90.178571428571431</v>
      </c>
      <c r="L1169" s="8">
        <f t="shared" si="39"/>
        <v>1</v>
      </c>
      <c r="M1169" t="s">
        <v>20</v>
      </c>
      <c r="N1169" t="s">
        <v>421</v>
      </c>
    </row>
    <row r="1170" spans="1:14" x14ac:dyDescent="0.3">
      <c r="A1170" t="s">
        <v>1338</v>
      </c>
      <c r="B1170" s="2">
        <v>46238</v>
      </c>
      <c r="C1170" s="2">
        <v>46239</v>
      </c>
      <c r="D1170" s="1" t="s">
        <v>524</v>
      </c>
      <c r="E1170" t="s">
        <v>525</v>
      </c>
      <c r="F1170" t="s">
        <v>438</v>
      </c>
      <c r="G1170" s="5">
        <v>112</v>
      </c>
      <c r="H1170" s="5">
        <v>114</v>
      </c>
      <c r="I1170" s="5">
        <v>114</v>
      </c>
      <c r="J1170" s="5">
        <v>0</v>
      </c>
      <c r="K1170" s="8">
        <f t="shared" si="38"/>
        <v>101.78571428571428</v>
      </c>
      <c r="L1170" s="8">
        <f t="shared" si="39"/>
        <v>0</v>
      </c>
      <c r="M1170" t="s">
        <v>20</v>
      </c>
      <c r="N1170" t="s">
        <v>421</v>
      </c>
    </row>
    <row r="1171" spans="1:14" x14ac:dyDescent="0.3">
      <c r="A1171" t="s">
        <v>529</v>
      </c>
      <c r="B1171" s="2">
        <v>46232</v>
      </c>
      <c r="C1171" s="2">
        <v>46233</v>
      </c>
      <c r="D1171" s="1" t="s">
        <v>530</v>
      </c>
      <c r="E1171" t="s">
        <v>531</v>
      </c>
      <c r="F1171" t="s">
        <v>532</v>
      </c>
      <c r="G1171" s="5">
        <v>725</v>
      </c>
      <c r="H1171" s="5">
        <v>749</v>
      </c>
      <c r="I1171" s="5">
        <v>690</v>
      </c>
      <c r="J1171" s="5">
        <v>59</v>
      </c>
      <c r="K1171" s="8">
        <f t="shared" si="38"/>
        <v>103.31034482758621</v>
      </c>
      <c r="L1171" s="8">
        <f t="shared" si="39"/>
        <v>8.5507246376811583</v>
      </c>
      <c r="M1171" t="s">
        <v>20</v>
      </c>
      <c r="N1171" t="s">
        <v>421</v>
      </c>
    </row>
    <row r="1172" spans="1:14" x14ac:dyDescent="0.3">
      <c r="A1172" t="s">
        <v>540</v>
      </c>
      <c r="B1172" s="2">
        <v>46232</v>
      </c>
      <c r="C1172" s="2">
        <v>46233</v>
      </c>
      <c r="D1172" s="1" t="s">
        <v>534</v>
      </c>
      <c r="E1172" t="s">
        <v>535</v>
      </c>
      <c r="F1172" t="s">
        <v>438</v>
      </c>
      <c r="G1172" s="5">
        <v>194</v>
      </c>
      <c r="H1172" s="5">
        <v>198</v>
      </c>
      <c r="I1172" s="5">
        <v>198</v>
      </c>
      <c r="J1172" s="5">
        <v>0</v>
      </c>
      <c r="K1172" s="8">
        <f t="shared" si="38"/>
        <v>102.06185567010309</v>
      </c>
      <c r="L1172" s="8">
        <f t="shared" si="39"/>
        <v>0</v>
      </c>
      <c r="M1172" t="s">
        <v>20</v>
      </c>
      <c r="N1172" t="s">
        <v>421</v>
      </c>
    </row>
    <row r="1173" spans="1:14" x14ac:dyDescent="0.3">
      <c r="A1173" t="s">
        <v>1339</v>
      </c>
      <c r="B1173" s="2">
        <v>46237</v>
      </c>
      <c r="C1173" s="2">
        <v>46237</v>
      </c>
      <c r="D1173" s="1" t="s">
        <v>534</v>
      </c>
      <c r="E1173" t="s">
        <v>535</v>
      </c>
      <c r="F1173" t="s">
        <v>438</v>
      </c>
      <c r="G1173" s="5">
        <v>194</v>
      </c>
      <c r="H1173" s="5">
        <v>198</v>
      </c>
      <c r="I1173" s="5">
        <v>198</v>
      </c>
      <c r="J1173" s="5">
        <v>0</v>
      </c>
      <c r="K1173" s="8">
        <f t="shared" si="38"/>
        <v>102.06185567010309</v>
      </c>
      <c r="L1173" s="8">
        <f t="shared" si="39"/>
        <v>0</v>
      </c>
      <c r="M1173" t="s">
        <v>20</v>
      </c>
      <c r="N1173" t="s">
        <v>421</v>
      </c>
    </row>
    <row r="1174" spans="1:14" x14ac:dyDescent="0.3">
      <c r="A1174" t="s">
        <v>547</v>
      </c>
      <c r="B1174" s="2">
        <v>46231</v>
      </c>
      <c r="C1174" s="2">
        <v>46233</v>
      </c>
      <c r="D1174" s="1" t="s">
        <v>542</v>
      </c>
      <c r="E1174" t="s">
        <v>543</v>
      </c>
      <c r="F1174" t="s">
        <v>425</v>
      </c>
      <c r="G1174" s="5">
        <v>340</v>
      </c>
      <c r="H1174" s="5">
        <v>344</v>
      </c>
      <c r="I1174" s="5">
        <v>344</v>
      </c>
      <c r="J1174" s="5">
        <v>0</v>
      </c>
      <c r="K1174" s="8">
        <f t="shared" si="38"/>
        <v>101.17647058823529</v>
      </c>
      <c r="L1174" s="8">
        <f t="shared" si="39"/>
        <v>0</v>
      </c>
      <c r="M1174" t="s">
        <v>20</v>
      </c>
      <c r="N1174" t="s">
        <v>421</v>
      </c>
    </row>
    <row r="1175" spans="1:14" x14ac:dyDescent="0.3">
      <c r="A1175" t="s">
        <v>1340</v>
      </c>
      <c r="B1175" s="2">
        <v>46238</v>
      </c>
      <c r="C1175" s="2">
        <v>46239</v>
      </c>
      <c r="D1175" s="1" t="s">
        <v>562</v>
      </c>
      <c r="E1175" t="s">
        <v>563</v>
      </c>
      <c r="F1175" t="s">
        <v>438</v>
      </c>
      <c r="G1175" s="5">
        <v>662</v>
      </c>
      <c r="H1175" s="5">
        <v>578</v>
      </c>
      <c r="I1175" s="5">
        <v>540</v>
      </c>
      <c r="J1175" s="5">
        <v>38</v>
      </c>
      <c r="K1175" s="8">
        <f t="shared" si="38"/>
        <v>87.311178247734134</v>
      </c>
      <c r="L1175" s="8">
        <f t="shared" si="39"/>
        <v>7.0370370370370372</v>
      </c>
      <c r="M1175" t="s">
        <v>20</v>
      </c>
      <c r="N1175" t="s">
        <v>421</v>
      </c>
    </row>
    <row r="1176" spans="1:14" x14ac:dyDescent="0.3">
      <c r="A1176" t="s">
        <v>1341</v>
      </c>
      <c r="B1176" s="2">
        <v>46239</v>
      </c>
      <c r="C1176" s="2">
        <v>46240</v>
      </c>
      <c r="D1176" s="1" t="s">
        <v>562</v>
      </c>
      <c r="E1176" t="s">
        <v>563</v>
      </c>
      <c r="F1176" t="s">
        <v>438</v>
      </c>
      <c r="G1176" s="5">
        <v>662</v>
      </c>
      <c r="H1176" s="5">
        <v>659</v>
      </c>
      <c r="I1176" s="5">
        <v>640</v>
      </c>
      <c r="J1176" s="5">
        <v>19</v>
      </c>
      <c r="K1176" s="8">
        <f t="shared" si="38"/>
        <v>99.546827794561935</v>
      </c>
      <c r="L1176" s="8">
        <f t="shared" si="39"/>
        <v>2.96875</v>
      </c>
      <c r="M1176" t="s">
        <v>20</v>
      </c>
      <c r="N1176" t="s">
        <v>421</v>
      </c>
    </row>
    <row r="1177" spans="1:14" x14ac:dyDescent="0.3">
      <c r="A1177" t="s">
        <v>1342</v>
      </c>
      <c r="B1177" s="2">
        <v>46233</v>
      </c>
      <c r="C1177" s="2">
        <v>46234</v>
      </c>
      <c r="D1177" s="1" t="s">
        <v>566</v>
      </c>
      <c r="E1177" t="s">
        <v>567</v>
      </c>
      <c r="F1177" t="s">
        <v>438</v>
      </c>
      <c r="G1177" s="5">
        <v>1660</v>
      </c>
      <c r="H1177" s="5">
        <v>1749</v>
      </c>
      <c r="I1177" s="5">
        <v>1710</v>
      </c>
      <c r="J1177" s="5">
        <v>39</v>
      </c>
      <c r="K1177" s="8">
        <f t="shared" si="38"/>
        <v>105.36144578313254</v>
      </c>
      <c r="L1177" s="8">
        <f t="shared" si="39"/>
        <v>2.2807017543859649</v>
      </c>
      <c r="M1177" t="s">
        <v>20</v>
      </c>
      <c r="N1177" t="s">
        <v>421</v>
      </c>
    </row>
    <row r="1178" spans="1:14" x14ac:dyDescent="0.3">
      <c r="A1178" t="s">
        <v>1343</v>
      </c>
      <c r="B1178" s="2">
        <v>46238</v>
      </c>
      <c r="C1178" s="2">
        <v>46239</v>
      </c>
      <c r="D1178" s="1" t="s">
        <v>566</v>
      </c>
      <c r="E1178" t="s">
        <v>567</v>
      </c>
      <c r="F1178" t="s">
        <v>438</v>
      </c>
      <c r="G1178" s="5">
        <v>1660</v>
      </c>
      <c r="H1178" s="5">
        <v>1697</v>
      </c>
      <c r="I1178" s="5">
        <v>1650</v>
      </c>
      <c r="J1178" s="5">
        <v>47</v>
      </c>
      <c r="K1178" s="8">
        <f t="shared" si="38"/>
        <v>102.22891566265059</v>
      </c>
      <c r="L1178" s="8">
        <f t="shared" si="39"/>
        <v>2.8484848484848486</v>
      </c>
      <c r="M1178" t="s">
        <v>20</v>
      </c>
      <c r="N1178" t="s">
        <v>421</v>
      </c>
    </row>
    <row r="1179" spans="1:14" x14ac:dyDescent="0.3">
      <c r="A1179" t="s">
        <v>589</v>
      </c>
      <c r="B1179" s="2">
        <v>46232</v>
      </c>
      <c r="C1179" s="2">
        <v>46233</v>
      </c>
      <c r="D1179" s="1" t="s">
        <v>585</v>
      </c>
      <c r="E1179" t="s">
        <v>586</v>
      </c>
      <c r="F1179" t="s">
        <v>495</v>
      </c>
      <c r="G1179" s="5">
        <v>684</v>
      </c>
      <c r="H1179" s="5">
        <v>597</v>
      </c>
      <c r="I1179" s="5">
        <v>574</v>
      </c>
      <c r="J1179" s="5">
        <v>23</v>
      </c>
      <c r="K1179" s="8">
        <f t="shared" si="38"/>
        <v>87.280701754385973</v>
      </c>
      <c r="L1179" s="8">
        <f t="shared" si="39"/>
        <v>4.0069686411149821</v>
      </c>
      <c r="M1179" t="s">
        <v>20</v>
      </c>
      <c r="N1179" t="s">
        <v>421</v>
      </c>
    </row>
    <row r="1180" spans="1:14" x14ac:dyDescent="0.3">
      <c r="A1180" t="s">
        <v>600</v>
      </c>
      <c r="B1180" s="2">
        <v>46231</v>
      </c>
      <c r="C1180" s="2">
        <v>46233</v>
      </c>
      <c r="D1180" s="1" t="s">
        <v>591</v>
      </c>
      <c r="E1180" t="s">
        <v>592</v>
      </c>
      <c r="F1180" t="s">
        <v>438</v>
      </c>
      <c r="G1180" s="5">
        <v>2340</v>
      </c>
      <c r="H1180" s="5">
        <v>1007</v>
      </c>
      <c r="I1180" s="5">
        <v>800</v>
      </c>
      <c r="J1180" s="5">
        <v>207</v>
      </c>
      <c r="K1180" s="8">
        <f t="shared" si="38"/>
        <v>43.034188034188034</v>
      </c>
      <c r="L1180" s="8">
        <f t="shared" si="39"/>
        <v>25.874999999999996</v>
      </c>
      <c r="M1180" t="s">
        <v>20</v>
      </c>
      <c r="N1180" t="s">
        <v>421</v>
      </c>
    </row>
    <row r="1181" spans="1:14" x14ac:dyDescent="0.3">
      <c r="A1181" t="s">
        <v>601</v>
      </c>
      <c r="B1181" s="2">
        <v>46232</v>
      </c>
      <c r="C1181" s="2">
        <v>46233</v>
      </c>
      <c r="D1181" s="1" t="s">
        <v>591</v>
      </c>
      <c r="E1181" t="s">
        <v>592</v>
      </c>
      <c r="F1181" t="s">
        <v>438</v>
      </c>
      <c r="G1181" s="5">
        <v>2340</v>
      </c>
      <c r="H1181" s="5">
        <v>2540</v>
      </c>
      <c r="I1181" s="5">
        <v>2280</v>
      </c>
      <c r="J1181" s="5">
        <v>260</v>
      </c>
      <c r="K1181" s="8">
        <f t="shared" si="38"/>
        <v>108.54700854700855</v>
      </c>
      <c r="L1181" s="8">
        <f t="shared" si="39"/>
        <v>11.403508771929824</v>
      </c>
      <c r="M1181" t="s">
        <v>20</v>
      </c>
      <c r="N1181" t="s">
        <v>421</v>
      </c>
    </row>
    <row r="1182" spans="1:14" x14ac:dyDescent="0.3">
      <c r="A1182" t="s">
        <v>1344</v>
      </c>
      <c r="B1182" s="2">
        <v>46233</v>
      </c>
      <c r="C1182" s="2">
        <v>46234</v>
      </c>
      <c r="D1182" s="1" t="s">
        <v>591</v>
      </c>
      <c r="E1182" t="s">
        <v>592</v>
      </c>
      <c r="F1182" t="s">
        <v>438</v>
      </c>
      <c r="G1182" s="5">
        <v>1560</v>
      </c>
      <c r="H1182" s="5">
        <v>1428</v>
      </c>
      <c r="I1182" s="5">
        <v>1384</v>
      </c>
      <c r="J1182" s="5">
        <v>44</v>
      </c>
      <c r="K1182" s="8">
        <f t="shared" si="38"/>
        <v>91.538461538461533</v>
      </c>
      <c r="L1182" s="8">
        <f t="shared" si="39"/>
        <v>3.1791907514450863</v>
      </c>
      <c r="M1182" t="s">
        <v>20</v>
      </c>
      <c r="N1182" t="s">
        <v>421</v>
      </c>
    </row>
    <row r="1183" spans="1:14" x14ac:dyDescent="0.3">
      <c r="A1183" t="s">
        <v>1345</v>
      </c>
      <c r="B1183" s="2">
        <v>46238</v>
      </c>
      <c r="C1183" s="2">
        <v>46239</v>
      </c>
      <c r="D1183" s="1" t="s">
        <v>591</v>
      </c>
      <c r="E1183" t="s">
        <v>592</v>
      </c>
      <c r="F1183" t="s">
        <v>438</v>
      </c>
      <c r="G1183" s="5">
        <v>2340</v>
      </c>
      <c r="H1183" s="5">
        <v>2104</v>
      </c>
      <c r="I1183" s="5">
        <v>1960</v>
      </c>
      <c r="J1183" s="5">
        <v>144</v>
      </c>
      <c r="K1183" s="8">
        <f t="shared" si="38"/>
        <v>89.914529914529922</v>
      </c>
      <c r="L1183" s="8">
        <f t="shared" si="39"/>
        <v>7.3469387755102051</v>
      </c>
      <c r="M1183" t="s">
        <v>20</v>
      </c>
      <c r="N1183" t="s">
        <v>421</v>
      </c>
    </row>
    <row r="1184" spans="1:14" x14ac:dyDescent="0.3">
      <c r="A1184" t="s">
        <v>1346</v>
      </c>
      <c r="B1184" s="2">
        <v>46239</v>
      </c>
      <c r="C1184" s="2">
        <v>46240</v>
      </c>
      <c r="D1184" s="1" t="s">
        <v>591</v>
      </c>
      <c r="E1184" t="s">
        <v>592</v>
      </c>
      <c r="F1184" t="s">
        <v>438</v>
      </c>
      <c r="G1184" s="5">
        <v>2340</v>
      </c>
      <c r="H1184" s="5">
        <v>2112</v>
      </c>
      <c r="I1184" s="5">
        <v>1856</v>
      </c>
      <c r="J1184" s="5">
        <v>256</v>
      </c>
      <c r="K1184" s="8">
        <f t="shared" si="38"/>
        <v>90.256410256410263</v>
      </c>
      <c r="L1184" s="8">
        <f t="shared" si="39"/>
        <v>13.793103448275861</v>
      </c>
      <c r="M1184" t="s">
        <v>20</v>
      </c>
      <c r="N1184" t="s">
        <v>421</v>
      </c>
    </row>
    <row r="1185" spans="1:14" x14ac:dyDescent="0.3">
      <c r="A1185" t="s">
        <v>1347</v>
      </c>
      <c r="B1185" s="2">
        <v>46238</v>
      </c>
      <c r="C1185" s="2">
        <v>46239</v>
      </c>
      <c r="D1185" s="1" t="s">
        <v>603</v>
      </c>
      <c r="E1185" t="s">
        <v>604</v>
      </c>
      <c r="F1185" t="s">
        <v>438</v>
      </c>
      <c r="G1185" s="5">
        <v>900</v>
      </c>
      <c r="H1185" s="5">
        <v>914</v>
      </c>
      <c r="I1185" s="5">
        <v>864</v>
      </c>
      <c r="J1185" s="5">
        <v>50</v>
      </c>
      <c r="K1185" s="8">
        <f t="shared" si="38"/>
        <v>101.55555555555556</v>
      </c>
      <c r="L1185" s="8">
        <f t="shared" si="39"/>
        <v>5.7870370370370372</v>
      </c>
      <c r="M1185" t="s">
        <v>20</v>
      </c>
      <c r="N1185" t="s">
        <v>421</v>
      </c>
    </row>
    <row r="1186" spans="1:14" x14ac:dyDescent="0.3">
      <c r="A1186" t="s">
        <v>632</v>
      </c>
      <c r="B1186" s="2">
        <v>46232</v>
      </c>
      <c r="C1186" s="2">
        <v>46233</v>
      </c>
      <c r="D1186" s="1" t="s">
        <v>619</v>
      </c>
      <c r="E1186" t="s">
        <v>620</v>
      </c>
      <c r="F1186" t="s">
        <v>420</v>
      </c>
      <c r="G1186" s="5">
        <v>48</v>
      </c>
      <c r="H1186" s="5">
        <v>48</v>
      </c>
      <c r="I1186" s="5">
        <v>48</v>
      </c>
      <c r="J1186" s="5">
        <v>0</v>
      </c>
      <c r="K1186" s="8">
        <f t="shared" si="38"/>
        <v>100</v>
      </c>
      <c r="L1186" s="8">
        <f t="shared" si="39"/>
        <v>0</v>
      </c>
      <c r="M1186" t="s">
        <v>20</v>
      </c>
      <c r="N1186" t="s">
        <v>421</v>
      </c>
    </row>
    <row r="1187" spans="1:14" x14ac:dyDescent="0.3">
      <c r="A1187" t="s">
        <v>1348</v>
      </c>
      <c r="B1187" s="2">
        <v>46233</v>
      </c>
      <c r="C1187" s="2">
        <v>46234</v>
      </c>
      <c r="D1187" s="1" t="s">
        <v>619</v>
      </c>
      <c r="E1187" t="s">
        <v>620</v>
      </c>
      <c r="F1187" t="s">
        <v>420</v>
      </c>
      <c r="G1187" s="5">
        <v>50</v>
      </c>
      <c r="H1187" s="5">
        <v>50</v>
      </c>
      <c r="I1187" s="5">
        <v>50</v>
      </c>
      <c r="J1187" s="5">
        <v>0</v>
      </c>
      <c r="K1187" s="8">
        <f t="shared" si="38"/>
        <v>100</v>
      </c>
      <c r="L1187" s="8">
        <f t="shared" si="39"/>
        <v>0</v>
      </c>
      <c r="M1187" t="s">
        <v>20</v>
      </c>
      <c r="N1187" t="s">
        <v>421</v>
      </c>
    </row>
    <row r="1188" spans="1:14" x14ac:dyDescent="0.3">
      <c r="A1188" t="s">
        <v>1349</v>
      </c>
      <c r="B1188" s="2">
        <v>46234</v>
      </c>
      <c r="C1188" s="2">
        <v>46237</v>
      </c>
      <c r="D1188" s="1" t="s">
        <v>619</v>
      </c>
      <c r="E1188" t="s">
        <v>620</v>
      </c>
      <c r="F1188" t="s">
        <v>420</v>
      </c>
      <c r="G1188" s="5">
        <v>73</v>
      </c>
      <c r="H1188" s="5">
        <v>73</v>
      </c>
      <c r="I1188" s="5">
        <v>73</v>
      </c>
      <c r="J1188" s="5">
        <v>0</v>
      </c>
      <c r="K1188" s="8">
        <f t="shared" si="38"/>
        <v>100</v>
      </c>
      <c r="L1188" s="8">
        <f t="shared" si="39"/>
        <v>0</v>
      </c>
      <c r="M1188" t="s">
        <v>20</v>
      </c>
      <c r="N1188" t="s">
        <v>421</v>
      </c>
    </row>
    <row r="1189" spans="1:14" x14ac:dyDescent="0.3">
      <c r="A1189" t="s">
        <v>1350</v>
      </c>
      <c r="B1189" s="2">
        <v>46238</v>
      </c>
      <c r="C1189" s="2">
        <v>46239</v>
      </c>
      <c r="D1189" s="1" t="s">
        <v>619</v>
      </c>
      <c r="E1189" t="s">
        <v>620</v>
      </c>
      <c r="F1189" t="s">
        <v>420</v>
      </c>
      <c r="G1189" s="5">
        <v>53</v>
      </c>
      <c r="H1189" s="5">
        <v>53</v>
      </c>
      <c r="I1189" s="5">
        <v>53</v>
      </c>
      <c r="J1189" s="5">
        <v>0</v>
      </c>
      <c r="K1189" s="8">
        <f t="shared" si="38"/>
        <v>100</v>
      </c>
      <c r="L1189" s="8">
        <f t="shared" si="39"/>
        <v>0</v>
      </c>
      <c r="M1189" t="s">
        <v>20</v>
      </c>
      <c r="N1189" t="s">
        <v>421</v>
      </c>
    </row>
    <row r="1190" spans="1:14" x14ac:dyDescent="0.3">
      <c r="A1190" t="s">
        <v>1351</v>
      </c>
      <c r="B1190" s="2">
        <v>46232</v>
      </c>
      <c r="C1190" s="2">
        <v>46234</v>
      </c>
      <c r="D1190" s="1" t="s">
        <v>638</v>
      </c>
      <c r="E1190" t="s">
        <v>639</v>
      </c>
      <c r="F1190" t="s">
        <v>532</v>
      </c>
      <c r="G1190" s="5">
        <v>3882</v>
      </c>
      <c r="H1190" s="5">
        <v>3880</v>
      </c>
      <c r="I1190" s="5">
        <v>3810</v>
      </c>
      <c r="J1190" s="5">
        <v>70</v>
      </c>
      <c r="K1190" s="8">
        <f t="shared" si="38"/>
        <v>99.948480164863469</v>
      </c>
      <c r="L1190" s="8">
        <f t="shared" si="39"/>
        <v>1.837270341207349</v>
      </c>
      <c r="M1190" t="s">
        <v>20</v>
      </c>
      <c r="N1190" t="s">
        <v>421</v>
      </c>
    </row>
    <row r="1191" spans="1:14" x14ac:dyDescent="0.3">
      <c r="A1191" t="s">
        <v>1352</v>
      </c>
      <c r="B1191" s="2">
        <v>46233</v>
      </c>
      <c r="C1191" s="2">
        <v>46237</v>
      </c>
      <c r="D1191" s="1" t="s">
        <v>638</v>
      </c>
      <c r="E1191" t="s">
        <v>639</v>
      </c>
      <c r="F1191" t="s">
        <v>532</v>
      </c>
      <c r="G1191" s="5">
        <v>5176</v>
      </c>
      <c r="H1191" s="5">
        <v>5205</v>
      </c>
      <c r="I1191" s="5">
        <v>5154</v>
      </c>
      <c r="J1191" s="5">
        <v>51</v>
      </c>
      <c r="K1191" s="8">
        <f t="shared" si="38"/>
        <v>100.56027820710973</v>
      </c>
      <c r="L1191" s="8">
        <f t="shared" si="39"/>
        <v>0.98952270081490101</v>
      </c>
      <c r="M1191" t="s">
        <v>20</v>
      </c>
      <c r="N1191" t="s">
        <v>421</v>
      </c>
    </row>
    <row r="1192" spans="1:14" x14ac:dyDescent="0.3">
      <c r="A1192" t="s">
        <v>1353</v>
      </c>
      <c r="B1192" s="2">
        <v>46239</v>
      </c>
      <c r="C1192" s="2">
        <v>46240</v>
      </c>
      <c r="D1192" s="1" t="s">
        <v>647</v>
      </c>
      <c r="E1192" t="s">
        <v>648</v>
      </c>
      <c r="F1192" t="s">
        <v>532</v>
      </c>
      <c r="G1192" s="5">
        <v>2760</v>
      </c>
      <c r="H1192" s="5">
        <v>2775</v>
      </c>
      <c r="I1192" s="5">
        <v>2754</v>
      </c>
      <c r="J1192" s="5">
        <v>21</v>
      </c>
      <c r="K1192" s="8">
        <f t="shared" si="38"/>
        <v>100.54347826086956</v>
      </c>
      <c r="L1192" s="8">
        <f t="shared" si="39"/>
        <v>0.76252723311546844</v>
      </c>
      <c r="M1192" t="s">
        <v>20</v>
      </c>
      <c r="N1192" t="s">
        <v>421</v>
      </c>
    </row>
    <row r="1193" spans="1:14" x14ac:dyDescent="0.3">
      <c r="A1193" t="s">
        <v>1354</v>
      </c>
      <c r="B1193" s="2">
        <v>46238</v>
      </c>
      <c r="C1193" s="2">
        <v>46239</v>
      </c>
      <c r="D1193" s="1" t="s">
        <v>654</v>
      </c>
      <c r="E1193" t="s">
        <v>655</v>
      </c>
      <c r="F1193" t="s">
        <v>438</v>
      </c>
      <c r="G1193" s="5">
        <v>160</v>
      </c>
      <c r="H1193" s="5">
        <v>211</v>
      </c>
      <c r="I1193" s="5">
        <v>210</v>
      </c>
      <c r="J1193" s="5">
        <v>1</v>
      </c>
      <c r="K1193" s="8">
        <f t="shared" si="38"/>
        <v>131.875</v>
      </c>
      <c r="L1193" s="8">
        <f t="shared" si="39"/>
        <v>0.47619047619047622</v>
      </c>
      <c r="M1193" t="s">
        <v>20</v>
      </c>
      <c r="N1193" t="s">
        <v>421</v>
      </c>
    </row>
    <row r="1194" spans="1:14" x14ac:dyDescent="0.3">
      <c r="A1194" t="s">
        <v>1355</v>
      </c>
      <c r="B1194" s="2">
        <v>46239</v>
      </c>
      <c r="C1194" s="2">
        <v>46240</v>
      </c>
      <c r="D1194" s="1" t="s">
        <v>654</v>
      </c>
      <c r="E1194" t="s">
        <v>655</v>
      </c>
      <c r="F1194" t="s">
        <v>438</v>
      </c>
      <c r="G1194" s="5">
        <v>160</v>
      </c>
      <c r="H1194" s="5">
        <v>211</v>
      </c>
      <c r="I1194" s="5">
        <v>160</v>
      </c>
      <c r="J1194" s="5">
        <v>51</v>
      </c>
      <c r="K1194" s="8">
        <f t="shared" si="38"/>
        <v>131.875</v>
      </c>
      <c r="L1194" s="8">
        <f t="shared" si="39"/>
        <v>31.874999999999996</v>
      </c>
      <c r="M1194" t="s">
        <v>20</v>
      </c>
      <c r="N1194" t="s">
        <v>421</v>
      </c>
    </row>
    <row r="1195" spans="1:14" x14ac:dyDescent="0.3">
      <c r="A1195" t="s">
        <v>669</v>
      </c>
      <c r="B1195" s="2">
        <v>46232</v>
      </c>
      <c r="C1195" s="2">
        <v>46233</v>
      </c>
      <c r="D1195" s="1" t="s">
        <v>661</v>
      </c>
      <c r="E1195" t="s">
        <v>662</v>
      </c>
      <c r="F1195" t="s">
        <v>532</v>
      </c>
      <c r="G1195" s="5">
        <v>525</v>
      </c>
      <c r="H1195" s="5">
        <v>598</v>
      </c>
      <c r="I1195" s="5">
        <v>590</v>
      </c>
      <c r="J1195" s="5">
        <v>8</v>
      </c>
      <c r="K1195" s="8">
        <f t="shared" si="38"/>
        <v>113.90476190476191</v>
      </c>
      <c r="L1195" s="8">
        <f t="shared" si="39"/>
        <v>1.3559322033898304</v>
      </c>
      <c r="M1195" t="s">
        <v>20</v>
      </c>
      <c r="N1195" t="s">
        <v>421</v>
      </c>
    </row>
    <row r="1196" spans="1:14" x14ac:dyDescent="0.3">
      <c r="A1196" t="s">
        <v>1356</v>
      </c>
      <c r="B1196" s="2">
        <v>46239</v>
      </c>
      <c r="C1196" s="2">
        <v>46240</v>
      </c>
      <c r="D1196" s="1" t="s">
        <v>661</v>
      </c>
      <c r="E1196" t="s">
        <v>662</v>
      </c>
      <c r="F1196" t="s">
        <v>532</v>
      </c>
      <c r="G1196" s="5">
        <v>525</v>
      </c>
      <c r="H1196" s="5">
        <v>620</v>
      </c>
      <c r="I1196" s="5">
        <v>600</v>
      </c>
      <c r="J1196" s="5">
        <v>20</v>
      </c>
      <c r="K1196" s="8">
        <f t="shared" si="38"/>
        <v>118.0952380952381</v>
      </c>
      <c r="L1196" s="8">
        <f t="shared" si="39"/>
        <v>3.3333333333333335</v>
      </c>
      <c r="M1196" t="s">
        <v>20</v>
      </c>
      <c r="N1196" t="s">
        <v>421</v>
      </c>
    </row>
    <row r="1197" spans="1:14" x14ac:dyDescent="0.3">
      <c r="A1197" t="s">
        <v>673</v>
      </c>
      <c r="B1197" s="2">
        <v>46232</v>
      </c>
      <c r="C1197" s="2">
        <v>46233</v>
      </c>
      <c r="D1197" s="1" t="s">
        <v>671</v>
      </c>
      <c r="E1197" t="s">
        <v>672</v>
      </c>
      <c r="F1197" t="s">
        <v>532</v>
      </c>
      <c r="G1197" s="5">
        <v>750</v>
      </c>
      <c r="H1197" s="5">
        <v>774</v>
      </c>
      <c r="I1197" s="5">
        <v>770</v>
      </c>
      <c r="J1197" s="5">
        <v>4</v>
      </c>
      <c r="K1197" s="8">
        <f t="shared" si="38"/>
        <v>103.2</v>
      </c>
      <c r="L1197" s="8">
        <f t="shared" si="39"/>
        <v>0.51948051948051943</v>
      </c>
      <c r="M1197" t="s">
        <v>20</v>
      </c>
      <c r="N1197" t="s">
        <v>421</v>
      </c>
    </row>
    <row r="1198" spans="1:14" x14ac:dyDescent="0.3">
      <c r="A1198" t="s">
        <v>1357</v>
      </c>
      <c r="B1198" s="2">
        <v>46233</v>
      </c>
      <c r="C1198" s="2">
        <v>46234</v>
      </c>
      <c r="D1198" s="1" t="s">
        <v>671</v>
      </c>
      <c r="E1198" t="s">
        <v>672</v>
      </c>
      <c r="F1198" t="s">
        <v>532</v>
      </c>
      <c r="G1198" s="5">
        <v>750</v>
      </c>
      <c r="H1198" s="5">
        <v>720</v>
      </c>
      <c r="I1198" s="5">
        <v>720</v>
      </c>
      <c r="J1198" s="5">
        <v>0</v>
      </c>
      <c r="K1198" s="8">
        <f t="shared" si="38"/>
        <v>96</v>
      </c>
      <c r="L1198" s="8">
        <f t="shared" si="39"/>
        <v>0</v>
      </c>
      <c r="M1198" t="s">
        <v>20</v>
      </c>
      <c r="N1198" t="s">
        <v>421</v>
      </c>
    </row>
    <row r="1199" spans="1:14" x14ac:dyDescent="0.3">
      <c r="A1199" t="s">
        <v>1358</v>
      </c>
      <c r="B1199" s="2">
        <v>46238</v>
      </c>
      <c r="C1199" s="2">
        <v>46238</v>
      </c>
      <c r="D1199" s="1" t="s">
        <v>671</v>
      </c>
      <c r="E1199" t="s">
        <v>672</v>
      </c>
      <c r="F1199" t="s">
        <v>532</v>
      </c>
      <c r="G1199" s="5">
        <v>750</v>
      </c>
      <c r="H1199" s="5">
        <v>751</v>
      </c>
      <c r="I1199" s="5">
        <v>750</v>
      </c>
      <c r="J1199" s="5">
        <v>1</v>
      </c>
      <c r="K1199" s="8">
        <f t="shared" si="38"/>
        <v>100.13333333333334</v>
      </c>
      <c r="L1199" s="8">
        <f t="shared" si="39"/>
        <v>0.13333333333333333</v>
      </c>
      <c r="M1199" t="s">
        <v>20</v>
      </c>
      <c r="N1199" t="s">
        <v>421</v>
      </c>
    </row>
    <row r="1200" spans="1:14" x14ac:dyDescent="0.3">
      <c r="A1200" t="s">
        <v>678</v>
      </c>
      <c r="B1200" s="2">
        <v>46232</v>
      </c>
      <c r="C1200" s="2">
        <v>46233</v>
      </c>
      <c r="D1200" s="1" t="s">
        <v>675</v>
      </c>
      <c r="E1200" t="s">
        <v>676</v>
      </c>
      <c r="F1200" t="s">
        <v>677</v>
      </c>
      <c r="G1200" s="5">
        <v>500</v>
      </c>
      <c r="H1200" s="5">
        <v>500</v>
      </c>
      <c r="I1200" s="5">
        <v>500</v>
      </c>
      <c r="J1200" s="5">
        <v>0</v>
      </c>
      <c r="K1200" s="8">
        <f t="shared" si="38"/>
        <v>100</v>
      </c>
      <c r="L1200" s="8">
        <f t="shared" si="39"/>
        <v>0</v>
      </c>
      <c r="M1200" t="s">
        <v>20</v>
      </c>
      <c r="N1200" t="s">
        <v>421</v>
      </c>
    </row>
    <row r="1201" spans="1:14" x14ac:dyDescent="0.3">
      <c r="A1201" t="s">
        <v>1359</v>
      </c>
      <c r="B1201" s="2">
        <v>46233</v>
      </c>
      <c r="C1201" s="2">
        <v>46234</v>
      </c>
      <c r="D1201" s="1" t="s">
        <v>675</v>
      </c>
      <c r="E1201" t="s">
        <v>676</v>
      </c>
      <c r="F1201" t="s">
        <v>677</v>
      </c>
      <c r="G1201" s="5">
        <v>500</v>
      </c>
      <c r="H1201" s="5">
        <v>540</v>
      </c>
      <c r="I1201" s="5">
        <v>540</v>
      </c>
      <c r="J1201" s="5">
        <v>0</v>
      </c>
      <c r="K1201" s="8">
        <f t="shared" si="38"/>
        <v>108</v>
      </c>
      <c r="L1201" s="8">
        <f t="shared" si="39"/>
        <v>0</v>
      </c>
      <c r="M1201" t="s">
        <v>20</v>
      </c>
      <c r="N1201" t="s">
        <v>421</v>
      </c>
    </row>
    <row r="1202" spans="1:14" x14ac:dyDescent="0.3">
      <c r="A1202" t="s">
        <v>1360</v>
      </c>
      <c r="B1202" s="2">
        <v>46238</v>
      </c>
      <c r="C1202" s="2">
        <v>46239</v>
      </c>
      <c r="D1202" s="1" t="s">
        <v>675</v>
      </c>
      <c r="E1202" t="s">
        <v>676</v>
      </c>
      <c r="F1202" t="s">
        <v>677</v>
      </c>
      <c r="G1202" s="5">
        <v>500</v>
      </c>
      <c r="H1202" s="5">
        <v>460</v>
      </c>
      <c r="I1202" s="5">
        <v>460</v>
      </c>
      <c r="J1202" s="5">
        <v>0</v>
      </c>
      <c r="K1202" s="8">
        <f t="shared" si="38"/>
        <v>92</v>
      </c>
      <c r="L1202" s="8">
        <f t="shared" si="39"/>
        <v>0</v>
      </c>
      <c r="M1202" t="s">
        <v>20</v>
      </c>
      <c r="N1202" t="s">
        <v>421</v>
      </c>
    </row>
    <row r="1203" spans="1:14" x14ac:dyDescent="0.3">
      <c r="A1203" t="s">
        <v>1361</v>
      </c>
      <c r="B1203" s="2">
        <v>46239</v>
      </c>
      <c r="C1203" s="2">
        <v>46240</v>
      </c>
      <c r="D1203" s="1" t="s">
        <v>675</v>
      </c>
      <c r="E1203" t="s">
        <v>676</v>
      </c>
      <c r="F1203" t="s">
        <v>677</v>
      </c>
      <c r="G1203" s="5">
        <v>500</v>
      </c>
      <c r="H1203" s="5">
        <v>590</v>
      </c>
      <c r="I1203" s="5">
        <v>590</v>
      </c>
      <c r="J1203" s="5">
        <v>0</v>
      </c>
      <c r="K1203" s="8">
        <f t="shared" si="38"/>
        <v>118</v>
      </c>
      <c r="L1203" s="8">
        <f t="shared" si="39"/>
        <v>0</v>
      </c>
      <c r="M1203" t="s">
        <v>20</v>
      </c>
      <c r="N1203" t="s">
        <v>421</v>
      </c>
    </row>
    <row r="1204" spans="1:14" x14ac:dyDescent="0.3">
      <c r="A1204" t="s">
        <v>1362</v>
      </c>
      <c r="B1204" s="2">
        <v>46233</v>
      </c>
      <c r="C1204" s="2">
        <v>46234</v>
      </c>
      <c r="D1204" s="1" t="s">
        <v>680</v>
      </c>
      <c r="E1204" t="s">
        <v>681</v>
      </c>
      <c r="F1204" t="s">
        <v>677</v>
      </c>
      <c r="G1204" s="5">
        <v>782</v>
      </c>
      <c r="H1204" s="5">
        <v>761</v>
      </c>
      <c r="I1204" s="5">
        <v>760</v>
      </c>
      <c r="J1204" s="5">
        <v>1</v>
      </c>
      <c r="K1204" s="8">
        <f t="shared" si="38"/>
        <v>97.314578005115095</v>
      </c>
      <c r="L1204" s="8">
        <f t="shared" si="39"/>
        <v>0.13157894736842105</v>
      </c>
      <c r="M1204" t="s">
        <v>20</v>
      </c>
      <c r="N1204" t="s">
        <v>421</v>
      </c>
    </row>
    <row r="1205" spans="1:14" x14ac:dyDescent="0.3">
      <c r="A1205" t="s">
        <v>1363</v>
      </c>
      <c r="B1205" s="2">
        <v>46239</v>
      </c>
      <c r="C1205" s="2">
        <v>46240</v>
      </c>
      <c r="D1205" s="1" t="s">
        <v>680</v>
      </c>
      <c r="E1205" t="s">
        <v>681</v>
      </c>
      <c r="F1205" t="s">
        <v>677</v>
      </c>
      <c r="G1205" s="5">
        <v>782</v>
      </c>
      <c r="H1205" s="5">
        <v>780</v>
      </c>
      <c r="I1205" s="5">
        <v>780</v>
      </c>
      <c r="J1205" s="5">
        <v>0</v>
      </c>
      <c r="K1205" s="8">
        <f t="shared" si="38"/>
        <v>99.744245524296673</v>
      </c>
      <c r="L1205" s="8">
        <f t="shared" si="39"/>
        <v>0</v>
      </c>
      <c r="M1205" t="s">
        <v>20</v>
      </c>
      <c r="N1205" t="s">
        <v>421</v>
      </c>
    </row>
    <row r="1206" spans="1:14" x14ac:dyDescent="0.3">
      <c r="A1206" t="s">
        <v>1364</v>
      </c>
      <c r="B1206" s="2">
        <v>46233</v>
      </c>
      <c r="C1206" s="2">
        <v>46234</v>
      </c>
      <c r="D1206" s="1" t="s">
        <v>689</v>
      </c>
      <c r="E1206" t="s">
        <v>690</v>
      </c>
      <c r="F1206" t="s">
        <v>677</v>
      </c>
      <c r="G1206" s="5">
        <v>750</v>
      </c>
      <c r="H1206" s="5">
        <v>751</v>
      </c>
      <c r="I1206" s="5">
        <v>750</v>
      </c>
      <c r="J1206" s="5">
        <v>1</v>
      </c>
      <c r="K1206" s="8">
        <f t="shared" si="38"/>
        <v>100.13333333333334</v>
      </c>
      <c r="L1206" s="8">
        <f t="shared" si="39"/>
        <v>0.13333333333333333</v>
      </c>
      <c r="M1206" t="s">
        <v>20</v>
      </c>
      <c r="N1206" t="s">
        <v>421</v>
      </c>
    </row>
    <row r="1207" spans="1:14" x14ac:dyDescent="0.3">
      <c r="A1207" t="s">
        <v>1365</v>
      </c>
      <c r="B1207" s="2">
        <v>46238</v>
      </c>
      <c r="C1207" s="2">
        <v>46239</v>
      </c>
      <c r="D1207" s="1" t="s">
        <v>689</v>
      </c>
      <c r="E1207" t="s">
        <v>690</v>
      </c>
      <c r="F1207" t="s">
        <v>532</v>
      </c>
      <c r="G1207" s="5">
        <v>750</v>
      </c>
      <c r="H1207" s="5">
        <v>710</v>
      </c>
      <c r="I1207" s="5">
        <v>710</v>
      </c>
      <c r="J1207" s="5">
        <v>0</v>
      </c>
      <c r="K1207" s="8">
        <f t="shared" ref="K1207:K1270" si="40">(H1207/G1207)*100</f>
        <v>94.666666666666671</v>
      </c>
      <c r="L1207" s="8">
        <f t="shared" ref="L1207:L1270" si="41">((H1207-I1207)/I1207)*100</f>
        <v>0</v>
      </c>
      <c r="M1207" t="s">
        <v>20</v>
      </c>
      <c r="N1207" t="s">
        <v>421</v>
      </c>
    </row>
    <row r="1208" spans="1:14" x14ac:dyDescent="0.3">
      <c r="A1208" t="s">
        <v>700</v>
      </c>
      <c r="B1208" s="2">
        <v>46232</v>
      </c>
      <c r="C1208" s="2">
        <v>46233</v>
      </c>
      <c r="D1208" s="1" t="s">
        <v>696</v>
      </c>
      <c r="E1208" t="s">
        <v>697</v>
      </c>
      <c r="F1208" t="s">
        <v>677</v>
      </c>
      <c r="G1208" s="5">
        <v>750</v>
      </c>
      <c r="H1208" s="5">
        <v>781</v>
      </c>
      <c r="I1208" s="5">
        <v>780</v>
      </c>
      <c r="J1208" s="5">
        <v>1</v>
      </c>
      <c r="K1208" s="8">
        <f t="shared" si="40"/>
        <v>104.13333333333334</v>
      </c>
      <c r="L1208" s="8">
        <f t="shared" si="41"/>
        <v>0.12820512820512819</v>
      </c>
      <c r="M1208" t="s">
        <v>20</v>
      </c>
      <c r="N1208" t="s">
        <v>421</v>
      </c>
    </row>
    <row r="1209" spans="1:14" x14ac:dyDescent="0.3">
      <c r="A1209" t="s">
        <v>1366</v>
      </c>
      <c r="B1209" s="2">
        <v>46239</v>
      </c>
      <c r="C1209" s="2">
        <v>46240</v>
      </c>
      <c r="D1209" s="1" t="s">
        <v>696</v>
      </c>
      <c r="E1209" t="s">
        <v>697</v>
      </c>
      <c r="F1209" t="s">
        <v>532</v>
      </c>
      <c r="G1209" s="5">
        <v>1500</v>
      </c>
      <c r="H1209" s="5">
        <v>1480</v>
      </c>
      <c r="I1209" s="5">
        <v>1480</v>
      </c>
      <c r="J1209" s="5">
        <v>0</v>
      </c>
      <c r="K1209" s="8">
        <f t="shared" si="40"/>
        <v>98.666666666666671</v>
      </c>
      <c r="L1209" s="8">
        <f t="shared" si="41"/>
        <v>0</v>
      </c>
      <c r="M1209" t="s">
        <v>20</v>
      </c>
      <c r="N1209" t="s">
        <v>421</v>
      </c>
    </row>
    <row r="1210" spans="1:14" x14ac:dyDescent="0.3">
      <c r="A1210" t="s">
        <v>708</v>
      </c>
      <c r="B1210" s="2">
        <v>46232</v>
      </c>
      <c r="C1210" s="2">
        <v>46233</v>
      </c>
      <c r="D1210" s="1" t="s">
        <v>702</v>
      </c>
      <c r="E1210" t="s">
        <v>703</v>
      </c>
      <c r="F1210" t="s">
        <v>438</v>
      </c>
      <c r="G1210" s="5">
        <v>157</v>
      </c>
      <c r="H1210" s="5">
        <v>150</v>
      </c>
      <c r="I1210" s="5">
        <v>150</v>
      </c>
      <c r="J1210" s="5">
        <v>0</v>
      </c>
      <c r="K1210" s="8">
        <f t="shared" si="40"/>
        <v>95.541401273885356</v>
      </c>
      <c r="L1210" s="8">
        <f t="shared" si="41"/>
        <v>0</v>
      </c>
      <c r="M1210" t="s">
        <v>20</v>
      </c>
      <c r="N1210" t="s">
        <v>421</v>
      </c>
    </row>
    <row r="1211" spans="1:14" x14ac:dyDescent="0.3">
      <c r="A1211" t="s">
        <v>1367</v>
      </c>
      <c r="B1211" s="2">
        <v>46237</v>
      </c>
      <c r="C1211" s="2">
        <v>46237</v>
      </c>
      <c r="D1211" s="1" t="s">
        <v>702</v>
      </c>
      <c r="E1211" t="s">
        <v>703</v>
      </c>
      <c r="F1211" t="s">
        <v>438</v>
      </c>
      <c r="G1211" s="5">
        <v>157</v>
      </c>
      <c r="H1211" s="5">
        <v>151</v>
      </c>
      <c r="I1211" s="5">
        <v>144</v>
      </c>
      <c r="J1211" s="5">
        <v>7</v>
      </c>
      <c r="K1211" s="8">
        <f t="shared" si="40"/>
        <v>96.178343949044589</v>
      </c>
      <c r="L1211" s="8">
        <f t="shared" si="41"/>
        <v>4.8611111111111116</v>
      </c>
      <c r="M1211" t="s">
        <v>20</v>
      </c>
      <c r="N1211" t="s">
        <v>421</v>
      </c>
    </row>
    <row r="1212" spans="1:14" x14ac:dyDescent="0.3">
      <c r="A1212" t="s">
        <v>1368</v>
      </c>
      <c r="B1212" s="2">
        <v>46239</v>
      </c>
      <c r="C1212" s="2">
        <v>46240</v>
      </c>
      <c r="D1212" s="1" t="s">
        <v>702</v>
      </c>
      <c r="E1212" t="s">
        <v>703</v>
      </c>
      <c r="F1212" t="s">
        <v>438</v>
      </c>
      <c r="G1212" s="5">
        <v>157</v>
      </c>
      <c r="H1212" s="5">
        <v>151</v>
      </c>
      <c r="I1212" s="5">
        <v>138</v>
      </c>
      <c r="J1212" s="5">
        <v>13</v>
      </c>
      <c r="K1212" s="8">
        <f t="shared" si="40"/>
        <v>96.178343949044589</v>
      </c>
      <c r="L1212" s="8">
        <f t="shared" si="41"/>
        <v>9.4202898550724647</v>
      </c>
      <c r="M1212" t="s">
        <v>20</v>
      </c>
      <c r="N1212" t="s">
        <v>421</v>
      </c>
    </row>
    <row r="1213" spans="1:14" x14ac:dyDescent="0.3">
      <c r="A1213" t="s">
        <v>1369</v>
      </c>
      <c r="B1213" s="2">
        <v>46232</v>
      </c>
      <c r="C1213" s="2">
        <v>46234</v>
      </c>
      <c r="D1213" s="1" t="s">
        <v>710</v>
      </c>
      <c r="E1213" t="s">
        <v>711</v>
      </c>
      <c r="F1213" t="s">
        <v>438</v>
      </c>
      <c r="G1213" s="5">
        <v>6560</v>
      </c>
      <c r="H1213" s="5">
        <v>6748</v>
      </c>
      <c r="I1213" s="5">
        <v>6688</v>
      </c>
      <c r="J1213" s="5">
        <v>60</v>
      </c>
      <c r="K1213" s="8">
        <f t="shared" si="40"/>
        <v>102.86585365853658</v>
      </c>
      <c r="L1213" s="8">
        <f t="shared" si="41"/>
        <v>0.89712918660287078</v>
      </c>
      <c r="M1213" t="s">
        <v>20</v>
      </c>
      <c r="N1213" t="s">
        <v>421</v>
      </c>
    </row>
    <row r="1214" spans="1:14" x14ac:dyDescent="0.3">
      <c r="A1214" t="s">
        <v>1370</v>
      </c>
      <c r="B1214" s="2">
        <v>46233</v>
      </c>
      <c r="C1214" s="2">
        <v>46234</v>
      </c>
      <c r="D1214" s="1" t="s">
        <v>710</v>
      </c>
      <c r="E1214" t="s">
        <v>711</v>
      </c>
      <c r="F1214" t="s">
        <v>438</v>
      </c>
      <c r="G1214" s="5">
        <v>4920</v>
      </c>
      <c r="H1214" s="5">
        <v>4832</v>
      </c>
      <c r="I1214" s="5">
        <v>4736</v>
      </c>
      <c r="J1214" s="5">
        <v>96</v>
      </c>
      <c r="K1214" s="8">
        <f t="shared" si="40"/>
        <v>98.211382113821131</v>
      </c>
      <c r="L1214" s="8">
        <f t="shared" si="41"/>
        <v>2.0270270270270272</v>
      </c>
      <c r="M1214" t="s">
        <v>20</v>
      </c>
      <c r="N1214" t="s">
        <v>421</v>
      </c>
    </row>
    <row r="1215" spans="1:14" x14ac:dyDescent="0.3">
      <c r="A1215" t="s">
        <v>1371</v>
      </c>
      <c r="B1215" s="2">
        <v>46237</v>
      </c>
      <c r="C1215" s="2">
        <v>46238</v>
      </c>
      <c r="D1215" s="1" t="s">
        <v>710</v>
      </c>
      <c r="E1215" t="s">
        <v>711</v>
      </c>
      <c r="F1215" t="s">
        <v>438</v>
      </c>
      <c r="G1215" s="5">
        <v>8200</v>
      </c>
      <c r="H1215" s="5">
        <v>8632</v>
      </c>
      <c r="I1215" s="5">
        <v>8016</v>
      </c>
      <c r="J1215" s="5">
        <v>616</v>
      </c>
      <c r="K1215" s="8">
        <f t="shared" si="40"/>
        <v>105.26829268292684</v>
      </c>
      <c r="L1215" s="8">
        <f t="shared" si="41"/>
        <v>7.6846307385229542</v>
      </c>
      <c r="M1215" t="s">
        <v>20</v>
      </c>
      <c r="N1215" t="s">
        <v>421</v>
      </c>
    </row>
    <row r="1216" spans="1:14" x14ac:dyDescent="0.3">
      <c r="A1216" t="s">
        <v>1372</v>
      </c>
      <c r="B1216" s="2">
        <v>46238</v>
      </c>
      <c r="C1216" s="2">
        <v>46239</v>
      </c>
      <c r="D1216" s="1" t="s">
        <v>710</v>
      </c>
      <c r="E1216" t="s">
        <v>711</v>
      </c>
      <c r="F1216" t="s">
        <v>438</v>
      </c>
      <c r="G1216" s="5">
        <v>6560</v>
      </c>
      <c r="H1216" s="5">
        <v>6380</v>
      </c>
      <c r="I1216" s="5">
        <v>6080</v>
      </c>
      <c r="J1216" s="5">
        <v>300</v>
      </c>
      <c r="K1216" s="8">
        <f t="shared" si="40"/>
        <v>97.256097560975604</v>
      </c>
      <c r="L1216" s="8">
        <f t="shared" si="41"/>
        <v>4.9342105263157894</v>
      </c>
      <c r="M1216" t="s">
        <v>20</v>
      </c>
      <c r="N1216" t="s">
        <v>421</v>
      </c>
    </row>
    <row r="1217" spans="1:14" x14ac:dyDescent="0.3">
      <c r="A1217" t="s">
        <v>1373</v>
      </c>
      <c r="B1217" s="2">
        <v>46239</v>
      </c>
      <c r="C1217" s="2">
        <v>46240</v>
      </c>
      <c r="D1217" s="1" t="s">
        <v>710</v>
      </c>
      <c r="E1217" t="s">
        <v>711</v>
      </c>
      <c r="F1217" t="s">
        <v>438</v>
      </c>
      <c r="G1217" s="5">
        <v>4920</v>
      </c>
      <c r="H1217" s="5">
        <v>6448</v>
      </c>
      <c r="I1217" s="5">
        <v>6320</v>
      </c>
      <c r="J1217" s="5">
        <v>128</v>
      </c>
      <c r="K1217" s="8">
        <f t="shared" si="40"/>
        <v>131.0569105691057</v>
      </c>
      <c r="L1217" s="8">
        <f t="shared" si="41"/>
        <v>2.0253164556962027</v>
      </c>
      <c r="M1217" t="s">
        <v>20</v>
      </c>
      <c r="N1217" t="s">
        <v>421</v>
      </c>
    </row>
    <row r="1218" spans="1:14" x14ac:dyDescent="0.3">
      <c r="A1218" t="s">
        <v>733</v>
      </c>
      <c r="B1218" s="2">
        <v>46232</v>
      </c>
      <c r="C1218" s="2">
        <v>46233</v>
      </c>
      <c r="D1218" s="1" t="s">
        <v>722</v>
      </c>
      <c r="E1218" t="s">
        <v>723</v>
      </c>
      <c r="F1218" t="s">
        <v>438</v>
      </c>
      <c r="G1218" s="5">
        <v>13056</v>
      </c>
      <c r="H1218" s="5">
        <v>12762</v>
      </c>
      <c r="I1218" s="5">
        <v>12600</v>
      </c>
      <c r="J1218" s="5">
        <v>162</v>
      </c>
      <c r="K1218" s="8">
        <f t="shared" si="40"/>
        <v>97.748161764705884</v>
      </c>
      <c r="L1218" s="8">
        <f t="shared" si="41"/>
        <v>1.2857142857142856</v>
      </c>
      <c r="M1218" t="s">
        <v>20</v>
      </c>
      <c r="N1218" t="s">
        <v>421</v>
      </c>
    </row>
    <row r="1219" spans="1:14" x14ac:dyDescent="0.3">
      <c r="A1219" t="s">
        <v>1374</v>
      </c>
      <c r="B1219" s="2">
        <v>46233</v>
      </c>
      <c r="C1219" s="2">
        <v>46234</v>
      </c>
      <c r="D1219" s="1" t="s">
        <v>722</v>
      </c>
      <c r="E1219" t="s">
        <v>723</v>
      </c>
      <c r="F1219" t="s">
        <v>438</v>
      </c>
      <c r="G1219" s="5">
        <v>9792</v>
      </c>
      <c r="H1219" s="5">
        <v>9510</v>
      </c>
      <c r="I1219" s="5">
        <v>9330</v>
      </c>
      <c r="J1219" s="5">
        <v>180</v>
      </c>
      <c r="K1219" s="8">
        <f t="shared" si="40"/>
        <v>97.120098039215691</v>
      </c>
      <c r="L1219" s="8">
        <f t="shared" si="41"/>
        <v>1.929260450160772</v>
      </c>
      <c r="M1219" t="s">
        <v>20</v>
      </c>
      <c r="N1219" t="s">
        <v>421</v>
      </c>
    </row>
    <row r="1220" spans="1:14" x14ac:dyDescent="0.3">
      <c r="A1220" t="s">
        <v>1375</v>
      </c>
      <c r="B1220" s="2">
        <v>46237</v>
      </c>
      <c r="C1220" s="2">
        <v>46238</v>
      </c>
      <c r="D1220" s="1" t="s">
        <v>722</v>
      </c>
      <c r="E1220" t="s">
        <v>723</v>
      </c>
      <c r="F1220" t="s">
        <v>438</v>
      </c>
      <c r="G1220" s="5">
        <v>6528</v>
      </c>
      <c r="H1220" s="5">
        <v>6462</v>
      </c>
      <c r="I1220" s="5">
        <v>6300</v>
      </c>
      <c r="J1220" s="5">
        <v>162</v>
      </c>
      <c r="K1220" s="8">
        <f t="shared" si="40"/>
        <v>98.98897058823529</v>
      </c>
      <c r="L1220" s="8">
        <f t="shared" si="41"/>
        <v>2.5714285714285712</v>
      </c>
      <c r="M1220" t="s">
        <v>20</v>
      </c>
      <c r="N1220" t="s">
        <v>421</v>
      </c>
    </row>
    <row r="1221" spans="1:14" x14ac:dyDescent="0.3">
      <c r="A1221" t="s">
        <v>1376</v>
      </c>
      <c r="B1221" s="2">
        <v>46238</v>
      </c>
      <c r="C1221" s="2">
        <v>46239</v>
      </c>
      <c r="D1221" s="1" t="s">
        <v>722</v>
      </c>
      <c r="E1221" t="s">
        <v>723</v>
      </c>
      <c r="F1221" t="s">
        <v>438</v>
      </c>
      <c r="G1221" s="5">
        <v>9792</v>
      </c>
      <c r="H1221" s="5">
        <v>9510</v>
      </c>
      <c r="I1221" s="5">
        <v>9450</v>
      </c>
      <c r="J1221" s="5">
        <v>60</v>
      </c>
      <c r="K1221" s="8">
        <f t="shared" si="40"/>
        <v>97.120098039215691</v>
      </c>
      <c r="L1221" s="8">
        <f t="shared" si="41"/>
        <v>0.63492063492063489</v>
      </c>
      <c r="M1221" t="s">
        <v>20</v>
      </c>
      <c r="N1221" t="s">
        <v>421</v>
      </c>
    </row>
    <row r="1222" spans="1:14" x14ac:dyDescent="0.3">
      <c r="A1222" t="s">
        <v>1377</v>
      </c>
      <c r="B1222" s="2">
        <v>46239</v>
      </c>
      <c r="C1222" s="2">
        <v>46240</v>
      </c>
      <c r="D1222" s="1" t="s">
        <v>722</v>
      </c>
      <c r="E1222" t="s">
        <v>723</v>
      </c>
      <c r="F1222" t="s">
        <v>438</v>
      </c>
      <c r="G1222" s="5">
        <v>16320</v>
      </c>
      <c r="H1222" s="5">
        <v>16224</v>
      </c>
      <c r="I1222" s="5">
        <v>15960</v>
      </c>
      <c r="J1222" s="5">
        <v>264</v>
      </c>
      <c r="K1222" s="8">
        <f t="shared" si="40"/>
        <v>99.411764705882348</v>
      </c>
      <c r="L1222" s="8">
        <f t="shared" si="41"/>
        <v>1.6541353383458646</v>
      </c>
      <c r="M1222" t="s">
        <v>20</v>
      </c>
      <c r="N1222" t="s">
        <v>421</v>
      </c>
    </row>
    <row r="1223" spans="1:14" x14ac:dyDescent="0.3">
      <c r="A1223" t="s">
        <v>1378</v>
      </c>
      <c r="B1223" s="2">
        <v>46239</v>
      </c>
      <c r="C1223" s="2">
        <v>46240</v>
      </c>
      <c r="D1223" s="1" t="s">
        <v>741</v>
      </c>
      <c r="E1223" t="s">
        <v>742</v>
      </c>
      <c r="F1223" t="s">
        <v>438</v>
      </c>
      <c r="G1223" s="5">
        <v>127</v>
      </c>
      <c r="H1223" s="5">
        <v>130</v>
      </c>
      <c r="I1223" s="5">
        <v>129</v>
      </c>
      <c r="J1223" s="5">
        <v>1</v>
      </c>
      <c r="K1223" s="8">
        <f t="shared" si="40"/>
        <v>102.36220472440945</v>
      </c>
      <c r="L1223" s="8">
        <f t="shared" si="41"/>
        <v>0.77519379844961245</v>
      </c>
      <c r="M1223" t="s">
        <v>20</v>
      </c>
      <c r="N1223" t="s">
        <v>421</v>
      </c>
    </row>
    <row r="1224" spans="1:14" x14ac:dyDescent="0.3">
      <c r="A1224" t="s">
        <v>752</v>
      </c>
      <c r="B1224" s="2">
        <v>46232</v>
      </c>
      <c r="C1224" s="2">
        <v>46233</v>
      </c>
      <c r="D1224" s="1" t="s">
        <v>747</v>
      </c>
      <c r="E1224" t="s">
        <v>748</v>
      </c>
      <c r="F1224" t="s">
        <v>438</v>
      </c>
      <c r="G1224" s="5">
        <v>70</v>
      </c>
      <c r="H1224" s="5">
        <v>70</v>
      </c>
      <c r="I1224" s="5">
        <v>67</v>
      </c>
      <c r="J1224" s="5">
        <v>3</v>
      </c>
      <c r="K1224" s="8">
        <f t="shared" si="40"/>
        <v>100</v>
      </c>
      <c r="L1224" s="8">
        <f t="shared" si="41"/>
        <v>4.4776119402985071</v>
      </c>
      <c r="M1224" t="s">
        <v>20</v>
      </c>
      <c r="N1224" t="s">
        <v>421</v>
      </c>
    </row>
    <row r="1225" spans="1:14" x14ac:dyDescent="0.3">
      <c r="A1225" t="s">
        <v>1379</v>
      </c>
      <c r="B1225" s="2">
        <v>46239</v>
      </c>
      <c r="C1225" s="2">
        <v>46240</v>
      </c>
      <c r="D1225" s="1" t="s">
        <v>747</v>
      </c>
      <c r="E1225" t="s">
        <v>748</v>
      </c>
      <c r="F1225" t="s">
        <v>438</v>
      </c>
      <c r="G1225" s="5">
        <v>70</v>
      </c>
      <c r="H1225" s="5">
        <v>69</v>
      </c>
      <c r="I1225" s="5">
        <v>68</v>
      </c>
      <c r="J1225" s="5">
        <v>1</v>
      </c>
      <c r="K1225" s="8">
        <f t="shared" si="40"/>
        <v>98.571428571428584</v>
      </c>
      <c r="L1225" s="8">
        <f t="shared" si="41"/>
        <v>1.4705882352941175</v>
      </c>
      <c r="M1225" t="s">
        <v>20</v>
      </c>
      <c r="N1225" t="s">
        <v>421</v>
      </c>
    </row>
    <row r="1226" spans="1:14" x14ac:dyDescent="0.3">
      <c r="A1226" t="s">
        <v>771</v>
      </c>
      <c r="B1226" s="2">
        <v>46232</v>
      </c>
      <c r="C1226" s="2">
        <v>46233</v>
      </c>
      <c r="D1226" s="1" t="s">
        <v>754</v>
      </c>
      <c r="E1226" t="s">
        <v>755</v>
      </c>
      <c r="F1226" t="s">
        <v>438</v>
      </c>
      <c r="G1226" s="5">
        <v>429</v>
      </c>
      <c r="H1226" s="5">
        <v>429</v>
      </c>
      <c r="I1226" s="5">
        <v>413</v>
      </c>
      <c r="J1226" s="5">
        <v>16</v>
      </c>
      <c r="K1226" s="8">
        <f t="shared" si="40"/>
        <v>100</v>
      </c>
      <c r="L1226" s="8">
        <f t="shared" si="41"/>
        <v>3.87409200968523</v>
      </c>
      <c r="M1226" t="s">
        <v>20</v>
      </c>
      <c r="N1226" t="s">
        <v>421</v>
      </c>
    </row>
    <row r="1227" spans="1:14" x14ac:dyDescent="0.3">
      <c r="A1227" t="s">
        <v>1380</v>
      </c>
      <c r="B1227" s="2">
        <v>46233</v>
      </c>
      <c r="C1227" s="2">
        <v>46234</v>
      </c>
      <c r="D1227" s="1" t="s">
        <v>754</v>
      </c>
      <c r="E1227" t="s">
        <v>755</v>
      </c>
      <c r="F1227" t="s">
        <v>438</v>
      </c>
      <c r="G1227" s="5">
        <v>429</v>
      </c>
      <c r="H1227" s="5">
        <v>428</v>
      </c>
      <c r="I1227" s="5">
        <v>415</v>
      </c>
      <c r="J1227" s="5">
        <v>13</v>
      </c>
      <c r="K1227" s="8">
        <f t="shared" si="40"/>
        <v>99.766899766899769</v>
      </c>
      <c r="L1227" s="8">
        <f t="shared" si="41"/>
        <v>3.132530120481928</v>
      </c>
      <c r="M1227" t="s">
        <v>20</v>
      </c>
      <c r="N1227" t="s">
        <v>421</v>
      </c>
    </row>
    <row r="1228" spans="1:14" x14ac:dyDescent="0.3">
      <c r="A1228" t="s">
        <v>1381</v>
      </c>
      <c r="B1228" s="2">
        <v>46237</v>
      </c>
      <c r="C1228" s="2">
        <v>46238</v>
      </c>
      <c r="D1228" s="1" t="s">
        <v>754</v>
      </c>
      <c r="E1228" t="s">
        <v>755</v>
      </c>
      <c r="F1228" t="s">
        <v>438</v>
      </c>
      <c r="G1228" s="5">
        <v>858</v>
      </c>
      <c r="H1228" s="5">
        <v>863</v>
      </c>
      <c r="I1228" s="5">
        <v>840</v>
      </c>
      <c r="J1228" s="5">
        <v>23</v>
      </c>
      <c r="K1228" s="8">
        <f t="shared" si="40"/>
        <v>100.58275058275059</v>
      </c>
      <c r="L1228" s="8">
        <f t="shared" si="41"/>
        <v>2.7380952380952381</v>
      </c>
      <c r="M1228" t="s">
        <v>20</v>
      </c>
      <c r="N1228" t="s">
        <v>421</v>
      </c>
    </row>
    <row r="1229" spans="1:14" x14ac:dyDescent="0.3">
      <c r="A1229" t="s">
        <v>1382</v>
      </c>
      <c r="B1229" s="2">
        <v>46238</v>
      </c>
      <c r="C1229" s="2">
        <v>46239</v>
      </c>
      <c r="D1229" s="1" t="s">
        <v>754</v>
      </c>
      <c r="E1229" t="s">
        <v>755</v>
      </c>
      <c r="F1229" t="s">
        <v>438</v>
      </c>
      <c r="G1229" s="5">
        <v>429</v>
      </c>
      <c r="H1229" s="5">
        <v>429</v>
      </c>
      <c r="I1229" s="5">
        <v>426</v>
      </c>
      <c r="J1229" s="5">
        <v>3</v>
      </c>
      <c r="K1229" s="8">
        <f t="shared" si="40"/>
        <v>100</v>
      </c>
      <c r="L1229" s="8">
        <f t="shared" si="41"/>
        <v>0.70422535211267612</v>
      </c>
      <c r="M1229" t="s">
        <v>20</v>
      </c>
      <c r="N1229" t="s">
        <v>421</v>
      </c>
    </row>
    <row r="1230" spans="1:14" x14ac:dyDescent="0.3">
      <c r="A1230" t="s">
        <v>1383</v>
      </c>
      <c r="B1230" s="2">
        <v>46238</v>
      </c>
      <c r="C1230" s="2">
        <v>46239</v>
      </c>
      <c r="D1230" s="1" t="s">
        <v>754</v>
      </c>
      <c r="E1230" t="s">
        <v>755</v>
      </c>
      <c r="F1230" t="s">
        <v>438</v>
      </c>
      <c r="G1230" s="5">
        <v>195</v>
      </c>
      <c r="H1230" s="5">
        <v>194</v>
      </c>
      <c r="I1230" s="5">
        <v>185</v>
      </c>
      <c r="J1230" s="5">
        <v>9</v>
      </c>
      <c r="K1230" s="8">
        <f t="shared" si="40"/>
        <v>99.487179487179489</v>
      </c>
      <c r="L1230" s="8">
        <f t="shared" si="41"/>
        <v>4.8648648648648649</v>
      </c>
      <c r="M1230" t="s">
        <v>20</v>
      </c>
      <c r="N1230" t="s">
        <v>421</v>
      </c>
    </row>
    <row r="1231" spans="1:14" x14ac:dyDescent="0.3">
      <c r="A1231" t="s">
        <v>1384</v>
      </c>
      <c r="B1231" s="2">
        <v>46239</v>
      </c>
      <c r="C1231" s="2">
        <v>46240</v>
      </c>
      <c r="D1231" s="1" t="s">
        <v>754</v>
      </c>
      <c r="E1231" t="s">
        <v>755</v>
      </c>
      <c r="F1231" t="s">
        <v>438</v>
      </c>
      <c r="G1231" s="5">
        <v>429</v>
      </c>
      <c r="H1231" s="5">
        <v>429</v>
      </c>
      <c r="I1231" s="5">
        <v>421</v>
      </c>
      <c r="J1231" s="5">
        <v>8</v>
      </c>
      <c r="K1231" s="8">
        <f t="shared" si="40"/>
        <v>100</v>
      </c>
      <c r="L1231" s="8">
        <f t="shared" si="41"/>
        <v>1.9002375296912115</v>
      </c>
      <c r="M1231" t="s">
        <v>20</v>
      </c>
      <c r="N1231" t="s">
        <v>421</v>
      </c>
    </row>
    <row r="1232" spans="1:14" x14ac:dyDescent="0.3">
      <c r="A1232" t="s">
        <v>786</v>
      </c>
      <c r="B1232" s="2">
        <v>46232</v>
      </c>
      <c r="C1232" s="2">
        <v>46233</v>
      </c>
      <c r="D1232" s="1" t="s">
        <v>773</v>
      </c>
      <c r="E1232" t="s">
        <v>774</v>
      </c>
      <c r="F1232" t="s">
        <v>420</v>
      </c>
      <c r="G1232" s="5">
        <v>890</v>
      </c>
      <c r="H1232" s="5">
        <v>890</v>
      </c>
      <c r="I1232" s="5">
        <v>890</v>
      </c>
      <c r="J1232" s="5">
        <v>0</v>
      </c>
      <c r="K1232" s="8">
        <f t="shared" si="40"/>
        <v>100</v>
      </c>
      <c r="L1232" s="8">
        <f t="shared" si="41"/>
        <v>0</v>
      </c>
      <c r="M1232" t="s">
        <v>20</v>
      </c>
      <c r="N1232" t="s">
        <v>421</v>
      </c>
    </row>
    <row r="1233" spans="1:14" x14ac:dyDescent="0.3">
      <c r="A1233" t="s">
        <v>1385</v>
      </c>
      <c r="B1233" s="2">
        <v>46233</v>
      </c>
      <c r="C1233" s="2">
        <v>46234</v>
      </c>
      <c r="D1233" s="1" t="s">
        <v>773</v>
      </c>
      <c r="E1233" t="s">
        <v>774</v>
      </c>
      <c r="F1233" t="s">
        <v>420</v>
      </c>
      <c r="G1233" s="5">
        <v>770</v>
      </c>
      <c r="H1233" s="5">
        <v>770</v>
      </c>
      <c r="I1233" s="5">
        <v>770</v>
      </c>
      <c r="J1233" s="5">
        <v>0</v>
      </c>
      <c r="K1233" s="8">
        <f t="shared" si="40"/>
        <v>100</v>
      </c>
      <c r="L1233" s="8">
        <f t="shared" si="41"/>
        <v>0</v>
      </c>
      <c r="M1233" t="s">
        <v>20</v>
      </c>
      <c r="N1233" t="s">
        <v>421</v>
      </c>
    </row>
    <row r="1234" spans="1:14" x14ac:dyDescent="0.3">
      <c r="A1234" t="s">
        <v>1386</v>
      </c>
      <c r="B1234" s="2">
        <v>46237</v>
      </c>
      <c r="C1234" s="2">
        <v>46237</v>
      </c>
      <c r="D1234" s="1" t="s">
        <v>773</v>
      </c>
      <c r="E1234" t="s">
        <v>774</v>
      </c>
      <c r="F1234" t="s">
        <v>420</v>
      </c>
      <c r="G1234" s="5">
        <v>840</v>
      </c>
      <c r="H1234" s="5">
        <v>840</v>
      </c>
      <c r="I1234" s="5">
        <v>840</v>
      </c>
      <c r="J1234" s="5">
        <v>0</v>
      </c>
      <c r="K1234" s="8">
        <f t="shared" si="40"/>
        <v>100</v>
      </c>
      <c r="L1234" s="8">
        <f t="shared" si="41"/>
        <v>0</v>
      </c>
      <c r="M1234" t="s">
        <v>20</v>
      </c>
      <c r="N1234" t="s">
        <v>421</v>
      </c>
    </row>
    <row r="1235" spans="1:14" x14ac:dyDescent="0.3">
      <c r="A1235" t="s">
        <v>1387</v>
      </c>
      <c r="B1235" s="2">
        <v>46238</v>
      </c>
      <c r="C1235" s="2">
        <v>46239</v>
      </c>
      <c r="D1235" s="1" t="s">
        <v>773</v>
      </c>
      <c r="E1235" t="s">
        <v>774</v>
      </c>
      <c r="F1235" t="s">
        <v>420</v>
      </c>
      <c r="G1235" s="5">
        <v>660</v>
      </c>
      <c r="H1235" s="5">
        <v>660</v>
      </c>
      <c r="I1235" s="5">
        <v>660</v>
      </c>
      <c r="J1235" s="5">
        <v>0</v>
      </c>
      <c r="K1235" s="8">
        <f t="shared" si="40"/>
        <v>100</v>
      </c>
      <c r="L1235" s="8">
        <f t="shared" si="41"/>
        <v>0</v>
      </c>
      <c r="M1235" t="s">
        <v>20</v>
      </c>
      <c r="N1235" t="s">
        <v>421</v>
      </c>
    </row>
    <row r="1236" spans="1:14" x14ac:dyDescent="0.3">
      <c r="A1236" t="s">
        <v>1388</v>
      </c>
      <c r="B1236" s="2">
        <v>46239</v>
      </c>
      <c r="C1236" s="2">
        <v>46240</v>
      </c>
      <c r="D1236" s="1" t="s">
        <v>773</v>
      </c>
      <c r="E1236" t="s">
        <v>774</v>
      </c>
      <c r="F1236" t="s">
        <v>420</v>
      </c>
      <c r="G1236" s="5">
        <v>880</v>
      </c>
      <c r="H1236" s="5">
        <v>880</v>
      </c>
      <c r="I1236" s="5">
        <v>880</v>
      </c>
      <c r="J1236" s="5">
        <v>0</v>
      </c>
      <c r="K1236" s="8">
        <f t="shared" si="40"/>
        <v>100</v>
      </c>
      <c r="L1236" s="8">
        <f t="shared" si="41"/>
        <v>0</v>
      </c>
      <c r="M1236" t="s">
        <v>20</v>
      </c>
      <c r="N1236" t="s">
        <v>421</v>
      </c>
    </row>
    <row r="1237" spans="1:14" x14ac:dyDescent="0.3">
      <c r="A1237" t="s">
        <v>800</v>
      </c>
      <c r="B1237" s="2">
        <v>46232</v>
      </c>
      <c r="C1237" s="2">
        <v>46233</v>
      </c>
      <c r="D1237" s="1" t="s">
        <v>788</v>
      </c>
      <c r="E1237" t="s">
        <v>789</v>
      </c>
      <c r="F1237" t="s">
        <v>420</v>
      </c>
      <c r="G1237" s="5">
        <v>400</v>
      </c>
      <c r="H1237" s="5">
        <v>400</v>
      </c>
      <c r="I1237" s="5">
        <v>400</v>
      </c>
      <c r="J1237" s="5">
        <v>0</v>
      </c>
      <c r="K1237" s="8">
        <f t="shared" si="40"/>
        <v>100</v>
      </c>
      <c r="L1237" s="8">
        <f t="shared" si="41"/>
        <v>0</v>
      </c>
      <c r="M1237" t="s">
        <v>20</v>
      </c>
      <c r="N1237" t="s">
        <v>421</v>
      </c>
    </row>
    <row r="1238" spans="1:14" x14ac:dyDescent="0.3">
      <c r="A1238" t="s">
        <v>1389</v>
      </c>
      <c r="B1238" s="2">
        <v>46233</v>
      </c>
      <c r="C1238" s="2">
        <v>46234</v>
      </c>
      <c r="D1238" s="1" t="s">
        <v>788</v>
      </c>
      <c r="E1238" t="s">
        <v>789</v>
      </c>
      <c r="F1238" t="s">
        <v>420</v>
      </c>
      <c r="G1238" s="5">
        <v>450</v>
      </c>
      <c r="H1238" s="5">
        <v>450</v>
      </c>
      <c r="I1238" s="5">
        <v>450</v>
      </c>
      <c r="J1238" s="5">
        <v>0</v>
      </c>
      <c r="K1238" s="8">
        <f t="shared" si="40"/>
        <v>100</v>
      </c>
      <c r="L1238" s="8">
        <f t="shared" si="41"/>
        <v>0</v>
      </c>
      <c r="M1238" t="s">
        <v>20</v>
      </c>
      <c r="N1238" t="s">
        <v>421</v>
      </c>
    </row>
    <row r="1239" spans="1:14" x14ac:dyDescent="0.3">
      <c r="A1239" t="s">
        <v>1390</v>
      </c>
      <c r="B1239" s="2">
        <v>46237</v>
      </c>
      <c r="C1239" s="2">
        <v>46237</v>
      </c>
      <c r="D1239" s="1" t="s">
        <v>788</v>
      </c>
      <c r="E1239" t="s">
        <v>789</v>
      </c>
      <c r="F1239" t="s">
        <v>420</v>
      </c>
      <c r="G1239" s="5">
        <v>630</v>
      </c>
      <c r="H1239" s="5">
        <v>630</v>
      </c>
      <c r="I1239" s="5">
        <v>630</v>
      </c>
      <c r="J1239" s="5">
        <v>0</v>
      </c>
      <c r="K1239" s="8">
        <f t="shared" si="40"/>
        <v>100</v>
      </c>
      <c r="L1239" s="8">
        <f t="shared" si="41"/>
        <v>0</v>
      </c>
      <c r="M1239" t="s">
        <v>20</v>
      </c>
      <c r="N1239" t="s">
        <v>421</v>
      </c>
    </row>
    <row r="1240" spans="1:14" x14ac:dyDescent="0.3">
      <c r="A1240" t="s">
        <v>1391</v>
      </c>
      <c r="B1240" s="2">
        <v>46238</v>
      </c>
      <c r="C1240" s="2">
        <v>46239</v>
      </c>
      <c r="D1240" s="1" t="s">
        <v>788</v>
      </c>
      <c r="E1240" t="s">
        <v>789</v>
      </c>
      <c r="F1240" t="s">
        <v>420</v>
      </c>
      <c r="G1240" s="5">
        <v>550</v>
      </c>
      <c r="H1240" s="5">
        <v>550</v>
      </c>
      <c r="I1240" s="5">
        <v>550</v>
      </c>
      <c r="J1240" s="5">
        <v>0</v>
      </c>
      <c r="K1240" s="8">
        <f t="shared" si="40"/>
        <v>100</v>
      </c>
      <c r="L1240" s="8">
        <f t="shared" si="41"/>
        <v>0</v>
      </c>
      <c r="M1240" t="s">
        <v>20</v>
      </c>
      <c r="N1240" t="s">
        <v>421</v>
      </c>
    </row>
    <row r="1241" spans="1:14" x14ac:dyDescent="0.3">
      <c r="A1241" t="s">
        <v>1392</v>
      </c>
      <c r="B1241" s="2">
        <v>46239</v>
      </c>
      <c r="C1241" s="2">
        <v>46240</v>
      </c>
      <c r="D1241" s="1" t="s">
        <v>788</v>
      </c>
      <c r="E1241" t="s">
        <v>789</v>
      </c>
      <c r="F1241" t="s">
        <v>420</v>
      </c>
      <c r="G1241" s="5">
        <v>390</v>
      </c>
      <c r="H1241" s="5">
        <v>390</v>
      </c>
      <c r="I1241" s="5">
        <v>390</v>
      </c>
      <c r="J1241" s="5">
        <v>0</v>
      </c>
      <c r="K1241" s="8">
        <f t="shared" si="40"/>
        <v>100</v>
      </c>
      <c r="L1241" s="8">
        <f t="shared" si="41"/>
        <v>0</v>
      </c>
      <c r="M1241" t="s">
        <v>20</v>
      </c>
      <c r="N1241" t="s">
        <v>421</v>
      </c>
    </row>
    <row r="1242" spans="1:14" x14ac:dyDescent="0.3">
      <c r="A1242" t="s">
        <v>1393</v>
      </c>
      <c r="B1242" s="2">
        <v>46238</v>
      </c>
      <c r="C1242" s="2">
        <v>46239</v>
      </c>
      <c r="D1242" s="1" t="s">
        <v>802</v>
      </c>
      <c r="E1242" t="s">
        <v>803</v>
      </c>
      <c r="F1242" t="s">
        <v>420</v>
      </c>
      <c r="G1242" s="5">
        <v>270</v>
      </c>
      <c r="H1242" s="5">
        <v>270</v>
      </c>
      <c r="I1242" s="5">
        <v>270</v>
      </c>
      <c r="J1242" s="5">
        <v>0</v>
      </c>
      <c r="K1242" s="8">
        <f t="shared" si="40"/>
        <v>100</v>
      </c>
      <c r="L1242" s="8">
        <f t="shared" si="41"/>
        <v>0</v>
      </c>
      <c r="M1242" t="s">
        <v>20</v>
      </c>
      <c r="N1242" t="s">
        <v>421</v>
      </c>
    </row>
    <row r="1243" spans="1:14" x14ac:dyDescent="0.3">
      <c r="A1243" t="s">
        <v>1394</v>
      </c>
      <c r="B1243" s="2">
        <v>46232</v>
      </c>
      <c r="C1243" s="2">
        <v>46234</v>
      </c>
      <c r="D1243" s="1" t="s">
        <v>805</v>
      </c>
      <c r="E1243" t="s">
        <v>806</v>
      </c>
      <c r="F1243" t="s">
        <v>420</v>
      </c>
      <c r="G1243" s="5">
        <v>1054</v>
      </c>
      <c r="H1243" s="5">
        <v>1054</v>
      </c>
      <c r="I1243" s="5">
        <v>1054</v>
      </c>
      <c r="J1243" s="5">
        <v>0</v>
      </c>
      <c r="K1243" s="8">
        <f t="shared" si="40"/>
        <v>100</v>
      </c>
      <c r="L1243" s="8">
        <f t="shared" si="41"/>
        <v>0</v>
      </c>
      <c r="M1243" t="s">
        <v>20</v>
      </c>
      <c r="N1243" t="s">
        <v>421</v>
      </c>
    </row>
    <row r="1244" spans="1:14" x14ac:dyDescent="0.3">
      <c r="A1244" t="s">
        <v>1395</v>
      </c>
      <c r="B1244" s="2">
        <v>46233</v>
      </c>
      <c r="C1244" s="2">
        <v>46234</v>
      </c>
      <c r="D1244" s="1" t="s">
        <v>805</v>
      </c>
      <c r="E1244" t="s">
        <v>806</v>
      </c>
      <c r="F1244" t="s">
        <v>420</v>
      </c>
      <c r="G1244" s="5">
        <v>1222</v>
      </c>
      <c r="H1244" s="5">
        <v>1222</v>
      </c>
      <c r="I1244" s="5">
        <v>1222</v>
      </c>
      <c r="J1244" s="5">
        <v>0</v>
      </c>
      <c r="K1244" s="8">
        <f t="shared" si="40"/>
        <v>100</v>
      </c>
      <c r="L1244" s="8">
        <f t="shared" si="41"/>
        <v>0</v>
      </c>
      <c r="M1244" t="s">
        <v>20</v>
      </c>
      <c r="N1244" t="s">
        <v>421</v>
      </c>
    </row>
    <row r="1245" spans="1:14" x14ac:dyDescent="0.3">
      <c r="A1245" t="s">
        <v>1396</v>
      </c>
      <c r="B1245" s="2">
        <v>46234</v>
      </c>
      <c r="C1245" s="2">
        <v>46237</v>
      </c>
      <c r="D1245" s="1" t="s">
        <v>805</v>
      </c>
      <c r="E1245" t="s">
        <v>806</v>
      </c>
      <c r="F1245" t="s">
        <v>420</v>
      </c>
      <c r="G1245" s="5">
        <v>804</v>
      </c>
      <c r="H1245" s="5">
        <v>804</v>
      </c>
      <c r="I1245" s="5">
        <v>804</v>
      </c>
      <c r="J1245" s="5">
        <v>0</v>
      </c>
      <c r="K1245" s="8">
        <f t="shared" si="40"/>
        <v>100</v>
      </c>
      <c r="L1245" s="8">
        <f t="shared" si="41"/>
        <v>0</v>
      </c>
      <c r="M1245" t="s">
        <v>20</v>
      </c>
      <c r="N1245" t="s">
        <v>421</v>
      </c>
    </row>
    <row r="1246" spans="1:14" x14ac:dyDescent="0.3">
      <c r="A1246" t="s">
        <v>1397</v>
      </c>
      <c r="B1246" s="2">
        <v>46238</v>
      </c>
      <c r="C1246" s="2">
        <v>46239</v>
      </c>
      <c r="D1246" s="1" t="s">
        <v>805</v>
      </c>
      <c r="E1246" t="s">
        <v>806</v>
      </c>
      <c r="F1246" t="s">
        <v>420</v>
      </c>
      <c r="G1246" s="5">
        <v>1154</v>
      </c>
      <c r="H1246" s="5">
        <v>1154</v>
      </c>
      <c r="I1246" s="5">
        <v>1154</v>
      </c>
      <c r="J1246" s="5">
        <v>0</v>
      </c>
      <c r="K1246" s="8">
        <f t="shared" si="40"/>
        <v>100</v>
      </c>
      <c r="L1246" s="8">
        <f t="shared" si="41"/>
        <v>0</v>
      </c>
      <c r="M1246" t="s">
        <v>20</v>
      </c>
      <c r="N1246" t="s">
        <v>421</v>
      </c>
    </row>
    <row r="1247" spans="1:14" x14ac:dyDescent="0.3">
      <c r="A1247" t="s">
        <v>1398</v>
      </c>
      <c r="B1247" s="2">
        <v>46239</v>
      </c>
      <c r="C1247" s="2">
        <v>46240</v>
      </c>
      <c r="D1247" s="1" t="s">
        <v>805</v>
      </c>
      <c r="E1247" t="s">
        <v>806</v>
      </c>
      <c r="F1247" t="s">
        <v>420</v>
      </c>
      <c r="G1247" s="5">
        <v>1138</v>
      </c>
      <c r="H1247" s="5">
        <v>1138</v>
      </c>
      <c r="I1247" s="5">
        <v>1138</v>
      </c>
      <c r="J1247" s="5">
        <v>0</v>
      </c>
      <c r="K1247" s="8">
        <f t="shared" si="40"/>
        <v>100</v>
      </c>
      <c r="L1247" s="8">
        <f t="shared" si="41"/>
        <v>0</v>
      </c>
      <c r="M1247" t="s">
        <v>20</v>
      </c>
      <c r="N1247" t="s">
        <v>421</v>
      </c>
    </row>
    <row r="1248" spans="1:14" x14ac:dyDescent="0.3">
      <c r="A1248" t="s">
        <v>1399</v>
      </c>
      <c r="B1248" s="2">
        <v>46233</v>
      </c>
      <c r="C1248" s="2">
        <v>46234</v>
      </c>
      <c r="D1248" s="1" t="s">
        <v>822</v>
      </c>
      <c r="E1248" t="s">
        <v>823</v>
      </c>
      <c r="F1248" t="s">
        <v>532</v>
      </c>
      <c r="G1248" s="5">
        <v>2900</v>
      </c>
      <c r="H1248" s="5">
        <v>2800</v>
      </c>
      <c r="I1248" s="5">
        <v>2710</v>
      </c>
      <c r="J1248" s="5">
        <v>90</v>
      </c>
      <c r="K1248" s="8">
        <f t="shared" si="40"/>
        <v>96.551724137931032</v>
      </c>
      <c r="L1248" s="8">
        <f t="shared" si="41"/>
        <v>3.3210332103321036</v>
      </c>
      <c r="M1248" t="s">
        <v>20</v>
      </c>
      <c r="N1248" t="s">
        <v>421</v>
      </c>
    </row>
    <row r="1249" spans="1:14" x14ac:dyDescent="0.3">
      <c r="A1249" t="s">
        <v>1400</v>
      </c>
      <c r="B1249" s="2">
        <v>46232</v>
      </c>
      <c r="C1249" s="2">
        <v>46234</v>
      </c>
      <c r="D1249" s="1" t="s">
        <v>1401</v>
      </c>
      <c r="E1249" t="s">
        <v>1402</v>
      </c>
      <c r="F1249" t="s">
        <v>438</v>
      </c>
      <c r="G1249" s="5">
        <v>1300</v>
      </c>
      <c r="H1249" s="5">
        <v>1536</v>
      </c>
      <c r="I1249" s="5">
        <v>1536</v>
      </c>
      <c r="J1249" s="5">
        <v>0</v>
      </c>
      <c r="K1249" s="8">
        <f t="shared" si="40"/>
        <v>118.15384615384616</v>
      </c>
      <c r="L1249" s="8">
        <f t="shared" si="41"/>
        <v>0</v>
      </c>
      <c r="M1249" t="s">
        <v>20</v>
      </c>
      <c r="N1249" t="s">
        <v>421</v>
      </c>
    </row>
    <row r="1250" spans="1:14" x14ac:dyDescent="0.3">
      <c r="A1250" t="s">
        <v>838</v>
      </c>
      <c r="B1250" s="2">
        <v>46232</v>
      </c>
      <c r="C1250" s="2">
        <v>46233</v>
      </c>
      <c r="D1250" s="1" t="s">
        <v>833</v>
      </c>
      <c r="E1250" t="s">
        <v>834</v>
      </c>
      <c r="F1250" t="s">
        <v>425</v>
      </c>
      <c r="G1250" s="5">
        <v>2160</v>
      </c>
      <c r="H1250" s="5">
        <v>3978</v>
      </c>
      <c r="I1250" s="5">
        <v>3880</v>
      </c>
      <c r="J1250" s="5">
        <v>98</v>
      </c>
      <c r="K1250" s="8">
        <f t="shared" si="40"/>
        <v>184.16666666666666</v>
      </c>
      <c r="L1250" s="8">
        <f t="shared" si="41"/>
        <v>2.5257731958762886</v>
      </c>
      <c r="M1250" t="s">
        <v>20</v>
      </c>
      <c r="N1250" t="s">
        <v>421</v>
      </c>
    </row>
    <row r="1251" spans="1:14" x14ac:dyDescent="0.3">
      <c r="A1251" t="s">
        <v>1403</v>
      </c>
      <c r="B1251" s="2">
        <v>46233</v>
      </c>
      <c r="C1251" s="2">
        <v>46234</v>
      </c>
      <c r="D1251" s="1" t="s">
        <v>833</v>
      </c>
      <c r="E1251" t="s">
        <v>834</v>
      </c>
      <c r="F1251" t="s">
        <v>425</v>
      </c>
      <c r="G1251" s="5">
        <v>2160</v>
      </c>
      <c r="H1251" s="5">
        <v>1964</v>
      </c>
      <c r="I1251" s="5">
        <v>1920</v>
      </c>
      <c r="J1251" s="5">
        <v>44</v>
      </c>
      <c r="K1251" s="8">
        <f t="shared" si="40"/>
        <v>90.925925925925924</v>
      </c>
      <c r="L1251" s="8">
        <f t="shared" si="41"/>
        <v>2.2916666666666665</v>
      </c>
      <c r="M1251" t="s">
        <v>20</v>
      </c>
      <c r="N1251" t="s">
        <v>421</v>
      </c>
    </row>
    <row r="1252" spans="1:14" x14ac:dyDescent="0.3">
      <c r="A1252" t="s">
        <v>1404</v>
      </c>
      <c r="B1252" s="2">
        <v>46238</v>
      </c>
      <c r="C1252" s="2">
        <v>46239</v>
      </c>
      <c r="D1252" s="1" t="s">
        <v>833</v>
      </c>
      <c r="E1252" t="s">
        <v>834</v>
      </c>
      <c r="F1252" t="s">
        <v>425</v>
      </c>
      <c r="G1252" s="5">
        <v>2160</v>
      </c>
      <c r="H1252" s="5">
        <v>1352</v>
      </c>
      <c r="I1252" s="5">
        <v>1320</v>
      </c>
      <c r="J1252" s="5">
        <v>32</v>
      </c>
      <c r="K1252" s="8">
        <f t="shared" si="40"/>
        <v>62.592592592592588</v>
      </c>
      <c r="L1252" s="8">
        <f t="shared" si="41"/>
        <v>2.4242424242424243</v>
      </c>
      <c r="M1252" t="s">
        <v>20</v>
      </c>
      <c r="N1252" t="s">
        <v>421</v>
      </c>
    </row>
    <row r="1253" spans="1:14" x14ac:dyDescent="0.3">
      <c r="A1253" t="s">
        <v>1405</v>
      </c>
      <c r="B1253" s="2">
        <v>46239</v>
      </c>
      <c r="C1253" s="2">
        <v>46240</v>
      </c>
      <c r="D1253" s="1" t="s">
        <v>833</v>
      </c>
      <c r="E1253" t="s">
        <v>834</v>
      </c>
      <c r="F1253" t="s">
        <v>425</v>
      </c>
      <c r="G1253" s="5">
        <v>2160</v>
      </c>
      <c r="H1253" s="5">
        <v>1350</v>
      </c>
      <c r="I1253" s="5">
        <v>1180</v>
      </c>
      <c r="J1253" s="5">
        <v>170</v>
      </c>
      <c r="K1253" s="8">
        <f t="shared" si="40"/>
        <v>62.5</v>
      </c>
      <c r="L1253" s="8">
        <f t="shared" si="41"/>
        <v>14.40677966101695</v>
      </c>
      <c r="M1253" t="s">
        <v>20</v>
      </c>
      <c r="N1253" t="s">
        <v>421</v>
      </c>
    </row>
    <row r="1254" spans="1:14" x14ac:dyDescent="0.3">
      <c r="A1254" t="s">
        <v>1406</v>
      </c>
      <c r="B1254" s="2">
        <v>46226</v>
      </c>
      <c r="C1254" s="2">
        <v>46234</v>
      </c>
      <c r="D1254" s="1" t="s">
        <v>840</v>
      </c>
      <c r="E1254" t="s">
        <v>841</v>
      </c>
      <c r="F1254" t="s">
        <v>425</v>
      </c>
      <c r="G1254" s="5">
        <v>3400</v>
      </c>
      <c r="H1254" s="5">
        <v>1330</v>
      </c>
      <c r="I1254" s="5">
        <v>1080</v>
      </c>
      <c r="J1254" s="5">
        <v>250</v>
      </c>
      <c r="K1254" s="8">
        <f t="shared" si="40"/>
        <v>39.117647058823529</v>
      </c>
      <c r="L1254" s="8">
        <f t="shared" si="41"/>
        <v>23.148148148148149</v>
      </c>
      <c r="M1254" t="s">
        <v>20</v>
      </c>
      <c r="N1254" t="s">
        <v>421</v>
      </c>
    </row>
    <row r="1255" spans="1:14" x14ac:dyDescent="0.3">
      <c r="A1255" t="s">
        <v>1407</v>
      </c>
      <c r="B1255" s="2">
        <v>46227</v>
      </c>
      <c r="C1255" s="2">
        <v>46234</v>
      </c>
      <c r="D1255" s="1" t="s">
        <v>840</v>
      </c>
      <c r="E1255" t="s">
        <v>841</v>
      </c>
      <c r="F1255" t="s">
        <v>425</v>
      </c>
      <c r="G1255" s="5">
        <v>5100</v>
      </c>
      <c r="H1255" s="5">
        <v>2813</v>
      </c>
      <c r="I1255" s="5">
        <v>2478</v>
      </c>
      <c r="J1255" s="5">
        <v>335</v>
      </c>
      <c r="K1255" s="8">
        <f t="shared" si="40"/>
        <v>55.156862745098032</v>
      </c>
      <c r="L1255" s="8">
        <f t="shared" si="41"/>
        <v>13.518966908797417</v>
      </c>
      <c r="M1255" t="s">
        <v>20</v>
      </c>
      <c r="N1255" t="s">
        <v>421</v>
      </c>
    </row>
    <row r="1256" spans="1:14" x14ac:dyDescent="0.3">
      <c r="A1256" t="s">
        <v>1408</v>
      </c>
      <c r="B1256" s="2">
        <v>46231</v>
      </c>
      <c r="C1256" s="2">
        <v>46234</v>
      </c>
      <c r="D1256" s="1" t="s">
        <v>840</v>
      </c>
      <c r="E1256" t="s">
        <v>841</v>
      </c>
      <c r="F1256" t="s">
        <v>425</v>
      </c>
      <c r="G1256" s="5">
        <v>5100</v>
      </c>
      <c r="H1256" s="5">
        <v>3490</v>
      </c>
      <c r="I1256" s="5">
        <v>3045</v>
      </c>
      <c r="J1256" s="5">
        <v>445</v>
      </c>
      <c r="K1256" s="8">
        <f t="shared" si="40"/>
        <v>68.431372549019613</v>
      </c>
      <c r="L1256" s="8">
        <f t="shared" si="41"/>
        <v>14.614121510673234</v>
      </c>
      <c r="M1256" t="s">
        <v>20</v>
      </c>
      <c r="N1256" t="s">
        <v>421</v>
      </c>
    </row>
    <row r="1257" spans="1:14" x14ac:dyDescent="0.3">
      <c r="A1257" t="s">
        <v>1409</v>
      </c>
      <c r="B1257" s="2">
        <v>46237</v>
      </c>
      <c r="C1257" s="2">
        <v>46238</v>
      </c>
      <c r="D1257" s="1" t="s">
        <v>840</v>
      </c>
      <c r="E1257" t="s">
        <v>841</v>
      </c>
      <c r="F1257" t="s">
        <v>425</v>
      </c>
      <c r="G1257" s="5">
        <v>1700</v>
      </c>
      <c r="H1257" s="5">
        <v>1649</v>
      </c>
      <c r="I1257" s="5">
        <v>1620</v>
      </c>
      <c r="J1257" s="5">
        <v>29</v>
      </c>
      <c r="K1257" s="8">
        <f t="shared" si="40"/>
        <v>97</v>
      </c>
      <c r="L1257" s="8">
        <f t="shared" si="41"/>
        <v>1.7901234567901234</v>
      </c>
      <c r="M1257" t="s">
        <v>20</v>
      </c>
      <c r="N1257" t="s">
        <v>421</v>
      </c>
    </row>
    <row r="1258" spans="1:14" x14ac:dyDescent="0.3">
      <c r="A1258" t="s">
        <v>1410</v>
      </c>
      <c r="B1258" s="2">
        <v>46238</v>
      </c>
      <c r="C1258" s="2">
        <v>46239</v>
      </c>
      <c r="D1258" s="1" t="s">
        <v>840</v>
      </c>
      <c r="E1258" t="s">
        <v>841</v>
      </c>
      <c r="F1258" t="s">
        <v>425</v>
      </c>
      <c r="G1258" s="5">
        <v>3400</v>
      </c>
      <c r="H1258" s="5">
        <v>3222</v>
      </c>
      <c r="I1258" s="5">
        <v>3150</v>
      </c>
      <c r="J1258" s="5">
        <v>72</v>
      </c>
      <c r="K1258" s="8">
        <f t="shared" si="40"/>
        <v>94.764705882352942</v>
      </c>
      <c r="L1258" s="8">
        <f t="shared" si="41"/>
        <v>2.2857142857142856</v>
      </c>
      <c r="M1258" t="s">
        <v>20</v>
      </c>
      <c r="N1258" t="s">
        <v>421</v>
      </c>
    </row>
    <row r="1259" spans="1:14" x14ac:dyDescent="0.3">
      <c r="A1259" t="s">
        <v>1411</v>
      </c>
      <c r="B1259" s="2">
        <v>46239</v>
      </c>
      <c r="C1259" s="2">
        <v>46240</v>
      </c>
      <c r="D1259" s="1" t="s">
        <v>840</v>
      </c>
      <c r="E1259" t="s">
        <v>841</v>
      </c>
      <c r="F1259" t="s">
        <v>425</v>
      </c>
      <c r="G1259" s="5">
        <v>3400</v>
      </c>
      <c r="H1259" s="5">
        <v>3170</v>
      </c>
      <c r="I1259" s="5">
        <v>3045</v>
      </c>
      <c r="J1259" s="5">
        <v>125</v>
      </c>
      <c r="K1259" s="8">
        <f t="shared" si="40"/>
        <v>93.235294117647058</v>
      </c>
      <c r="L1259" s="8">
        <f t="shared" si="41"/>
        <v>4.1050903119868636</v>
      </c>
      <c r="M1259" t="s">
        <v>20</v>
      </c>
      <c r="N1259" t="s">
        <v>421</v>
      </c>
    </row>
    <row r="1260" spans="1:14" x14ac:dyDescent="0.3">
      <c r="A1260" t="s">
        <v>1412</v>
      </c>
      <c r="B1260" s="2">
        <v>46231</v>
      </c>
      <c r="C1260" s="2">
        <v>46234</v>
      </c>
      <c r="D1260" s="1" t="s">
        <v>847</v>
      </c>
      <c r="E1260" t="s">
        <v>848</v>
      </c>
      <c r="F1260" t="s">
        <v>425</v>
      </c>
      <c r="G1260" s="5">
        <v>1770</v>
      </c>
      <c r="H1260" s="5">
        <v>1415</v>
      </c>
      <c r="I1260" s="5">
        <v>1410</v>
      </c>
      <c r="J1260" s="5">
        <v>5</v>
      </c>
      <c r="K1260" s="8">
        <f t="shared" si="40"/>
        <v>79.943502824858754</v>
      </c>
      <c r="L1260" s="8">
        <f t="shared" si="41"/>
        <v>0.3546099290780142</v>
      </c>
      <c r="M1260" t="s">
        <v>20</v>
      </c>
      <c r="N1260" t="s">
        <v>421</v>
      </c>
    </row>
    <row r="1261" spans="1:14" x14ac:dyDescent="0.3">
      <c r="A1261" t="s">
        <v>1413</v>
      </c>
      <c r="B1261" s="2">
        <v>46227</v>
      </c>
      <c r="C1261" s="2">
        <v>46234</v>
      </c>
      <c r="D1261" s="1" t="s">
        <v>852</v>
      </c>
      <c r="E1261" t="s">
        <v>853</v>
      </c>
      <c r="F1261" t="s">
        <v>425</v>
      </c>
      <c r="G1261" s="5">
        <v>1223</v>
      </c>
      <c r="H1261" s="5">
        <v>371</v>
      </c>
      <c r="I1261" s="5">
        <v>350</v>
      </c>
      <c r="J1261" s="5">
        <v>21</v>
      </c>
      <c r="K1261" s="8">
        <f t="shared" si="40"/>
        <v>30.335241210139003</v>
      </c>
      <c r="L1261" s="8">
        <f t="shared" si="41"/>
        <v>6</v>
      </c>
      <c r="M1261" t="s">
        <v>20</v>
      </c>
      <c r="N1261" t="s">
        <v>421</v>
      </c>
    </row>
    <row r="1262" spans="1:14" x14ac:dyDescent="0.3">
      <c r="A1262" t="s">
        <v>1414</v>
      </c>
      <c r="B1262" s="2">
        <v>46231</v>
      </c>
      <c r="C1262" s="2">
        <v>46234</v>
      </c>
      <c r="D1262" s="1" t="s">
        <v>852</v>
      </c>
      <c r="E1262" t="s">
        <v>853</v>
      </c>
      <c r="F1262" t="s">
        <v>425</v>
      </c>
      <c r="G1262" s="5">
        <v>1223</v>
      </c>
      <c r="H1262" s="5">
        <v>1001</v>
      </c>
      <c r="I1262" s="5">
        <v>950</v>
      </c>
      <c r="J1262" s="5">
        <v>51</v>
      </c>
      <c r="K1262" s="8">
        <f t="shared" si="40"/>
        <v>81.847914963205241</v>
      </c>
      <c r="L1262" s="8">
        <f t="shared" si="41"/>
        <v>5.3684210526315796</v>
      </c>
      <c r="M1262" t="s">
        <v>20</v>
      </c>
      <c r="N1262" t="s">
        <v>421</v>
      </c>
    </row>
    <row r="1263" spans="1:14" x14ac:dyDescent="0.3">
      <c r="A1263" t="s">
        <v>1415</v>
      </c>
      <c r="B1263" s="2">
        <v>46238</v>
      </c>
      <c r="C1263" s="2">
        <v>46239</v>
      </c>
      <c r="D1263" s="1" t="s">
        <v>852</v>
      </c>
      <c r="E1263" t="s">
        <v>853</v>
      </c>
      <c r="F1263" t="s">
        <v>425</v>
      </c>
      <c r="G1263" s="5">
        <v>1223</v>
      </c>
      <c r="H1263" s="5">
        <v>1197</v>
      </c>
      <c r="I1263" s="5">
        <v>1170</v>
      </c>
      <c r="J1263" s="5">
        <v>27</v>
      </c>
      <c r="K1263" s="8">
        <f t="shared" si="40"/>
        <v>97.874080130825831</v>
      </c>
      <c r="L1263" s="8">
        <f t="shared" si="41"/>
        <v>2.3076923076923079</v>
      </c>
      <c r="M1263" t="s">
        <v>20</v>
      </c>
      <c r="N1263" t="s">
        <v>421</v>
      </c>
    </row>
    <row r="1264" spans="1:14" x14ac:dyDescent="0.3">
      <c r="A1264" t="s">
        <v>1416</v>
      </c>
      <c r="B1264" s="2">
        <v>46231</v>
      </c>
      <c r="C1264" s="2">
        <v>46234</v>
      </c>
      <c r="D1264" s="1" t="s">
        <v>860</v>
      </c>
      <c r="E1264" t="s">
        <v>861</v>
      </c>
      <c r="F1264" t="s">
        <v>495</v>
      </c>
      <c r="G1264" s="5">
        <v>1372</v>
      </c>
      <c r="H1264" s="5">
        <v>1335</v>
      </c>
      <c r="I1264" s="5">
        <v>1320</v>
      </c>
      <c r="J1264" s="5">
        <v>15</v>
      </c>
      <c r="K1264" s="8">
        <f t="shared" si="40"/>
        <v>97.303206997084544</v>
      </c>
      <c r="L1264" s="8">
        <f t="shared" si="41"/>
        <v>1.1363636363636365</v>
      </c>
      <c r="M1264" t="s">
        <v>20</v>
      </c>
      <c r="N1264" t="s">
        <v>421</v>
      </c>
    </row>
    <row r="1265" spans="1:14" x14ac:dyDescent="0.3">
      <c r="A1265" t="s">
        <v>1417</v>
      </c>
      <c r="B1265" s="2">
        <v>46232</v>
      </c>
      <c r="C1265" s="2">
        <v>46234</v>
      </c>
      <c r="D1265" s="1" t="s">
        <v>870</v>
      </c>
      <c r="E1265" t="s">
        <v>871</v>
      </c>
      <c r="F1265" t="s">
        <v>495</v>
      </c>
      <c r="G1265" s="5">
        <v>3096</v>
      </c>
      <c r="H1265" s="5">
        <v>3090</v>
      </c>
      <c r="I1265" s="5">
        <v>3090</v>
      </c>
      <c r="J1265" s="5">
        <v>0</v>
      </c>
      <c r="K1265" s="8">
        <f t="shared" si="40"/>
        <v>99.806201550387598</v>
      </c>
      <c r="L1265" s="8">
        <f t="shared" si="41"/>
        <v>0</v>
      </c>
      <c r="M1265" t="s">
        <v>20</v>
      </c>
      <c r="N1265" t="s">
        <v>421</v>
      </c>
    </row>
    <row r="1266" spans="1:14" x14ac:dyDescent="0.3">
      <c r="A1266" t="s">
        <v>1418</v>
      </c>
      <c r="B1266" s="2">
        <v>46233</v>
      </c>
      <c r="C1266" s="2">
        <v>46234</v>
      </c>
      <c r="D1266" s="1" t="s">
        <v>870</v>
      </c>
      <c r="E1266" t="s">
        <v>871</v>
      </c>
      <c r="F1266" t="s">
        <v>495</v>
      </c>
      <c r="G1266" s="5">
        <v>3096</v>
      </c>
      <c r="H1266" s="5">
        <v>1585</v>
      </c>
      <c r="I1266" s="5">
        <v>1560</v>
      </c>
      <c r="J1266" s="5">
        <v>25</v>
      </c>
      <c r="K1266" s="8">
        <f t="shared" si="40"/>
        <v>51.195090439276484</v>
      </c>
      <c r="L1266" s="8">
        <f t="shared" si="41"/>
        <v>1.6025641025641024</v>
      </c>
      <c r="M1266" t="s">
        <v>20</v>
      </c>
      <c r="N1266" t="s">
        <v>421</v>
      </c>
    </row>
    <row r="1267" spans="1:14" x14ac:dyDescent="0.3">
      <c r="A1267" t="s">
        <v>1419</v>
      </c>
      <c r="B1267" s="2">
        <v>46238</v>
      </c>
      <c r="C1267" s="2">
        <v>46239</v>
      </c>
      <c r="D1267" s="1" t="s">
        <v>1420</v>
      </c>
      <c r="E1267" t="s">
        <v>1421</v>
      </c>
      <c r="F1267" t="s">
        <v>495</v>
      </c>
      <c r="G1267" s="5">
        <v>1410</v>
      </c>
      <c r="H1267" s="5">
        <v>1335</v>
      </c>
      <c r="I1267" s="5">
        <v>1296</v>
      </c>
      <c r="J1267" s="5">
        <v>39</v>
      </c>
      <c r="K1267" s="8">
        <f t="shared" si="40"/>
        <v>94.680851063829792</v>
      </c>
      <c r="L1267" s="8">
        <f t="shared" si="41"/>
        <v>3.0092592592592591</v>
      </c>
      <c r="M1267" t="s">
        <v>20</v>
      </c>
      <c r="N1267" t="s">
        <v>421</v>
      </c>
    </row>
    <row r="1268" spans="1:14" x14ac:dyDescent="0.3">
      <c r="A1268" t="s">
        <v>1422</v>
      </c>
      <c r="B1268" s="2">
        <v>46231</v>
      </c>
      <c r="C1268" s="2">
        <v>46234</v>
      </c>
      <c r="D1268" s="1" t="s">
        <v>878</v>
      </c>
      <c r="E1268" t="s">
        <v>879</v>
      </c>
      <c r="F1268" t="s">
        <v>425</v>
      </c>
      <c r="G1268" s="5">
        <v>2100</v>
      </c>
      <c r="H1268" s="5">
        <v>1668</v>
      </c>
      <c r="I1268" s="5">
        <v>1620</v>
      </c>
      <c r="J1268" s="5">
        <v>48</v>
      </c>
      <c r="K1268" s="8">
        <f t="shared" si="40"/>
        <v>79.428571428571431</v>
      </c>
      <c r="L1268" s="8">
        <f t="shared" si="41"/>
        <v>2.9629629629629632</v>
      </c>
      <c r="M1268" t="s">
        <v>20</v>
      </c>
      <c r="N1268" t="s">
        <v>421</v>
      </c>
    </row>
    <row r="1269" spans="1:14" x14ac:dyDescent="0.3">
      <c r="A1269" t="s">
        <v>1423</v>
      </c>
      <c r="B1269" s="2">
        <v>46238</v>
      </c>
      <c r="C1269" s="2">
        <v>46239</v>
      </c>
      <c r="D1269" s="1" t="s">
        <v>908</v>
      </c>
      <c r="E1269" t="s">
        <v>909</v>
      </c>
      <c r="F1269" t="s">
        <v>532</v>
      </c>
      <c r="G1269" s="5">
        <v>425</v>
      </c>
      <c r="H1269" s="5">
        <v>425</v>
      </c>
      <c r="I1269" s="5">
        <v>425</v>
      </c>
      <c r="J1269" s="5">
        <v>0</v>
      </c>
      <c r="K1269" s="8">
        <f t="shared" si="40"/>
        <v>100</v>
      </c>
      <c r="L1269" s="8">
        <f t="shared" si="41"/>
        <v>0</v>
      </c>
      <c r="M1269" t="s">
        <v>20</v>
      </c>
      <c r="N1269" t="s">
        <v>421</v>
      </c>
    </row>
    <row r="1270" spans="1:14" x14ac:dyDescent="0.3">
      <c r="A1270" t="s">
        <v>937</v>
      </c>
      <c r="B1270" s="2">
        <v>46232</v>
      </c>
      <c r="C1270" s="2">
        <v>46233</v>
      </c>
      <c r="D1270" s="1" t="s">
        <v>933</v>
      </c>
      <c r="E1270" t="s">
        <v>934</v>
      </c>
      <c r="F1270" t="s">
        <v>420</v>
      </c>
      <c r="G1270" s="5">
        <v>80</v>
      </c>
      <c r="H1270" s="5">
        <v>77</v>
      </c>
      <c r="I1270" s="5">
        <v>77</v>
      </c>
      <c r="J1270" s="5">
        <v>0</v>
      </c>
      <c r="K1270" s="8">
        <f t="shared" si="40"/>
        <v>96.25</v>
      </c>
      <c r="L1270" s="8">
        <f t="shared" si="41"/>
        <v>0</v>
      </c>
      <c r="M1270" t="s">
        <v>20</v>
      </c>
      <c r="N1270" t="s">
        <v>421</v>
      </c>
    </row>
    <row r="1271" spans="1:14" x14ac:dyDescent="0.3">
      <c r="A1271" t="s">
        <v>1424</v>
      </c>
      <c r="B1271" s="2">
        <v>46233</v>
      </c>
      <c r="C1271" s="2">
        <v>46234</v>
      </c>
      <c r="D1271" s="1" t="s">
        <v>933</v>
      </c>
      <c r="E1271" t="s">
        <v>934</v>
      </c>
      <c r="F1271" t="s">
        <v>420</v>
      </c>
      <c r="G1271" s="5">
        <v>80</v>
      </c>
      <c r="H1271" s="5">
        <v>79</v>
      </c>
      <c r="I1271" s="5">
        <v>79</v>
      </c>
      <c r="J1271" s="5">
        <v>0</v>
      </c>
      <c r="K1271" s="8">
        <f t="shared" ref="K1271:K1322" si="42">(H1271/G1271)*100</f>
        <v>98.75</v>
      </c>
      <c r="L1271" s="8">
        <f t="shared" ref="L1271:L1322" si="43">((H1271-I1271)/I1271)*100</f>
        <v>0</v>
      </c>
      <c r="M1271" t="s">
        <v>20</v>
      </c>
      <c r="N1271" t="s">
        <v>421</v>
      </c>
    </row>
    <row r="1272" spans="1:14" x14ac:dyDescent="0.3">
      <c r="A1272" t="s">
        <v>948</v>
      </c>
      <c r="B1272" s="2">
        <v>46232</v>
      </c>
      <c r="C1272" s="2">
        <v>46233</v>
      </c>
      <c r="D1272" s="1" t="s">
        <v>942</v>
      </c>
      <c r="E1272" t="s">
        <v>943</v>
      </c>
      <c r="F1272" t="s">
        <v>420</v>
      </c>
      <c r="G1272" s="5">
        <v>76</v>
      </c>
      <c r="H1272" s="5">
        <v>78</v>
      </c>
      <c r="I1272" s="5">
        <v>78</v>
      </c>
      <c r="J1272" s="5">
        <v>0</v>
      </c>
      <c r="K1272" s="8">
        <f t="shared" si="42"/>
        <v>102.63157894736842</v>
      </c>
      <c r="L1272" s="8">
        <f t="shared" si="43"/>
        <v>0</v>
      </c>
      <c r="M1272" t="s">
        <v>20</v>
      </c>
      <c r="N1272" t="s">
        <v>421</v>
      </c>
    </row>
    <row r="1273" spans="1:14" x14ac:dyDescent="0.3">
      <c r="A1273" t="s">
        <v>1425</v>
      </c>
      <c r="B1273" s="2">
        <v>46233</v>
      </c>
      <c r="C1273" s="2">
        <v>46234</v>
      </c>
      <c r="D1273" s="1" t="s">
        <v>942</v>
      </c>
      <c r="E1273" t="s">
        <v>943</v>
      </c>
      <c r="F1273" t="s">
        <v>420</v>
      </c>
      <c r="G1273" s="5">
        <v>76</v>
      </c>
      <c r="H1273" s="5">
        <v>77</v>
      </c>
      <c r="I1273" s="5">
        <v>77</v>
      </c>
      <c r="J1273" s="5">
        <v>0</v>
      </c>
      <c r="K1273" s="8">
        <f t="shared" si="42"/>
        <v>101.31578947368421</v>
      </c>
      <c r="L1273" s="8">
        <f t="shared" si="43"/>
        <v>0</v>
      </c>
      <c r="M1273" t="s">
        <v>20</v>
      </c>
      <c r="N1273" t="s">
        <v>421</v>
      </c>
    </row>
    <row r="1274" spans="1:14" x14ac:dyDescent="0.3">
      <c r="A1274" t="s">
        <v>1426</v>
      </c>
      <c r="B1274" s="2">
        <v>46237</v>
      </c>
      <c r="C1274" s="2">
        <v>46237</v>
      </c>
      <c r="D1274" s="1" t="s">
        <v>942</v>
      </c>
      <c r="E1274" t="s">
        <v>943</v>
      </c>
      <c r="F1274" t="s">
        <v>420</v>
      </c>
      <c r="G1274" s="5">
        <v>76</v>
      </c>
      <c r="H1274" s="5">
        <v>80</v>
      </c>
      <c r="I1274" s="5">
        <v>80</v>
      </c>
      <c r="J1274" s="5">
        <v>0</v>
      </c>
      <c r="K1274" s="8">
        <f t="shared" si="42"/>
        <v>105.26315789473684</v>
      </c>
      <c r="L1274" s="8">
        <f t="shared" si="43"/>
        <v>0</v>
      </c>
      <c r="M1274" t="s">
        <v>20</v>
      </c>
      <c r="N1274" t="s">
        <v>421</v>
      </c>
    </row>
    <row r="1275" spans="1:14" x14ac:dyDescent="0.3">
      <c r="A1275" t="s">
        <v>1427</v>
      </c>
      <c r="B1275" s="2">
        <v>46238</v>
      </c>
      <c r="C1275" s="2">
        <v>46239</v>
      </c>
      <c r="D1275" s="1" t="s">
        <v>942</v>
      </c>
      <c r="E1275" t="s">
        <v>943</v>
      </c>
      <c r="F1275" t="s">
        <v>420</v>
      </c>
      <c r="G1275" s="5">
        <v>76</v>
      </c>
      <c r="H1275" s="5">
        <v>76</v>
      </c>
      <c r="I1275" s="5">
        <v>76</v>
      </c>
      <c r="J1275" s="5">
        <v>0</v>
      </c>
      <c r="K1275" s="8">
        <f t="shared" si="42"/>
        <v>100</v>
      </c>
      <c r="L1275" s="8">
        <f t="shared" si="43"/>
        <v>0</v>
      </c>
      <c r="M1275" t="s">
        <v>20</v>
      </c>
      <c r="N1275" t="s">
        <v>421</v>
      </c>
    </row>
    <row r="1276" spans="1:14" x14ac:dyDescent="0.3">
      <c r="A1276" t="s">
        <v>1428</v>
      </c>
      <c r="B1276" s="2">
        <v>46233</v>
      </c>
      <c r="C1276" s="2">
        <v>46234</v>
      </c>
      <c r="D1276" s="1" t="s">
        <v>950</v>
      </c>
      <c r="E1276" t="s">
        <v>951</v>
      </c>
      <c r="F1276" t="s">
        <v>420</v>
      </c>
      <c r="G1276" s="5">
        <v>75</v>
      </c>
      <c r="H1276" s="5">
        <v>76</v>
      </c>
      <c r="I1276" s="5">
        <v>76</v>
      </c>
      <c r="J1276" s="5">
        <v>0</v>
      </c>
      <c r="K1276" s="8">
        <f t="shared" si="42"/>
        <v>101.33333333333334</v>
      </c>
      <c r="L1276" s="8">
        <f t="shared" si="43"/>
        <v>0</v>
      </c>
      <c r="M1276" t="s">
        <v>20</v>
      </c>
      <c r="N1276" t="s">
        <v>421</v>
      </c>
    </row>
    <row r="1277" spans="1:14" x14ac:dyDescent="0.3">
      <c r="A1277" t="s">
        <v>1429</v>
      </c>
      <c r="B1277" s="2">
        <v>46238</v>
      </c>
      <c r="C1277" s="2">
        <v>46240</v>
      </c>
      <c r="D1277" s="1" t="s">
        <v>950</v>
      </c>
      <c r="E1277" t="s">
        <v>951</v>
      </c>
      <c r="F1277" t="s">
        <v>420</v>
      </c>
      <c r="G1277" s="5">
        <v>75</v>
      </c>
      <c r="H1277" s="5">
        <v>76</v>
      </c>
      <c r="I1277" s="5">
        <v>76</v>
      </c>
      <c r="J1277" s="5">
        <v>0</v>
      </c>
      <c r="K1277" s="8">
        <f t="shared" si="42"/>
        <v>101.33333333333334</v>
      </c>
      <c r="L1277" s="8">
        <f t="shared" si="43"/>
        <v>0</v>
      </c>
      <c r="M1277" t="s">
        <v>20</v>
      </c>
      <c r="N1277" t="s">
        <v>421</v>
      </c>
    </row>
    <row r="1278" spans="1:14" x14ac:dyDescent="0.3">
      <c r="A1278" t="s">
        <v>1430</v>
      </c>
      <c r="B1278" s="2">
        <v>46237</v>
      </c>
      <c r="C1278" s="2">
        <v>46237</v>
      </c>
      <c r="D1278" s="1" t="s">
        <v>950</v>
      </c>
      <c r="E1278" t="s">
        <v>951</v>
      </c>
      <c r="F1278" t="s">
        <v>420</v>
      </c>
      <c r="G1278" s="5">
        <v>75</v>
      </c>
      <c r="H1278" s="5">
        <v>81</v>
      </c>
      <c r="I1278" s="5">
        <v>81</v>
      </c>
      <c r="J1278" s="5">
        <v>0</v>
      </c>
      <c r="K1278" s="8">
        <f t="shared" si="42"/>
        <v>108</v>
      </c>
      <c r="L1278" s="8">
        <f t="shared" si="43"/>
        <v>0</v>
      </c>
      <c r="M1278" t="s">
        <v>20</v>
      </c>
      <c r="N1278" t="s">
        <v>421</v>
      </c>
    </row>
    <row r="1279" spans="1:14" x14ac:dyDescent="0.3">
      <c r="A1279" t="s">
        <v>1431</v>
      </c>
      <c r="B1279" s="2">
        <v>46233</v>
      </c>
      <c r="C1279" s="2">
        <v>46234</v>
      </c>
      <c r="D1279" s="1" t="s">
        <v>958</v>
      </c>
      <c r="E1279" t="s">
        <v>959</v>
      </c>
      <c r="F1279" t="s">
        <v>420</v>
      </c>
      <c r="G1279" s="5">
        <v>264</v>
      </c>
      <c r="H1279" s="5">
        <v>271</v>
      </c>
      <c r="I1279" s="5">
        <v>271</v>
      </c>
      <c r="J1279" s="5">
        <v>0</v>
      </c>
      <c r="K1279" s="8">
        <f t="shared" si="42"/>
        <v>102.65151515151516</v>
      </c>
      <c r="L1279" s="8">
        <f t="shared" si="43"/>
        <v>0</v>
      </c>
      <c r="M1279" t="s">
        <v>20</v>
      </c>
      <c r="N1279" t="s">
        <v>421</v>
      </c>
    </row>
    <row r="1280" spans="1:14" x14ac:dyDescent="0.3">
      <c r="A1280" t="s">
        <v>1432</v>
      </c>
      <c r="B1280" s="2">
        <v>46238</v>
      </c>
      <c r="C1280" s="2">
        <v>46239</v>
      </c>
      <c r="D1280" s="1" t="s">
        <v>958</v>
      </c>
      <c r="E1280" t="s">
        <v>959</v>
      </c>
      <c r="F1280" t="s">
        <v>420</v>
      </c>
      <c r="G1280" s="5">
        <v>132</v>
      </c>
      <c r="H1280" s="5">
        <v>140</v>
      </c>
      <c r="I1280" s="5">
        <v>140</v>
      </c>
      <c r="J1280" s="5">
        <v>0</v>
      </c>
      <c r="K1280" s="8">
        <f t="shared" si="42"/>
        <v>106.06060606060606</v>
      </c>
      <c r="L1280" s="8">
        <f t="shared" si="43"/>
        <v>0</v>
      </c>
      <c r="M1280" t="s">
        <v>20</v>
      </c>
      <c r="N1280" t="s">
        <v>421</v>
      </c>
    </row>
    <row r="1281" spans="1:14" x14ac:dyDescent="0.3">
      <c r="A1281" t="s">
        <v>1433</v>
      </c>
      <c r="B1281" s="2">
        <v>46239</v>
      </c>
      <c r="C1281" s="2">
        <v>46240</v>
      </c>
      <c r="D1281" s="1" t="s">
        <v>958</v>
      </c>
      <c r="E1281" t="s">
        <v>959</v>
      </c>
      <c r="F1281" t="s">
        <v>420</v>
      </c>
      <c r="G1281" s="5">
        <v>66</v>
      </c>
      <c r="H1281" s="5">
        <v>66</v>
      </c>
      <c r="I1281" s="5">
        <v>66</v>
      </c>
      <c r="J1281" s="5">
        <v>0</v>
      </c>
      <c r="K1281" s="8">
        <f t="shared" si="42"/>
        <v>100</v>
      </c>
      <c r="L1281" s="8">
        <f t="shared" si="43"/>
        <v>0</v>
      </c>
      <c r="M1281" t="s">
        <v>20</v>
      </c>
      <c r="N1281" t="s">
        <v>421</v>
      </c>
    </row>
    <row r="1282" spans="1:14" x14ac:dyDescent="0.3">
      <c r="A1282" t="s">
        <v>1434</v>
      </c>
      <c r="B1282" s="2">
        <v>46233</v>
      </c>
      <c r="C1282" s="2">
        <v>46234</v>
      </c>
      <c r="D1282" s="1" t="s">
        <v>965</v>
      </c>
      <c r="E1282" t="s">
        <v>966</v>
      </c>
      <c r="F1282" t="s">
        <v>420</v>
      </c>
      <c r="G1282" s="5">
        <v>70</v>
      </c>
      <c r="H1282" s="5">
        <v>61</v>
      </c>
      <c r="I1282" s="5">
        <v>61</v>
      </c>
      <c r="J1282" s="5">
        <v>0</v>
      </c>
      <c r="K1282" s="8">
        <f t="shared" si="42"/>
        <v>87.142857142857139</v>
      </c>
      <c r="L1282" s="8">
        <f t="shared" si="43"/>
        <v>0</v>
      </c>
      <c r="M1282" t="s">
        <v>20</v>
      </c>
      <c r="N1282" t="s">
        <v>421</v>
      </c>
    </row>
    <row r="1283" spans="1:14" x14ac:dyDescent="0.3">
      <c r="A1283" t="s">
        <v>981</v>
      </c>
      <c r="B1283" s="2">
        <v>46232</v>
      </c>
      <c r="C1283" s="2">
        <v>46233</v>
      </c>
      <c r="D1283" s="1" t="s">
        <v>974</v>
      </c>
      <c r="E1283" t="s">
        <v>975</v>
      </c>
      <c r="F1283" t="s">
        <v>420</v>
      </c>
      <c r="G1283" s="5">
        <v>65</v>
      </c>
      <c r="H1283" s="5">
        <v>66</v>
      </c>
      <c r="I1283" s="5">
        <v>66</v>
      </c>
      <c r="J1283" s="5">
        <v>0</v>
      </c>
      <c r="K1283" s="8">
        <f t="shared" si="42"/>
        <v>101.53846153846153</v>
      </c>
      <c r="L1283" s="8">
        <f t="shared" si="43"/>
        <v>0</v>
      </c>
      <c r="M1283" t="s">
        <v>20</v>
      </c>
      <c r="N1283" t="s">
        <v>421</v>
      </c>
    </row>
    <row r="1284" spans="1:14" x14ac:dyDescent="0.3">
      <c r="A1284" t="s">
        <v>1435</v>
      </c>
      <c r="B1284" s="2">
        <v>46238</v>
      </c>
      <c r="C1284" s="2">
        <v>46239</v>
      </c>
      <c r="D1284" s="1" t="s">
        <v>974</v>
      </c>
      <c r="E1284" t="s">
        <v>975</v>
      </c>
      <c r="F1284" t="s">
        <v>420</v>
      </c>
      <c r="G1284" s="5">
        <v>65</v>
      </c>
      <c r="H1284" s="5">
        <v>68</v>
      </c>
      <c r="I1284" s="5">
        <v>68</v>
      </c>
      <c r="J1284" s="5">
        <v>0</v>
      </c>
      <c r="K1284" s="8">
        <f t="shared" si="42"/>
        <v>104.61538461538463</v>
      </c>
      <c r="L1284" s="8">
        <f t="shared" si="43"/>
        <v>0</v>
      </c>
      <c r="M1284" t="s">
        <v>20</v>
      </c>
      <c r="N1284" t="s">
        <v>421</v>
      </c>
    </row>
    <row r="1285" spans="1:14" x14ac:dyDescent="0.3">
      <c r="A1285" t="s">
        <v>1436</v>
      </c>
      <c r="B1285" s="2">
        <v>46228</v>
      </c>
      <c r="C1285" s="2">
        <v>46237</v>
      </c>
      <c r="D1285" s="1" t="s">
        <v>983</v>
      </c>
      <c r="E1285" t="s">
        <v>984</v>
      </c>
      <c r="F1285" t="s">
        <v>420</v>
      </c>
      <c r="G1285" s="5">
        <v>552</v>
      </c>
      <c r="H1285" s="5">
        <v>600</v>
      </c>
      <c r="I1285" s="5">
        <v>600</v>
      </c>
      <c r="J1285" s="5">
        <v>0</v>
      </c>
      <c r="K1285" s="8">
        <f t="shared" si="42"/>
        <v>108.69565217391303</v>
      </c>
      <c r="L1285" s="8">
        <f t="shared" si="43"/>
        <v>0</v>
      </c>
      <c r="M1285" t="s">
        <v>20</v>
      </c>
      <c r="N1285" t="s">
        <v>421</v>
      </c>
    </row>
    <row r="1286" spans="1:14" x14ac:dyDescent="0.3">
      <c r="A1286" t="s">
        <v>994</v>
      </c>
      <c r="B1286" s="2">
        <v>46232</v>
      </c>
      <c r="C1286" s="2">
        <v>46233</v>
      </c>
      <c r="D1286" s="1" t="s">
        <v>987</v>
      </c>
      <c r="E1286" t="s">
        <v>988</v>
      </c>
      <c r="F1286" t="s">
        <v>420</v>
      </c>
      <c r="G1286" s="5">
        <v>252</v>
      </c>
      <c r="H1286" s="5">
        <v>250</v>
      </c>
      <c r="I1286" s="5">
        <v>250</v>
      </c>
      <c r="J1286" s="5">
        <v>0</v>
      </c>
      <c r="K1286" s="8">
        <f t="shared" si="42"/>
        <v>99.206349206349216</v>
      </c>
      <c r="L1286" s="8">
        <f t="shared" si="43"/>
        <v>0</v>
      </c>
      <c r="M1286" t="s">
        <v>20</v>
      </c>
      <c r="N1286" t="s">
        <v>421</v>
      </c>
    </row>
    <row r="1287" spans="1:14" x14ac:dyDescent="0.3">
      <c r="A1287" t="s">
        <v>1437</v>
      </c>
      <c r="B1287" s="2">
        <v>46238</v>
      </c>
      <c r="C1287" s="2">
        <v>46239</v>
      </c>
      <c r="D1287" s="1" t="s">
        <v>987</v>
      </c>
      <c r="E1287" t="s">
        <v>988</v>
      </c>
      <c r="F1287" t="s">
        <v>420</v>
      </c>
      <c r="G1287" s="5">
        <v>126</v>
      </c>
      <c r="H1287" s="5">
        <v>134</v>
      </c>
      <c r="I1287" s="5">
        <v>134</v>
      </c>
      <c r="J1287" s="5">
        <v>0</v>
      </c>
      <c r="K1287" s="8">
        <f t="shared" si="42"/>
        <v>106.34920634920636</v>
      </c>
      <c r="L1287" s="8">
        <f t="shared" si="43"/>
        <v>0</v>
      </c>
      <c r="M1287" t="s">
        <v>20</v>
      </c>
      <c r="N1287" t="s">
        <v>421</v>
      </c>
    </row>
    <row r="1288" spans="1:14" x14ac:dyDescent="0.3">
      <c r="A1288" t="s">
        <v>1438</v>
      </c>
      <c r="B1288" s="2">
        <v>46233</v>
      </c>
      <c r="C1288" s="2">
        <v>46234</v>
      </c>
      <c r="D1288" s="1" t="s">
        <v>1000</v>
      </c>
      <c r="E1288" t="s">
        <v>1001</v>
      </c>
      <c r="F1288" t="s">
        <v>425</v>
      </c>
      <c r="G1288" s="5">
        <v>3260</v>
      </c>
      <c r="H1288" s="5">
        <v>2909</v>
      </c>
      <c r="I1288" s="5">
        <v>2874</v>
      </c>
      <c r="J1288" s="5">
        <v>35</v>
      </c>
      <c r="K1288" s="8">
        <f t="shared" si="42"/>
        <v>89.233128834355824</v>
      </c>
      <c r="L1288" s="8">
        <f t="shared" si="43"/>
        <v>1.2178148921363952</v>
      </c>
      <c r="M1288" t="s">
        <v>20</v>
      </c>
      <c r="N1288" t="s">
        <v>421</v>
      </c>
    </row>
    <row r="1289" spans="1:14" x14ac:dyDescent="0.3">
      <c r="A1289" t="s">
        <v>1009</v>
      </c>
      <c r="B1289" s="2">
        <v>46232</v>
      </c>
      <c r="C1289" s="2">
        <v>46233</v>
      </c>
      <c r="D1289" s="1" t="s">
        <v>1000</v>
      </c>
      <c r="E1289" t="s">
        <v>1001</v>
      </c>
      <c r="F1289" t="s">
        <v>425</v>
      </c>
      <c r="G1289" s="5">
        <v>3260</v>
      </c>
      <c r="H1289" s="5">
        <v>2939</v>
      </c>
      <c r="I1289" s="5">
        <v>2868</v>
      </c>
      <c r="J1289" s="5">
        <v>71</v>
      </c>
      <c r="K1289" s="8">
        <f t="shared" si="42"/>
        <v>90.153374233128829</v>
      </c>
      <c r="L1289" s="8">
        <f t="shared" si="43"/>
        <v>2.4755927475592747</v>
      </c>
      <c r="M1289" t="s">
        <v>20</v>
      </c>
      <c r="N1289" t="s">
        <v>421</v>
      </c>
    </row>
    <row r="1290" spans="1:14" x14ac:dyDescent="0.3">
      <c r="A1290" t="s">
        <v>1439</v>
      </c>
      <c r="B1290" s="2">
        <v>46237</v>
      </c>
      <c r="C1290" s="2">
        <v>46237</v>
      </c>
      <c r="D1290" s="1" t="s">
        <v>1000</v>
      </c>
      <c r="E1290" t="s">
        <v>1001</v>
      </c>
      <c r="F1290" t="s">
        <v>425</v>
      </c>
      <c r="G1290" s="5">
        <v>2445</v>
      </c>
      <c r="H1290" s="5">
        <v>2365</v>
      </c>
      <c r="I1290" s="5">
        <v>2286</v>
      </c>
      <c r="J1290" s="5">
        <v>79</v>
      </c>
      <c r="K1290" s="8">
        <f t="shared" si="42"/>
        <v>96.7280163599182</v>
      </c>
      <c r="L1290" s="8">
        <f t="shared" si="43"/>
        <v>3.4558180227471564</v>
      </c>
      <c r="M1290" t="s">
        <v>20</v>
      </c>
      <c r="N1290" t="s">
        <v>421</v>
      </c>
    </row>
    <row r="1291" spans="1:14" x14ac:dyDescent="0.3">
      <c r="A1291" t="s">
        <v>1440</v>
      </c>
      <c r="B1291" s="2">
        <v>46238</v>
      </c>
      <c r="C1291" s="2">
        <v>46238</v>
      </c>
      <c r="D1291" s="1" t="s">
        <v>1000</v>
      </c>
      <c r="E1291" t="s">
        <v>1001</v>
      </c>
      <c r="F1291" t="s">
        <v>425</v>
      </c>
      <c r="G1291" s="5">
        <v>2445</v>
      </c>
      <c r="H1291" s="5">
        <v>2261</v>
      </c>
      <c r="I1291" s="5">
        <v>2130</v>
      </c>
      <c r="J1291" s="5">
        <v>131</v>
      </c>
      <c r="K1291" s="8">
        <f t="shared" si="42"/>
        <v>92.474437627811852</v>
      </c>
      <c r="L1291" s="8">
        <f t="shared" si="43"/>
        <v>6.1502347417840371</v>
      </c>
      <c r="M1291" t="s">
        <v>20</v>
      </c>
      <c r="N1291" t="s">
        <v>421</v>
      </c>
    </row>
    <row r="1292" spans="1:14" x14ac:dyDescent="0.3">
      <c r="A1292" t="s">
        <v>1441</v>
      </c>
      <c r="B1292" s="2">
        <v>46239</v>
      </c>
      <c r="C1292" s="2">
        <v>46240</v>
      </c>
      <c r="D1292" s="1" t="s">
        <v>1011</v>
      </c>
      <c r="E1292" t="s">
        <v>1012</v>
      </c>
      <c r="F1292" t="s">
        <v>438</v>
      </c>
      <c r="G1292" s="5">
        <v>2010</v>
      </c>
      <c r="H1292" s="5">
        <v>2322</v>
      </c>
      <c r="I1292" s="5">
        <v>2304</v>
      </c>
      <c r="J1292" s="5">
        <v>18</v>
      </c>
      <c r="K1292" s="8">
        <f t="shared" si="42"/>
        <v>115.5223880597015</v>
      </c>
      <c r="L1292" s="8">
        <f t="shared" si="43"/>
        <v>0.78125</v>
      </c>
      <c r="M1292" t="s">
        <v>20</v>
      </c>
      <c r="N1292" t="s">
        <v>421</v>
      </c>
    </row>
    <row r="1293" spans="1:14" x14ac:dyDescent="0.3">
      <c r="A1293" t="s">
        <v>1020</v>
      </c>
      <c r="B1293" s="2">
        <v>46232</v>
      </c>
      <c r="C1293" s="2">
        <v>46233</v>
      </c>
      <c r="D1293" s="1" t="s">
        <v>1016</v>
      </c>
      <c r="E1293" t="s">
        <v>1017</v>
      </c>
      <c r="F1293" t="s">
        <v>425</v>
      </c>
      <c r="G1293" s="5">
        <v>815</v>
      </c>
      <c r="H1293" s="5">
        <v>845</v>
      </c>
      <c r="I1293" s="5">
        <v>840</v>
      </c>
      <c r="J1293" s="5">
        <v>5</v>
      </c>
      <c r="K1293" s="8">
        <f t="shared" si="42"/>
        <v>103.68098159509202</v>
      </c>
      <c r="L1293" s="8">
        <f t="shared" si="43"/>
        <v>0.59523809523809523</v>
      </c>
      <c r="M1293" t="s">
        <v>20</v>
      </c>
      <c r="N1293" t="s">
        <v>421</v>
      </c>
    </row>
    <row r="1294" spans="1:14" x14ac:dyDescent="0.3">
      <c r="A1294" t="s">
        <v>1442</v>
      </c>
      <c r="B1294" s="2">
        <v>46233</v>
      </c>
      <c r="C1294" s="2">
        <v>46234</v>
      </c>
      <c r="D1294" s="1" t="s">
        <v>1016</v>
      </c>
      <c r="E1294" t="s">
        <v>1017</v>
      </c>
      <c r="F1294" t="s">
        <v>425</v>
      </c>
      <c r="G1294" s="5">
        <v>815</v>
      </c>
      <c r="H1294" s="5">
        <v>709</v>
      </c>
      <c r="I1294" s="5">
        <v>696</v>
      </c>
      <c r="J1294" s="5">
        <v>13</v>
      </c>
      <c r="K1294" s="8">
        <f t="shared" si="42"/>
        <v>86.99386503067484</v>
      </c>
      <c r="L1294" s="8">
        <f t="shared" si="43"/>
        <v>1.8678160919540232</v>
      </c>
      <c r="M1294" t="s">
        <v>20</v>
      </c>
      <c r="N1294" t="s">
        <v>421</v>
      </c>
    </row>
    <row r="1295" spans="1:14" x14ac:dyDescent="0.3">
      <c r="A1295" t="s">
        <v>1443</v>
      </c>
      <c r="B1295" s="2">
        <v>46237</v>
      </c>
      <c r="C1295" s="2">
        <v>46237</v>
      </c>
      <c r="D1295" s="1" t="s">
        <v>1016</v>
      </c>
      <c r="E1295" t="s">
        <v>1017</v>
      </c>
      <c r="F1295" t="s">
        <v>425</v>
      </c>
      <c r="G1295" s="5">
        <v>815</v>
      </c>
      <c r="H1295" s="5">
        <v>886</v>
      </c>
      <c r="I1295" s="5">
        <v>876</v>
      </c>
      <c r="J1295" s="5">
        <v>10</v>
      </c>
      <c r="K1295" s="8">
        <f t="shared" si="42"/>
        <v>108.71165644171779</v>
      </c>
      <c r="L1295" s="8">
        <f t="shared" si="43"/>
        <v>1.1415525114155249</v>
      </c>
      <c r="M1295" t="s">
        <v>20</v>
      </c>
      <c r="N1295" t="s">
        <v>421</v>
      </c>
    </row>
    <row r="1296" spans="1:14" x14ac:dyDescent="0.3">
      <c r="A1296" t="s">
        <v>1031</v>
      </c>
      <c r="B1296" s="2">
        <v>46231</v>
      </c>
      <c r="C1296" s="2">
        <v>46233</v>
      </c>
      <c r="D1296" s="1" t="s">
        <v>1025</v>
      </c>
      <c r="E1296" t="s">
        <v>1026</v>
      </c>
      <c r="F1296" t="s">
        <v>420</v>
      </c>
      <c r="G1296" s="5">
        <v>80</v>
      </c>
      <c r="H1296" s="5">
        <v>86</v>
      </c>
      <c r="I1296" s="5">
        <v>86</v>
      </c>
      <c r="J1296" s="5">
        <v>0</v>
      </c>
      <c r="K1296" s="8">
        <f t="shared" si="42"/>
        <v>107.5</v>
      </c>
      <c r="L1296" s="8">
        <f t="shared" si="43"/>
        <v>0</v>
      </c>
      <c r="M1296" t="s">
        <v>20</v>
      </c>
      <c r="N1296" t="s">
        <v>421</v>
      </c>
    </row>
    <row r="1297" spans="1:14" x14ac:dyDescent="0.3">
      <c r="A1297" t="s">
        <v>1444</v>
      </c>
      <c r="B1297" s="2">
        <v>46233</v>
      </c>
      <c r="C1297" s="2">
        <v>46234</v>
      </c>
      <c r="D1297" s="1" t="s">
        <v>1025</v>
      </c>
      <c r="E1297" t="s">
        <v>1026</v>
      </c>
      <c r="F1297" t="s">
        <v>420</v>
      </c>
      <c r="G1297" s="5">
        <v>80</v>
      </c>
      <c r="H1297" s="5">
        <v>88</v>
      </c>
      <c r="I1297" s="5">
        <v>88</v>
      </c>
      <c r="J1297" s="5">
        <v>0</v>
      </c>
      <c r="K1297" s="8">
        <f t="shared" si="42"/>
        <v>110.00000000000001</v>
      </c>
      <c r="L1297" s="8">
        <f t="shared" si="43"/>
        <v>0</v>
      </c>
      <c r="M1297" t="s">
        <v>20</v>
      </c>
      <c r="N1297" t="s">
        <v>421</v>
      </c>
    </row>
    <row r="1298" spans="1:14" x14ac:dyDescent="0.3">
      <c r="A1298" t="s">
        <v>1445</v>
      </c>
      <c r="B1298" s="2">
        <v>46239</v>
      </c>
      <c r="C1298" s="2">
        <v>46240</v>
      </c>
      <c r="D1298" s="1" t="s">
        <v>1025</v>
      </c>
      <c r="E1298" t="s">
        <v>1026</v>
      </c>
      <c r="F1298" t="s">
        <v>420</v>
      </c>
      <c r="G1298" s="5">
        <v>120</v>
      </c>
      <c r="H1298" s="5">
        <v>130</v>
      </c>
      <c r="I1298" s="5">
        <v>130</v>
      </c>
      <c r="J1298" s="5">
        <v>0</v>
      </c>
      <c r="K1298" s="8">
        <f t="shared" si="42"/>
        <v>108.33333333333333</v>
      </c>
      <c r="L1298" s="8">
        <f t="shared" si="43"/>
        <v>0</v>
      </c>
      <c r="M1298" t="s">
        <v>20</v>
      </c>
      <c r="N1298" t="s">
        <v>421</v>
      </c>
    </row>
    <row r="1299" spans="1:14" x14ac:dyDescent="0.3">
      <c r="A1299" t="s">
        <v>1446</v>
      </c>
      <c r="B1299" s="2">
        <v>46237</v>
      </c>
      <c r="C1299" s="2">
        <v>46238</v>
      </c>
      <c r="D1299" s="1" t="s">
        <v>1033</v>
      </c>
      <c r="E1299" t="s">
        <v>1034</v>
      </c>
      <c r="F1299" t="s">
        <v>438</v>
      </c>
      <c r="G1299" s="5">
        <v>204</v>
      </c>
      <c r="H1299" s="5">
        <v>192</v>
      </c>
      <c r="I1299" s="5">
        <v>185</v>
      </c>
      <c r="J1299" s="5">
        <v>7</v>
      </c>
      <c r="K1299" s="8">
        <f t="shared" si="42"/>
        <v>94.117647058823522</v>
      </c>
      <c r="L1299" s="8">
        <f t="shared" si="43"/>
        <v>3.7837837837837842</v>
      </c>
      <c r="M1299" t="s">
        <v>20</v>
      </c>
      <c r="N1299" t="s">
        <v>421</v>
      </c>
    </row>
    <row r="1300" spans="1:14" x14ac:dyDescent="0.3">
      <c r="A1300" t="s">
        <v>1447</v>
      </c>
      <c r="B1300" s="2">
        <v>46238</v>
      </c>
      <c r="C1300" s="2">
        <v>46240</v>
      </c>
      <c r="D1300" s="1" t="s">
        <v>1033</v>
      </c>
      <c r="E1300" t="s">
        <v>1034</v>
      </c>
      <c r="F1300" t="s">
        <v>438</v>
      </c>
      <c r="G1300" s="5">
        <v>204</v>
      </c>
      <c r="H1300" s="5">
        <v>187</v>
      </c>
      <c r="I1300" s="5">
        <v>181</v>
      </c>
      <c r="J1300" s="5">
        <v>6</v>
      </c>
      <c r="K1300" s="8">
        <f t="shared" si="42"/>
        <v>91.666666666666657</v>
      </c>
      <c r="L1300" s="8">
        <f t="shared" si="43"/>
        <v>3.3149171270718232</v>
      </c>
      <c r="M1300" t="s">
        <v>20</v>
      </c>
      <c r="N1300" t="s">
        <v>421</v>
      </c>
    </row>
    <row r="1301" spans="1:14" x14ac:dyDescent="0.3">
      <c r="A1301" t="s">
        <v>1448</v>
      </c>
      <c r="B1301" s="2">
        <v>46238</v>
      </c>
      <c r="C1301" s="2">
        <v>46240</v>
      </c>
      <c r="D1301" s="1" t="s">
        <v>1045</v>
      </c>
      <c r="E1301" t="s">
        <v>1046</v>
      </c>
      <c r="F1301" t="s">
        <v>438</v>
      </c>
      <c r="G1301" s="5">
        <v>204</v>
      </c>
      <c r="H1301" s="5">
        <v>204</v>
      </c>
      <c r="I1301" s="5">
        <v>202</v>
      </c>
      <c r="J1301" s="5">
        <v>2</v>
      </c>
      <c r="K1301" s="8">
        <f t="shared" si="42"/>
        <v>100</v>
      </c>
      <c r="L1301" s="8">
        <f t="shared" si="43"/>
        <v>0.99009900990099009</v>
      </c>
      <c r="M1301" t="s">
        <v>20</v>
      </c>
      <c r="N1301" t="s">
        <v>421</v>
      </c>
    </row>
    <row r="1302" spans="1:14" x14ac:dyDescent="0.3">
      <c r="A1302" t="s">
        <v>1449</v>
      </c>
      <c r="B1302" s="2">
        <v>46232</v>
      </c>
      <c r="C1302" s="2">
        <v>46234</v>
      </c>
      <c r="D1302" s="1" t="s">
        <v>1050</v>
      </c>
      <c r="E1302" t="s">
        <v>1051</v>
      </c>
      <c r="F1302" t="s">
        <v>438</v>
      </c>
      <c r="G1302" s="5">
        <v>170</v>
      </c>
      <c r="H1302" s="5">
        <v>161</v>
      </c>
      <c r="I1302" s="5">
        <v>156</v>
      </c>
      <c r="J1302" s="5">
        <v>5</v>
      </c>
      <c r="K1302" s="8">
        <f t="shared" si="42"/>
        <v>94.705882352941174</v>
      </c>
      <c r="L1302" s="8">
        <f t="shared" si="43"/>
        <v>3.2051282051282048</v>
      </c>
      <c r="M1302" t="s">
        <v>20</v>
      </c>
      <c r="N1302" t="s">
        <v>421</v>
      </c>
    </row>
    <row r="1303" spans="1:14" x14ac:dyDescent="0.3">
      <c r="A1303" t="s">
        <v>1450</v>
      </c>
      <c r="B1303" s="2">
        <v>46232</v>
      </c>
      <c r="C1303" s="2">
        <v>46234</v>
      </c>
      <c r="D1303" s="1" t="s">
        <v>1059</v>
      </c>
      <c r="E1303" t="s">
        <v>1060</v>
      </c>
      <c r="F1303" t="s">
        <v>438</v>
      </c>
      <c r="G1303" s="5">
        <v>137</v>
      </c>
      <c r="H1303" s="5">
        <v>162</v>
      </c>
      <c r="I1303" s="5">
        <v>154</v>
      </c>
      <c r="J1303" s="5">
        <v>8</v>
      </c>
      <c r="K1303" s="8">
        <f t="shared" si="42"/>
        <v>118.24817518248176</v>
      </c>
      <c r="L1303" s="8">
        <f t="shared" si="43"/>
        <v>5.1948051948051948</v>
      </c>
      <c r="M1303" t="s">
        <v>20</v>
      </c>
      <c r="N1303" t="s">
        <v>421</v>
      </c>
    </row>
    <row r="1304" spans="1:14" x14ac:dyDescent="0.3">
      <c r="A1304" t="s">
        <v>1071</v>
      </c>
      <c r="B1304" s="2">
        <v>46232</v>
      </c>
      <c r="C1304" s="2">
        <v>46233</v>
      </c>
      <c r="D1304" s="1" t="s">
        <v>1069</v>
      </c>
      <c r="E1304" t="s">
        <v>1070</v>
      </c>
      <c r="F1304" t="s">
        <v>491</v>
      </c>
      <c r="G1304" s="5">
        <v>181</v>
      </c>
      <c r="H1304" s="5">
        <v>181</v>
      </c>
      <c r="I1304" s="5">
        <v>181</v>
      </c>
      <c r="J1304" s="5">
        <v>0</v>
      </c>
      <c r="K1304" s="8">
        <f t="shared" si="42"/>
        <v>100</v>
      </c>
      <c r="L1304" s="8">
        <f t="shared" si="43"/>
        <v>0</v>
      </c>
      <c r="M1304" t="s">
        <v>20</v>
      </c>
      <c r="N1304" t="s">
        <v>421</v>
      </c>
    </row>
    <row r="1305" spans="1:14" x14ac:dyDescent="0.3">
      <c r="A1305" t="s">
        <v>1079</v>
      </c>
      <c r="B1305" s="2">
        <v>46232</v>
      </c>
      <c r="C1305" s="2">
        <v>46233</v>
      </c>
      <c r="D1305" s="1" t="s">
        <v>1073</v>
      </c>
      <c r="E1305" t="s">
        <v>1074</v>
      </c>
      <c r="F1305" t="s">
        <v>677</v>
      </c>
      <c r="G1305" s="5">
        <v>600</v>
      </c>
      <c r="H1305" s="5">
        <v>570</v>
      </c>
      <c r="I1305" s="5">
        <v>570</v>
      </c>
      <c r="J1305" s="5">
        <v>0</v>
      </c>
      <c r="K1305" s="8">
        <f t="shared" si="42"/>
        <v>95</v>
      </c>
      <c r="L1305" s="8">
        <f t="shared" si="43"/>
        <v>0</v>
      </c>
      <c r="M1305" t="s">
        <v>20</v>
      </c>
      <c r="N1305" t="s">
        <v>421</v>
      </c>
    </row>
    <row r="1306" spans="1:14" x14ac:dyDescent="0.3">
      <c r="A1306" t="s">
        <v>1451</v>
      </c>
      <c r="B1306" s="2">
        <v>46233</v>
      </c>
      <c r="C1306" s="2">
        <v>46234</v>
      </c>
      <c r="D1306" s="1" t="s">
        <v>1073</v>
      </c>
      <c r="E1306" t="s">
        <v>1074</v>
      </c>
      <c r="F1306" t="s">
        <v>677</v>
      </c>
      <c r="G1306" s="5">
        <v>1800</v>
      </c>
      <c r="H1306" s="5">
        <v>1791</v>
      </c>
      <c r="I1306" s="5">
        <v>1770</v>
      </c>
      <c r="J1306" s="5">
        <v>21</v>
      </c>
      <c r="K1306" s="8">
        <f t="shared" si="42"/>
        <v>99.5</v>
      </c>
      <c r="L1306" s="8">
        <f t="shared" si="43"/>
        <v>1.1864406779661016</v>
      </c>
      <c r="M1306" t="s">
        <v>20</v>
      </c>
      <c r="N1306" t="s">
        <v>421</v>
      </c>
    </row>
    <row r="1307" spans="1:14" x14ac:dyDescent="0.3">
      <c r="A1307" t="s">
        <v>1452</v>
      </c>
      <c r="B1307" s="2">
        <v>46238</v>
      </c>
      <c r="C1307" s="2">
        <v>46239</v>
      </c>
      <c r="D1307" s="1" t="s">
        <v>1073</v>
      </c>
      <c r="E1307" t="s">
        <v>1074</v>
      </c>
      <c r="F1307" t="s">
        <v>677</v>
      </c>
      <c r="G1307" s="5">
        <v>3000</v>
      </c>
      <c r="H1307" s="5">
        <v>3188</v>
      </c>
      <c r="I1307" s="5">
        <v>3175</v>
      </c>
      <c r="J1307" s="5">
        <v>13</v>
      </c>
      <c r="K1307" s="8">
        <f t="shared" si="42"/>
        <v>106.26666666666667</v>
      </c>
      <c r="L1307" s="8">
        <f t="shared" si="43"/>
        <v>0.40944881889763785</v>
      </c>
      <c r="M1307" t="s">
        <v>20</v>
      </c>
      <c r="N1307" t="s">
        <v>421</v>
      </c>
    </row>
    <row r="1308" spans="1:14" x14ac:dyDescent="0.3">
      <c r="A1308" t="s">
        <v>1082</v>
      </c>
      <c r="B1308" s="2">
        <v>46230</v>
      </c>
      <c r="C1308" s="2">
        <v>46233</v>
      </c>
      <c r="D1308" s="1" t="s">
        <v>1081</v>
      </c>
      <c r="E1308" t="s">
        <v>1453</v>
      </c>
      <c r="F1308" t="s">
        <v>677</v>
      </c>
      <c r="G1308" s="5">
        <v>2400</v>
      </c>
      <c r="H1308" s="5">
        <v>2378</v>
      </c>
      <c r="I1308" s="5">
        <v>2370</v>
      </c>
      <c r="J1308" s="5">
        <v>8</v>
      </c>
      <c r="K1308" s="8">
        <f t="shared" si="42"/>
        <v>99.083333333333329</v>
      </c>
      <c r="L1308" s="8">
        <f t="shared" si="43"/>
        <v>0.33755274261603374</v>
      </c>
      <c r="M1308" t="s">
        <v>20</v>
      </c>
      <c r="N1308" t="s">
        <v>421</v>
      </c>
    </row>
    <row r="1309" spans="1:14" x14ac:dyDescent="0.3">
      <c r="A1309" t="s">
        <v>1454</v>
      </c>
      <c r="B1309" s="2">
        <v>46238</v>
      </c>
      <c r="C1309" s="2">
        <v>46239</v>
      </c>
      <c r="D1309" s="1" t="s">
        <v>1081</v>
      </c>
      <c r="E1309" t="s">
        <v>1453</v>
      </c>
      <c r="F1309" t="s">
        <v>677</v>
      </c>
      <c r="G1309" s="5">
        <v>1600</v>
      </c>
      <c r="H1309" s="5">
        <v>1510</v>
      </c>
      <c r="I1309" s="5">
        <v>1500</v>
      </c>
      <c r="J1309" s="5">
        <v>10</v>
      </c>
      <c r="K1309" s="8">
        <f t="shared" si="42"/>
        <v>94.375</v>
      </c>
      <c r="L1309" s="8">
        <f t="shared" si="43"/>
        <v>0.66666666666666674</v>
      </c>
      <c r="M1309" t="s">
        <v>20</v>
      </c>
      <c r="N1309" t="s">
        <v>421</v>
      </c>
    </row>
    <row r="1310" spans="1:14" x14ac:dyDescent="0.3">
      <c r="A1310" t="s">
        <v>1090</v>
      </c>
      <c r="B1310" s="2">
        <v>46232</v>
      </c>
      <c r="C1310" s="2">
        <v>46233</v>
      </c>
      <c r="D1310" s="1" t="s">
        <v>1085</v>
      </c>
      <c r="E1310" t="s">
        <v>1086</v>
      </c>
      <c r="F1310" t="s">
        <v>438</v>
      </c>
      <c r="G1310" s="5">
        <v>600</v>
      </c>
      <c r="H1310" s="5">
        <v>600</v>
      </c>
      <c r="I1310" s="5">
        <v>600</v>
      </c>
      <c r="J1310" s="5">
        <v>0</v>
      </c>
      <c r="K1310" s="8">
        <f t="shared" si="42"/>
        <v>100</v>
      </c>
      <c r="L1310" s="8">
        <f t="shared" si="43"/>
        <v>0</v>
      </c>
      <c r="M1310" t="s">
        <v>20</v>
      </c>
      <c r="N1310" t="s">
        <v>421</v>
      </c>
    </row>
    <row r="1311" spans="1:14" x14ac:dyDescent="0.3">
      <c r="A1311" t="s">
        <v>1455</v>
      </c>
      <c r="B1311" s="2">
        <v>46238</v>
      </c>
      <c r="C1311" s="2">
        <v>46239</v>
      </c>
      <c r="D1311" s="1" t="s">
        <v>1085</v>
      </c>
      <c r="E1311" t="s">
        <v>1086</v>
      </c>
      <c r="F1311" t="s">
        <v>438</v>
      </c>
      <c r="G1311" s="5">
        <v>600</v>
      </c>
      <c r="H1311" s="5">
        <v>600</v>
      </c>
      <c r="I1311" s="5">
        <v>596</v>
      </c>
      <c r="J1311" s="5">
        <v>4</v>
      </c>
      <c r="K1311" s="8">
        <f t="shared" si="42"/>
        <v>100</v>
      </c>
      <c r="L1311" s="8">
        <f t="shared" si="43"/>
        <v>0.67114093959731547</v>
      </c>
      <c r="M1311" t="s">
        <v>20</v>
      </c>
      <c r="N1311" t="s">
        <v>421</v>
      </c>
    </row>
    <row r="1312" spans="1:14" x14ac:dyDescent="0.3">
      <c r="A1312" t="s">
        <v>1456</v>
      </c>
      <c r="B1312" s="2">
        <v>46239</v>
      </c>
      <c r="C1312" s="2">
        <v>46240</v>
      </c>
      <c r="D1312" s="1" t="s">
        <v>1085</v>
      </c>
      <c r="E1312" t="s">
        <v>1086</v>
      </c>
      <c r="F1312" t="s">
        <v>438</v>
      </c>
      <c r="G1312" s="5">
        <v>600</v>
      </c>
      <c r="H1312" s="5">
        <v>564</v>
      </c>
      <c r="I1312" s="5">
        <v>564</v>
      </c>
      <c r="J1312" s="5">
        <v>0</v>
      </c>
      <c r="K1312" s="8">
        <f t="shared" si="42"/>
        <v>94</v>
      </c>
      <c r="L1312" s="8">
        <f t="shared" si="43"/>
        <v>0</v>
      </c>
      <c r="M1312" t="s">
        <v>20</v>
      </c>
      <c r="N1312" t="s">
        <v>421</v>
      </c>
    </row>
    <row r="1313" spans="1:14" x14ac:dyDescent="0.3">
      <c r="A1313" t="s">
        <v>1457</v>
      </c>
      <c r="B1313" s="2">
        <v>46238</v>
      </c>
      <c r="C1313" s="2">
        <v>46239</v>
      </c>
      <c r="D1313" s="1" t="s">
        <v>1098</v>
      </c>
      <c r="E1313" t="s">
        <v>1099</v>
      </c>
      <c r="F1313" t="s">
        <v>438</v>
      </c>
      <c r="G1313" s="5">
        <v>1200</v>
      </c>
      <c r="H1313" s="5">
        <v>1367</v>
      </c>
      <c r="I1313" s="5">
        <v>1310</v>
      </c>
      <c r="J1313" s="5">
        <v>57</v>
      </c>
      <c r="K1313" s="8">
        <f t="shared" si="42"/>
        <v>113.91666666666667</v>
      </c>
      <c r="L1313" s="8">
        <f t="shared" si="43"/>
        <v>4.3511450381679388</v>
      </c>
      <c r="M1313" t="s">
        <v>20</v>
      </c>
      <c r="N1313" t="s">
        <v>421</v>
      </c>
    </row>
    <row r="1314" spans="1:14" x14ac:dyDescent="0.3">
      <c r="A1314" t="s">
        <v>1458</v>
      </c>
      <c r="B1314" s="2">
        <v>46239</v>
      </c>
      <c r="C1314" s="2">
        <v>46240</v>
      </c>
      <c r="D1314" s="1" t="s">
        <v>1098</v>
      </c>
      <c r="E1314" t="s">
        <v>1099</v>
      </c>
      <c r="F1314" t="s">
        <v>438</v>
      </c>
      <c r="G1314" s="5">
        <v>1200</v>
      </c>
      <c r="H1314" s="5">
        <v>1315</v>
      </c>
      <c r="I1314" s="5">
        <v>1280</v>
      </c>
      <c r="J1314" s="5">
        <v>35</v>
      </c>
      <c r="K1314" s="8">
        <f t="shared" si="42"/>
        <v>109.58333333333334</v>
      </c>
      <c r="L1314" s="8">
        <f t="shared" si="43"/>
        <v>2.734375</v>
      </c>
      <c r="M1314" t="s">
        <v>20</v>
      </c>
      <c r="N1314" t="s">
        <v>421</v>
      </c>
    </row>
    <row r="1315" spans="1:14" x14ac:dyDescent="0.3">
      <c r="A1315" t="s">
        <v>1459</v>
      </c>
      <c r="B1315" s="2">
        <v>46231</v>
      </c>
      <c r="C1315" s="2">
        <v>46234</v>
      </c>
      <c r="D1315" s="1" t="s">
        <v>1106</v>
      </c>
      <c r="E1315" t="s">
        <v>1107</v>
      </c>
      <c r="F1315" t="s">
        <v>425</v>
      </c>
      <c r="G1315" s="5">
        <v>1605</v>
      </c>
      <c r="H1315" s="5">
        <v>1370</v>
      </c>
      <c r="I1315" s="5">
        <v>1245</v>
      </c>
      <c r="J1315" s="5">
        <v>125</v>
      </c>
      <c r="K1315" s="8">
        <f t="shared" si="42"/>
        <v>85.35825545171339</v>
      </c>
      <c r="L1315" s="8">
        <f t="shared" si="43"/>
        <v>10.040160642570282</v>
      </c>
      <c r="M1315" t="s">
        <v>20</v>
      </c>
      <c r="N1315" t="s">
        <v>421</v>
      </c>
    </row>
    <row r="1316" spans="1:14" x14ac:dyDescent="0.3">
      <c r="A1316" t="s">
        <v>1460</v>
      </c>
      <c r="B1316" s="2">
        <v>46233</v>
      </c>
      <c r="C1316" s="2">
        <v>46234</v>
      </c>
      <c r="D1316" s="1" t="s">
        <v>1106</v>
      </c>
      <c r="E1316" t="s">
        <v>1107</v>
      </c>
      <c r="F1316" t="s">
        <v>425</v>
      </c>
      <c r="G1316" s="5">
        <v>1605</v>
      </c>
      <c r="H1316" s="5">
        <v>1365</v>
      </c>
      <c r="I1316" s="5">
        <v>1245</v>
      </c>
      <c r="J1316" s="5">
        <v>120</v>
      </c>
      <c r="K1316" s="8">
        <f t="shared" si="42"/>
        <v>85.046728971962608</v>
      </c>
      <c r="L1316" s="8">
        <f t="shared" si="43"/>
        <v>9.6385542168674707</v>
      </c>
      <c r="M1316" t="s">
        <v>20</v>
      </c>
      <c r="N1316" t="s">
        <v>421</v>
      </c>
    </row>
    <row r="1317" spans="1:14" x14ac:dyDescent="0.3">
      <c r="A1317" t="s">
        <v>1461</v>
      </c>
      <c r="B1317" s="2">
        <v>46238</v>
      </c>
      <c r="C1317" s="2">
        <v>46239</v>
      </c>
      <c r="D1317" s="1" t="s">
        <v>1106</v>
      </c>
      <c r="E1317" t="s">
        <v>1107</v>
      </c>
      <c r="F1317" t="s">
        <v>425</v>
      </c>
      <c r="G1317" s="5">
        <v>1605</v>
      </c>
      <c r="H1317" s="5">
        <v>1125</v>
      </c>
      <c r="I1317" s="5">
        <v>1065</v>
      </c>
      <c r="J1317" s="5">
        <v>60</v>
      </c>
      <c r="K1317" s="8">
        <f t="shared" si="42"/>
        <v>70.09345794392523</v>
      </c>
      <c r="L1317" s="8">
        <f t="shared" si="43"/>
        <v>5.6338028169014089</v>
      </c>
      <c r="M1317" t="s">
        <v>20</v>
      </c>
      <c r="N1317" t="s">
        <v>421</v>
      </c>
    </row>
    <row r="1318" spans="1:14" x14ac:dyDescent="0.3">
      <c r="A1318" t="s">
        <v>1113</v>
      </c>
      <c r="B1318" s="2">
        <v>46232</v>
      </c>
      <c r="C1318" s="2">
        <v>46233</v>
      </c>
      <c r="D1318" s="1" t="s">
        <v>1110</v>
      </c>
      <c r="E1318" t="s">
        <v>1111</v>
      </c>
      <c r="F1318" t="s">
        <v>677</v>
      </c>
      <c r="G1318" s="5">
        <v>4000</v>
      </c>
      <c r="H1318" s="5">
        <v>3991</v>
      </c>
      <c r="I1318" s="5">
        <v>3990</v>
      </c>
      <c r="J1318" s="5">
        <v>1</v>
      </c>
      <c r="K1318" s="8">
        <f t="shared" si="42"/>
        <v>99.775000000000006</v>
      </c>
      <c r="L1318" s="8">
        <f t="shared" si="43"/>
        <v>2.5062656641604009E-2</v>
      </c>
      <c r="M1318" t="s">
        <v>20</v>
      </c>
      <c r="N1318" t="s">
        <v>421</v>
      </c>
    </row>
    <row r="1319" spans="1:14" x14ac:dyDescent="0.3">
      <c r="A1319" t="s">
        <v>1462</v>
      </c>
      <c r="B1319" s="2">
        <v>46234</v>
      </c>
      <c r="C1319" s="2">
        <v>46237</v>
      </c>
      <c r="D1319" s="1" t="s">
        <v>1110</v>
      </c>
      <c r="E1319" t="s">
        <v>1111</v>
      </c>
      <c r="F1319" t="s">
        <v>677</v>
      </c>
      <c r="G1319" s="5">
        <v>4000</v>
      </c>
      <c r="H1319" s="5">
        <v>3860</v>
      </c>
      <c r="I1319" s="5">
        <v>3855</v>
      </c>
      <c r="J1319" s="5">
        <v>5</v>
      </c>
      <c r="K1319" s="8">
        <f t="shared" si="42"/>
        <v>96.5</v>
      </c>
      <c r="L1319" s="8">
        <f t="shared" si="43"/>
        <v>0.12970168612191957</v>
      </c>
      <c r="M1319" t="s">
        <v>20</v>
      </c>
      <c r="N1319" t="s">
        <v>421</v>
      </c>
    </row>
    <row r="1320" spans="1:14" x14ac:dyDescent="0.3">
      <c r="A1320" t="s">
        <v>1463</v>
      </c>
      <c r="B1320" s="2">
        <v>46239</v>
      </c>
      <c r="C1320" s="2">
        <v>46240</v>
      </c>
      <c r="D1320" s="1" t="s">
        <v>1110</v>
      </c>
      <c r="E1320" t="s">
        <v>1111</v>
      </c>
      <c r="F1320" t="s">
        <v>677</v>
      </c>
      <c r="G1320" s="5">
        <v>2000</v>
      </c>
      <c r="H1320" s="5">
        <v>1995</v>
      </c>
      <c r="I1320" s="5">
        <v>1995</v>
      </c>
      <c r="J1320" s="5">
        <v>0</v>
      </c>
      <c r="K1320" s="8">
        <f t="shared" si="42"/>
        <v>99.75</v>
      </c>
      <c r="L1320" s="8">
        <f t="shared" si="43"/>
        <v>0</v>
      </c>
      <c r="M1320" t="s">
        <v>20</v>
      </c>
      <c r="N1320" t="s">
        <v>421</v>
      </c>
    </row>
    <row r="1321" spans="1:14" x14ac:dyDescent="0.3">
      <c r="A1321" t="s">
        <v>1464</v>
      </c>
      <c r="B1321" s="2">
        <v>46233</v>
      </c>
      <c r="C1321" s="2">
        <v>46234</v>
      </c>
      <c r="D1321" s="1" t="s">
        <v>1115</v>
      </c>
      <c r="E1321" t="s">
        <v>1116</v>
      </c>
      <c r="F1321" t="s">
        <v>677</v>
      </c>
      <c r="G1321" s="5">
        <v>4000</v>
      </c>
      <c r="H1321" s="5">
        <v>3991</v>
      </c>
      <c r="I1321" s="5">
        <v>3990</v>
      </c>
      <c r="J1321" s="5">
        <v>1</v>
      </c>
      <c r="K1321" s="8">
        <f t="shared" si="42"/>
        <v>99.775000000000006</v>
      </c>
      <c r="L1321" s="8">
        <f t="shared" si="43"/>
        <v>2.5062656641604009E-2</v>
      </c>
      <c r="M1321" t="s">
        <v>20</v>
      </c>
      <c r="N1321" t="s">
        <v>421</v>
      </c>
    </row>
    <row r="1322" spans="1:14" x14ac:dyDescent="0.3">
      <c r="A1322" t="s">
        <v>1465</v>
      </c>
      <c r="B1322" s="2">
        <v>46238</v>
      </c>
      <c r="C1322" s="2">
        <v>46239</v>
      </c>
      <c r="D1322" s="1" t="s">
        <v>1466</v>
      </c>
      <c r="E1322" t="s">
        <v>1467</v>
      </c>
      <c r="F1322" t="s">
        <v>438</v>
      </c>
      <c r="G1322" s="5">
        <v>1040</v>
      </c>
      <c r="H1322" s="5">
        <v>977</v>
      </c>
      <c r="I1322" s="5">
        <v>850</v>
      </c>
      <c r="J1322" s="5">
        <v>127</v>
      </c>
      <c r="K1322" s="8">
        <f t="shared" si="42"/>
        <v>93.942307692307693</v>
      </c>
      <c r="L1322" s="8">
        <f t="shared" si="43"/>
        <v>14.941176470588236</v>
      </c>
      <c r="M1322" t="s">
        <v>20</v>
      </c>
      <c r="N1322" t="s">
        <v>421</v>
      </c>
    </row>
    <row r="1323" spans="1:14" x14ac:dyDescent="0.3">
      <c r="A1323" t="s">
        <v>1322</v>
      </c>
      <c r="B1323" s="2">
        <v>46239</v>
      </c>
      <c r="C1323" s="2">
        <v>46240</v>
      </c>
      <c r="D1323" s="1" t="s">
        <v>423</v>
      </c>
      <c r="E1323" t="s">
        <v>424</v>
      </c>
      <c r="F1323" t="s">
        <v>425</v>
      </c>
      <c r="G1323" s="5">
        <v>792</v>
      </c>
      <c r="H1323" s="5">
        <v>793</v>
      </c>
      <c r="I1323" s="5">
        <v>763</v>
      </c>
      <c r="J1323" s="5">
        <v>30</v>
      </c>
      <c r="K1323" s="8">
        <f>(H1323/G1323)*100</f>
        <v>100.12626262626263</v>
      </c>
      <c r="L1323" s="8">
        <f>((H1323-I1323)/I1323)*100</f>
        <v>3.9318479685452163</v>
      </c>
      <c r="M1323" t="s">
        <v>20</v>
      </c>
      <c r="N1323" t="s">
        <v>421</v>
      </c>
    </row>
    <row r="1324" spans="1:14" x14ac:dyDescent="0.3">
      <c r="A1324" t="s">
        <v>1694</v>
      </c>
      <c r="B1324" s="2">
        <v>46240</v>
      </c>
      <c r="C1324" s="2">
        <v>46241</v>
      </c>
      <c r="D1324" s="1" t="s">
        <v>423</v>
      </c>
      <c r="E1324" t="s">
        <v>424</v>
      </c>
      <c r="F1324" t="s">
        <v>425</v>
      </c>
      <c r="G1324" s="5">
        <v>792</v>
      </c>
      <c r="H1324" s="5">
        <v>744</v>
      </c>
      <c r="I1324" s="5">
        <v>714</v>
      </c>
      <c r="J1324" s="5">
        <v>30</v>
      </c>
      <c r="K1324" s="8">
        <f t="shared" ref="K1324:K1387" si="44">(H1324/G1324)*100</f>
        <v>93.939393939393938</v>
      </c>
      <c r="L1324" s="8">
        <f t="shared" ref="L1324:L1387" si="45">((H1324-I1324)/I1324)*100</f>
        <v>4.2016806722689077</v>
      </c>
      <c r="M1324" t="s">
        <v>20</v>
      </c>
      <c r="N1324" t="s">
        <v>421</v>
      </c>
    </row>
    <row r="1325" spans="1:14" x14ac:dyDescent="0.3">
      <c r="A1325" t="s">
        <v>1695</v>
      </c>
      <c r="B1325" s="2">
        <v>46244</v>
      </c>
      <c r="C1325" s="2">
        <v>46244</v>
      </c>
      <c r="D1325" s="1" t="s">
        <v>423</v>
      </c>
      <c r="E1325" t="s">
        <v>424</v>
      </c>
      <c r="F1325" t="s">
        <v>425</v>
      </c>
      <c r="G1325" s="5">
        <v>792</v>
      </c>
      <c r="H1325" s="5">
        <v>780</v>
      </c>
      <c r="I1325" s="5">
        <v>749</v>
      </c>
      <c r="J1325" s="5">
        <v>31</v>
      </c>
      <c r="K1325" s="8">
        <f t="shared" si="44"/>
        <v>98.484848484848484</v>
      </c>
      <c r="L1325" s="8">
        <f t="shared" si="45"/>
        <v>4.1388518024032042</v>
      </c>
      <c r="M1325" t="s">
        <v>20</v>
      </c>
      <c r="N1325" t="s">
        <v>421</v>
      </c>
    </row>
    <row r="1326" spans="1:14" x14ac:dyDescent="0.3">
      <c r="A1326" t="s">
        <v>1696</v>
      </c>
      <c r="B1326" s="2">
        <v>46245</v>
      </c>
      <c r="C1326" s="2">
        <v>46247</v>
      </c>
      <c r="D1326" s="1" t="s">
        <v>423</v>
      </c>
      <c r="E1326" t="s">
        <v>424</v>
      </c>
      <c r="F1326" t="s">
        <v>425</v>
      </c>
      <c r="G1326" s="5">
        <v>792</v>
      </c>
      <c r="H1326" s="5">
        <v>688</v>
      </c>
      <c r="I1326" s="5">
        <v>688</v>
      </c>
      <c r="J1326" s="5">
        <v>0</v>
      </c>
      <c r="K1326" s="8">
        <f t="shared" si="44"/>
        <v>86.868686868686879</v>
      </c>
      <c r="L1326" s="8">
        <f t="shared" si="45"/>
        <v>0</v>
      </c>
      <c r="M1326" t="s">
        <v>20</v>
      </c>
      <c r="N1326" t="s">
        <v>421</v>
      </c>
    </row>
    <row r="1327" spans="1:14" x14ac:dyDescent="0.3">
      <c r="A1327" t="s">
        <v>1697</v>
      </c>
      <c r="B1327" s="2">
        <v>46246</v>
      </c>
      <c r="C1327" s="2">
        <v>46248</v>
      </c>
      <c r="D1327" s="1" t="s">
        <v>423</v>
      </c>
      <c r="E1327" t="s">
        <v>424</v>
      </c>
      <c r="F1327" t="s">
        <v>425</v>
      </c>
      <c r="G1327" s="5">
        <v>1056</v>
      </c>
      <c r="H1327" s="5">
        <v>1181</v>
      </c>
      <c r="I1327" s="5">
        <v>1127</v>
      </c>
      <c r="J1327" s="5">
        <v>54</v>
      </c>
      <c r="K1327" s="8">
        <f t="shared" si="44"/>
        <v>111.83712121212122</v>
      </c>
      <c r="L1327" s="8">
        <f t="shared" si="45"/>
        <v>4.7914818101153509</v>
      </c>
      <c r="M1327" t="s">
        <v>20</v>
      </c>
      <c r="N1327" t="s">
        <v>421</v>
      </c>
    </row>
    <row r="1328" spans="1:14" x14ac:dyDescent="0.3">
      <c r="A1328" t="s">
        <v>1698</v>
      </c>
      <c r="B1328" s="2">
        <v>46248</v>
      </c>
      <c r="C1328" s="2">
        <v>46251</v>
      </c>
      <c r="D1328" s="1" t="s">
        <v>423</v>
      </c>
      <c r="E1328" t="s">
        <v>424</v>
      </c>
      <c r="F1328" t="s">
        <v>425</v>
      </c>
      <c r="G1328" s="5">
        <v>528</v>
      </c>
      <c r="H1328" s="5">
        <v>540</v>
      </c>
      <c r="I1328" s="5">
        <v>525</v>
      </c>
      <c r="J1328" s="5">
        <v>15</v>
      </c>
      <c r="K1328" s="8">
        <f t="shared" si="44"/>
        <v>102.27272727272727</v>
      </c>
      <c r="L1328" s="8">
        <f t="shared" si="45"/>
        <v>2.8571428571428572</v>
      </c>
      <c r="M1328" t="s">
        <v>20</v>
      </c>
      <c r="N1328" t="s">
        <v>421</v>
      </c>
    </row>
    <row r="1329" spans="1:14" x14ac:dyDescent="0.3">
      <c r="A1329" t="s">
        <v>1699</v>
      </c>
      <c r="B1329" s="2">
        <v>46251</v>
      </c>
      <c r="C1329" s="2">
        <v>46253</v>
      </c>
      <c r="D1329" s="1" t="s">
        <v>423</v>
      </c>
      <c r="E1329" t="s">
        <v>424</v>
      </c>
      <c r="F1329" t="s">
        <v>425</v>
      </c>
      <c r="G1329" s="5">
        <v>792</v>
      </c>
      <c r="H1329" s="5">
        <v>779</v>
      </c>
      <c r="I1329" s="5">
        <v>777</v>
      </c>
      <c r="J1329" s="5">
        <v>2</v>
      </c>
      <c r="K1329" s="8">
        <f t="shared" si="44"/>
        <v>98.358585858585855</v>
      </c>
      <c r="L1329" s="8">
        <f t="shared" si="45"/>
        <v>0.2574002574002574</v>
      </c>
      <c r="M1329" t="s">
        <v>20</v>
      </c>
      <c r="N1329" t="s">
        <v>421</v>
      </c>
    </row>
    <row r="1330" spans="1:14" x14ac:dyDescent="0.3">
      <c r="A1330" t="s">
        <v>1700</v>
      </c>
      <c r="B1330" s="2">
        <v>46252</v>
      </c>
      <c r="C1330" s="2">
        <v>46254</v>
      </c>
      <c r="D1330" s="1" t="s">
        <v>423</v>
      </c>
      <c r="E1330" t="s">
        <v>424</v>
      </c>
      <c r="F1330" t="s">
        <v>425</v>
      </c>
      <c r="G1330" s="5">
        <v>1056</v>
      </c>
      <c r="H1330" s="5">
        <v>1009</v>
      </c>
      <c r="I1330" s="5">
        <v>987</v>
      </c>
      <c r="J1330" s="5">
        <v>22</v>
      </c>
      <c r="K1330" s="8">
        <f t="shared" si="44"/>
        <v>95.549242424242422</v>
      </c>
      <c r="L1330" s="8">
        <f t="shared" si="45"/>
        <v>2.2289766970618032</v>
      </c>
      <c r="M1330" t="s">
        <v>20</v>
      </c>
      <c r="N1330" t="s">
        <v>421</v>
      </c>
    </row>
    <row r="1331" spans="1:14" x14ac:dyDescent="0.3">
      <c r="A1331" t="s">
        <v>1324</v>
      </c>
      <c r="B1331" s="2">
        <v>46239</v>
      </c>
      <c r="C1331" s="2">
        <v>46240</v>
      </c>
      <c r="D1331" s="1" t="s">
        <v>436</v>
      </c>
      <c r="E1331" t="s">
        <v>437</v>
      </c>
      <c r="F1331" t="s">
        <v>438</v>
      </c>
      <c r="G1331" s="5">
        <v>501</v>
      </c>
      <c r="H1331" s="5">
        <v>464</v>
      </c>
      <c r="I1331" s="5">
        <v>460</v>
      </c>
      <c r="J1331" s="5">
        <v>4</v>
      </c>
      <c r="K1331" s="8">
        <f t="shared" si="44"/>
        <v>92.614770459081839</v>
      </c>
      <c r="L1331" s="8">
        <f t="shared" si="45"/>
        <v>0.86956521739130432</v>
      </c>
      <c r="M1331" t="s">
        <v>20</v>
      </c>
      <c r="N1331" t="s">
        <v>421</v>
      </c>
    </row>
    <row r="1332" spans="1:14" x14ac:dyDescent="0.3">
      <c r="A1332" t="s">
        <v>1701</v>
      </c>
      <c r="B1332" s="2">
        <v>46240</v>
      </c>
      <c r="C1332" s="2">
        <v>46241</v>
      </c>
      <c r="D1332" s="1" t="s">
        <v>436</v>
      </c>
      <c r="E1332" t="s">
        <v>437</v>
      </c>
      <c r="F1332" t="s">
        <v>438</v>
      </c>
      <c r="G1332" s="5">
        <v>501</v>
      </c>
      <c r="H1332" s="5">
        <v>414</v>
      </c>
      <c r="I1332" s="5">
        <v>400</v>
      </c>
      <c r="J1332" s="5">
        <v>14</v>
      </c>
      <c r="K1332" s="8">
        <f t="shared" si="44"/>
        <v>82.634730538922156</v>
      </c>
      <c r="L1332" s="8">
        <f t="shared" si="45"/>
        <v>3.5000000000000004</v>
      </c>
      <c r="M1332" t="s">
        <v>20</v>
      </c>
      <c r="N1332" t="s">
        <v>421</v>
      </c>
    </row>
    <row r="1333" spans="1:14" x14ac:dyDescent="0.3">
      <c r="A1333" t="s">
        <v>1702</v>
      </c>
      <c r="B1333" s="2">
        <v>46244</v>
      </c>
      <c r="C1333" s="2">
        <v>46245</v>
      </c>
      <c r="D1333" s="1" t="s">
        <v>436</v>
      </c>
      <c r="E1333" t="s">
        <v>437</v>
      </c>
      <c r="F1333" t="s">
        <v>438</v>
      </c>
      <c r="G1333" s="5">
        <v>501</v>
      </c>
      <c r="H1333" s="5">
        <v>512</v>
      </c>
      <c r="I1333" s="5">
        <v>480</v>
      </c>
      <c r="J1333" s="5">
        <v>32</v>
      </c>
      <c r="K1333" s="8">
        <f t="shared" si="44"/>
        <v>102.19560878243512</v>
      </c>
      <c r="L1333" s="8">
        <f t="shared" si="45"/>
        <v>6.666666666666667</v>
      </c>
      <c r="M1333" t="s">
        <v>20</v>
      </c>
      <c r="N1333" t="s">
        <v>421</v>
      </c>
    </row>
    <row r="1334" spans="1:14" x14ac:dyDescent="0.3">
      <c r="A1334" t="s">
        <v>1703</v>
      </c>
      <c r="B1334" s="2">
        <v>46245</v>
      </c>
      <c r="C1334" s="2">
        <v>46246</v>
      </c>
      <c r="D1334" s="1" t="s">
        <v>436</v>
      </c>
      <c r="E1334" t="s">
        <v>437</v>
      </c>
      <c r="F1334" t="s">
        <v>438</v>
      </c>
      <c r="G1334" s="5">
        <v>334</v>
      </c>
      <c r="H1334" s="5">
        <v>316</v>
      </c>
      <c r="I1334" s="5">
        <v>310</v>
      </c>
      <c r="J1334" s="5">
        <v>6</v>
      </c>
      <c r="K1334" s="8">
        <f t="shared" si="44"/>
        <v>94.610778443113773</v>
      </c>
      <c r="L1334" s="8">
        <f t="shared" si="45"/>
        <v>1.935483870967742</v>
      </c>
      <c r="M1334" t="s">
        <v>20</v>
      </c>
      <c r="N1334" t="s">
        <v>421</v>
      </c>
    </row>
    <row r="1335" spans="1:14" x14ac:dyDescent="0.3">
      <c r="A1335" t="s">
        <v>1704</v>
      </c>
      <c r="B1335" s="2">
        <v>46246</v>
      </c>
      <c r="C1335" s="2">
        <v>46247</v>
      </c>
      <c r="D1335" s="1" t="s">
        <v>436</v>
      </c>
      <c r="E1335" t="s">
        <v>437</v>
      </c>
      <c r="F1335" t="s">
        <v>438</v>
      </c>
      <c r="G1335" s="5">
        <v>501</v>
      </c>
      <c r="H1335" s="5">
        <v>512</v>
      </c>
      <c r="I1335" s="5">
        <v>500</v>
      </c>
      <c r="J1335" s="5">
        <v>12</v>
      </c>
      <c r="K1335" s="8">
        <f t="shared" si="44"/>
        <v>102.19560878243512</v>
      </c>
      <c r="L1335" s="8">
        <f t="shared" si="45"/>
        <v>2.4</v>
      </c>
      <c r="M1335" t="s">
        <v>20</v>
      </c>
      <c r="N1335" t="s">
        <v>421</v>
      </c>
    </row>
    <row r="1336" spans="1:14" x14ac:dyDescent="0.3">
      <c r="A1336" t="s">
        <v>1705</v>
      </c>
      <c r="B1336" s="2">
        <v>46247</v>
      </c>
      <c r="C1336" s="2">
        <v>46248</v>
      </c>
      <c r="D1336" s="1" t="s">
        <v>436</v>
      </c>
      <c r="E1336" t="s">
        <v>437</v>
      </c>
      <c r="F1336" t="s">
        <v>438</v>
      </c>
      <c r="G1336" s="5">
        <v>334</v>
      </c>
      <c r="H1336" s="5">
        <v>323</v>
      </c>
      <c r="I1336" s="5">
        <v>313</v>
      </c>
      <c r="J1336" s="5">
        <v>10</v>
      </c>
      <c r="K1336" s="8">
        <f t="shared" si="44"/>
        <v>96.706586826347305</v>
      </c>
      <c r="L1336" s="8">
        <f t="shared" si="45"/>
        <v>3.1948881789137378</v>
      </c>
      <c r="M1336" t="s">
        <v>20</v>
      </c>
      <c r="N1336" t="s">
        <v>421</v>
      </c>
    </row>
    <row r="1337" spans="1:14" x14ac:dyDescent="0.3">
      <c r="A1337" t="s">
        <v>1706</v>
      </c>
      <c r="B1337" s="2">
        <v>46247</v>
      </c>
      <c r="C1337" s="2">
        <v>46248</v>
      </c>
      <c r="D1337" s="1" t="s">
        <v>436</v>
      </c>
      <c r="E1337" t="s">
        <v>437</v>
      </c>
      <c r="F1337" t="s">
        <v>438</v>
      </c>
      <c r="G1337" s="5">
        <v>167</v>
      </c>
      <c r="H1337" s="5">
        <v>167</v>
      </c>
      <c r="I1337" s="5">
        <v>167</v>
      </c>
      <c r="J1337" s="5">
        <v>0</v>
      </c>
      <c r="K1337" s="8">
        <f t="shared" si="44"/>
        <v>100</v>
      </c>
      <c r="L1337" s="8">
        <f t="shared" si="45"/>
        <v>0</v>
      </c>
      <c r="M1337" t="s">
        <v>20</v>
      </c>
      <c r="N1337" t="s">
        <v>421</v>
      </c>
    </row>
    <row r="1338" spans="1:14" x14ac:dyDescent="0.3">
      <c r="A1338" t="s">
        <v>1707</v>
      </c>
      <c r="B1338" s="2">
        <v>46252</v>
      </c>
      <c r="C1338" s="2">
        <v>46254</v>
      </c>
      <c r="D1338" s="1" t="s">
        <v>436</v>
      </c>
      <c r="E1338" t="s">
        <v>437</v>
      </c>
      <c r="F1338" t="s">
        <v>438</v>
      </c>
      <c r="G1338" s="5">
        <v>501</v>
      </c>
      <c r="H1338" s="5">
        <v>533</v>
      </c>
      <c r="I1338" s="5">
        <v>525</v>
      </c>
      <c r="J1338" s="5">
        <v>8</v>
      </c>
      <c r="K1338" s="8">
        <f t="shared" si="44"/>
        <v>106.38722554890219</v>
      </c>
      <c r="L1338" s="8">
        <f t="shared" si="45"/>
        <v>1.5238095238095237</v>
      </c>
      <c r="M1338" t="s">
        <v>20</v>
      </c>
      <c r="N1338" t="s">
        <v>421</v>
      </c>
    </row>
    <row r="1339" spans="1:14" x14ac:dyDescent="0.3">
      <c r="A1339" t="s">
        <v>1326</v>
      </c>
      <c r="B1339" s="2">
        <v>46238</v>
      </c>
      <c r="C1339" s="2">
        <v>46240</v>
      </c>
      <c r="D1339" s="1" t="s">
        <v>451</v>
      </c>
      <c r="E1339" t="s">
        <v>452</v>
      </c>
      <c r="F1339" t="s">
        <v>425</v>
      </c>
      <c r="G1339" s="5">
        <v>2304</v>
      </c>
      <c r="H1339" s="5">
        <v>1611</v>
      </c>
      <c r="I1339" s="5">
        <v>1470</v>
      </c>
      <c r="J1339" s="5">
        <v>141</v>
      </c>
      <c r="K1339" s="8">
        <f t="shared" si="44"/>
        <v>69.921875</v>
      </c>
      <c r="L1339" s="8">
        <f t="shared" si="45"/>
        <v>9.591836734693878</v>
      </c>
      <c r="M1339" t="s">
        <v>20</v>
      </c>
      <c r="N1339" t="s">
        <v>421</v>
      </c>
    </row>
    <row r="1340" spans="1:14" x14ac:dyDescent="0.3">
      <c r="A1340" t="s">
        <v>1708</v>
      </c>
      <c r="B1340" s="2">
        <v>46244</v>
      </c>
      <c r="C1340" s="2">
        <v>46245</v>
      </c>
      <c r="D1340" s="1" t="s">
        <v>451</v>
      </c>
      <c r="E1340" t="s">
        <v>452</v>
      </c>
      <c r="F1340" t="s">
        <v>425</v>
      </c>
      <c r="G1340" s="5">
        <v>2304</v>
      </c>
      <c r="H1340" s="5">
        <v>2000</v>
      </c>
      <c r="I1340" s="5">
        <v>1930</v>
      </c>
      <c r="J1340" s="5">
        <v>70</v>
      </c>
      <c r="K1340" s="8">
        <f t="shared" si="44"/>
        <v>86.805555555555557</v>
      </c>
      <c r="L1340" s="8">
        <f t="shared" si="45"/>
        <v>3.6269430051813467</v>
      </c>
      <c r="M1340" t="s">
        <v>20</v>
      </c>
      <c r="N1340" t="s">
        <v>421</v>
      </c>
    </row>
    <row r="1341" spans="1:14" x14ac:dyDescent="0.3">
      <c r="A1341" t="s">
        <v>1709</v>
      </c>
      <c r="B1341" s="2">
        <v>46246</v>
      </c>
      <c r="C1341" s="2">
        <v>46248</v>
      </c>
      <c r="D1341" s="1" t="s">
        <v>451</v>
      </c>
      <c r="E1341" t="s">
        <v>452</v>
      </c>
      <c r="F1341" t="s">
        <v>425</v>
      </c>
      <c r="G1341" s="5">
        <v>2304</v>
      </c>
      <c r="H1341" s="5">
        <v>1998</v>
      </c>
      <c r="I1341" s="5">
        <v>1820</v>
      </c>
      <c r="J1341" s="5">
        <v>178</v>
      </c>
      <c r="K1341" s="8">
        <f t="shared" si="44"/>
        <v>86.71875</v>
      </c>
      <c r="L1341" s="8">
        <f t="shared" si="45"/>
        <v>9.780219780219781</v>
      </c>
      <c r="M1341" t="s">
        <v>20</v>
      </c>
      <c r="N1341" t="s">
        <v>421</v>
      </c>
    </row>
    <row r="1342" spans="1:14" x14ac:dyDescent="0.3">
      <c r="A1342" t="s">
        <v>1329</v>
      </c>
      <c r="B1342" s="2">
        <v>46239</v>
      </c>
      <c r="C1342" s="2">
        <v>46240</v>
      </c>
      <c r="D1342" s="1" t="s">
        <v>460</v>
      </c>
      <c r="E1342" t="s">
        <v>461</v>
      </c>
      <c r="F1342" t="s">
        <v>425</v>
      </c>
      <c r="G1342" s="5">
        <v>825</v>
      </c>
      <c r="H1342" s="5">
        <v>588</v>
      </c>
      <c r="I1342" s="5">
        <v>320</v>
      </c>
      <c r="J1342" s="5">
        <v>268</v>
      </c>
      <c r="K1342" s="8">
        <f t="shared" si="44"/>
        <v>71.27272727272728</v>
      </c>
      <c r="L1342" s="8">
        <f t="shared" si="45"/>
        <v>83.75</v>
      </c>
      <c r="M1342" t="s">
        <v>20</v>
      </c>
      <c r="N1342" t="s">
        <v>421</v>
      </c>
    </row>
    <row r="1343" spans="1:14" x14ac:dyDescent="0.3">
      <c r="A1343" t="s">
        <v>1710</v>
      </c>
      <c r="B1343" s="2">
        <v>46244</v>
      </c>
      <c r="C1343" s="2">
        <v>46245</v>
      </c>
      <c r="D1343" s="1" t="s">
        <v>460</v>
      </c>
      <c r="E1343" t="s">
        <v>461</v>
      </c>
      <c r="F1343" t="s">
        <v>425</v>
      </c>
      <c r="G1343" s="5">
        <v>825</v>
      </c>
      <c r="H1343" s="5">
        <v>509</v>
      </c>
      <c r="I1343" s="5">
        <v>400</v>
      </c>
      <c r="J1343" s="5">
        <v>109</v>
      </c>
      <c r="K1343" s="8">
        <f t="shared" si="44"/>
        <v>61.696969696969695</v>
      </c>
      <c r="L1343" s="8">
        <f t="shared" si="45"/>
        <v>27.250000000000004</v>
      </c>
      <c r="M1343" t="s">
        <v>20</v>
      </c>
      <c r="N1343" t="s">
        <v>421</v>
      </c>
    </row>
    <row r="1344" spans="1:14" x14ac:dyDescent="0.3">
      <c r="A1344" t="s">
        <v>1711</v>
      </c>
      <c r="B1344" s="2">
        <v>46247</v>
      </c>
      <c r="C1344" s="2">
        <v>46247</v>
      </c>
      <c r="D1344" s="1" t="s">
        <v>460</v>
      </c>
      <c r="E1344" t="s">
        <v>461</v>
      </c>
      <c r="F1344" t="s">
        <v>425</v>
      </c>
      <c r="G1344" s="5">
        <v>825</v>
      </c>
      <c r="H1344" s="5">
        <v>790</v>
      </c>
      <c r="I1344" s="5">
        <v>520</v>
      </c>
      <c r="J1344" s="5">
        <v>270</v>
      </c>
      <c r="K1344" s="8">
        <f t="shared" si="44"/>
        <v>95.757575757575751</v>
      </c>
      <c r="L1344" s="8">
        <f t="shared" si="45"/>
        <v>51.923076923076927</v>
      </c>
      <c r="M1344" t="s">
        <v>20</v>
      </c>
      <c r="N1344" t="s">
        <v>421</v>
      </c>
    </row>
    <row r="1345" spans="1:14" x14ac:dyDescent="0.3">
      <c r="A1345" t="s">
        <v>1712</v>
      </c>
      <c r="B1345" s="2">
        <v>46251</v>
      </c>
      <c r="C1345" s="2">
        <v>46253</v>
      </c>
      <c r="D1345" s="1" t="s">
        <v>460</v>
      </c>
      <c r="E1345" t="s">
        <v>461</v>
      </c>
      <c r="F1345" t="s">
        <v>425</v>
      </c>
      <c r="G1345" s="5">
        <v>825</v>
      </c>
      <c r="H1345" s="5">
        <v>555</v>
      </c>
      <c r="I1345" s="5">
        <v>530</v>
      </c>
      <c r="J1345" s="5">
        <v>25</v>
      </c>
      <c r="K1345" s="8">
        <f t="shared" si="44"/>
        <v>67.272727272727266</v>
      </c>
      <c r="L1345" s="8">
        <f t="shared" si="45"/>
        <v>4.716981132075472</v>
      </c>
      <c r="M1345" t="s">
        <v>20</v>
      </c>
      <c r="N1345" t="s">
        <v>421</v>
      </c>
    </row>
    <row r="1346" spans="1:14" x14ac:dyDescent="0.3">
      <c r="A1346" t="s">
        <v>1713</v>
      </c>
      <c r="B1346" s="2">
        <v>46252</v>
      </c>
      <c r="C1346" s="2">
        <v>46254</v>
      </c>
      <c r="D1346" s="1" t="s">
        <v>460</v>
      </c>
      <c r="E1346" t="s">
        <v>461</v>
      </c>
      <c r="F1346" t="s">
        <v>425</v>
      </c>
      <c r="G1346" s="5">
        <v>825</v>
      </c>
      <c r="H1346" s="5">
        <v>538</v>
      </c>
      <c r="I1346" s="5">
        <v>460</v>
      </c>
      <c r="J1346" s="5">
        <v>78</v>
      </c>
      <c r="K1346" s="8">
        <f t="shared" si="44"/>
        <v>65.212121212121204</v>
      </c>
      <c r="L1346" s="8">
        <f t="shared" si="45"/>
        <v>16.956521739130434</v>
      </c>
      <c r="M1346" t="s">
        <v>20</v>
      </c>
      <c r="N1346" t="s">
        <v>421</v>
      </c>
    </row>
    <row r="1347" spans="1:14" x14ac:dyDescent="0.3">
      <c r="A1347" t="s">
        <v>1331</v>
      </c>
      <c r="B1347" s="2">
        <v>46239</v>
      </c>
      <c r="C1347" s="2">
        <v>46240</v>
      </c>
      <c r="D1347" s="1" t="s">
        <v>472</v>
      </c>
      <c r="E1347" t="s">
        <v>473</v>
      </c>
      <c r="F1347" t="s">
        <v>438</v>
      </c>
      <c r="G1347" s="5">
        <v>234</v>
      </c>
      <c r="H1347" s="5">
        <v>261</v>
      </c>
      <c r="I1347" s="5">
        <v>216</v>
      </c>
      <c r="J1347" s="5">
        <v>45</v>
      </c>
      <c r="K1347" s="8">
        <f t="shared" si="44"/>
        <v>111.53846153846155</v>
      </c>
      <c r="L1347" s="8">
        <f t="shared" si="45"/>
        <v>20.833333333333336</v>
      </c>
      <c r="M1347" t="s">
        <v>20</v>
      </c>
      <c r="N1347" t="s">
        <v>421</v>
      </c>
    </row>
    <row r="1348" spans="1:14" x14ac:dyDescent="0.3">
      <c r="A1348" t="s">
        <v>1714</v>
      </c>
      <c r="B1348" s="2">
        <v>46240</v>
      </c>
      <c r="C1348" s="2">
        <v>46241</v>
      </c>
      <c r="D1348" s="1" t="s">
        <v>472</v>
      </c>
      <c r="E1348" t="s">
        <v>473</v>
      </c>
      <c r="F1348" t="s">
        <v>438</v>
      </c>
      <c r="G1348" s="5">
        <v>468</v>
      </c>
      <c r="H1348" s="5">
        <v>526</v>
      </c>
      <c r="I1348" s="5">
        <v>472</v>
      </c>
      <c r="J1348" s="5">
        <v>54</v>
      </c>
      <c r="K1348" s="8">
        <f t="shared" si="44"/>
        <v>112.3931623931624</v>
      </c>
      <c r="L1348" s="8">
        <f t="shared" si="45"/>
        <v>11.440677966101696</v>
      </c>
      <c r="M1348" t="s">
        <v>20</v>
      </c>
      <c r="N1348" t="s">
        <v>421</v>
      </c>
    </row>
    <row r="1349" spans="1:14" x14ac:dyDescent="0.3">
      <c r="A1349" t="s">
        <v>1715</v>
      </c>
      <c r="B1349" s="2">
        <v>46245</v>
      </c>
      <c r="C1349" s="2">
        <v>46246</v>
      </c>
      <c r="D1349" s="1" t="s">
        <v>472</v>
      </c>
      <c r="E1349" t="s">
        <v>473</v>
      </c>
      <c r="F1349" t="s">
        <v>438</v>
      </c>
      <c r="G1349" s="5">
        <v>234</v>
      </c>
      <c r="H1349" s="5">
        <v>242</v>
      </c>
      <c r="I1349" s="5">
        <v>236</v>
      </c>
      <c r="J1349" s="5">
        <v>6</v>
      </c>
      <c r="K1349" s="8">
        <f t="shared" si="44"/>
        <v>103.41880341880344</v>
      </c>
      <c r="L1349" s="8">
        <f t="shared" si="45"/>
        <v>2.5423728813559325</v>
      </c>
      <c r="M1349" t="s">
        <v>20</v>
      </c>
      <c r="N1349" t="s">
        <v>421</v>
      </c>
    </row>
    <row r="1350" spans="1:14" x14ac:dyDescent="0.3">
      <c r="A1350" t="s">
        <v>1716</v>
      </c>
      <c r="B1350" s="2">
        <v>46244</v>
      </c>
      <c r="C1350" s="2">
        <v>46244</v>
      </c>
      <c r="D1350" s="1" t="s">
        <v>472</v>
      </c>
      <c r="E1350" t="s">
        <v>473</v>
      </c>
      <c r="F1350" t="s">
        <v>438</v>
      </c>
      <c r="G1350" s="5">
        <v>234</v>
      </c>
      <c r="H1350" s="5">
        <v>259</v>
      </c>
      <c r="I1350" s="5">
        <v>248</v>
      </c>
      <c r="J1350" s="5">
        <v>11</v>
      </c>
      <c r="K1350" s="8">
        <f t="shared" si="44"/>
        <v>110.6837606837607</v>
      </c>
      <c r="L1350" s="8">
        <f t="shared" si="45"/>
        <v>4.435483870967742</v>
      </c>
      <c r="M1350" t="s">
        <v>20</v>
      </c>
      <c r="N1350" t="s">
        <v>421</v>
      </c>
    </row>
    <row r="1351" spans="1:14" x14ac:dyDescent="0.3">
      <c r="A1351" t="s">
        <v>1717</v>
      </c>
      <c r="B1351" s="2">
        <v>46244</v>
      </c>
      <c r="C1351" s="2">
        <v>46244</v>
      </c>
      <c r="D1351" s="1" t="s">
        <v>472</v>
      </c>
      <c r="E1351" t="s">
        <v>473</v>
      </c>
      <c r="F1351" t="s">
        <v>438</v>
      </c>
      <c r="G1351" s="5">
        <v>234</v>
      </c>
      <c r="H1351" s="5">
        <v>262</v>
      </c>
      <c r="I1351" s="5">
        <v>252</v>
      </c>
      <c r="J1351" s="5">
        <v>10</v>
      </c>
      <c r="K1351" s="8">
        <f t="shared" si="44"/>
        <v>111.96581196581197</v>
      </c>
      <c r="L1351" s="8">
        <f t="shared" si="45"/>
        <v>3.9682539682539679</v>
      </c>
      <c r="M1351" t="s">
        <v>20</v>
      </c>
      <c r="N1351" t="s">
        <v>421</v>
      </c>
    </row>
    <row r="1352" spans="1:14" x14ac:dyDescent="0.3">
      <c r="A1352" t="s">
        <v>1718</v>
      </c>
      <c r="B1352" s="2">
        <v>46246</v>
      </c>
      <c r="C1352" s="2">
        <v>46247</v>
      </c>
      <c r="D1352" s="1" t="s">
        <v>472</v>
      </c>
      <c r="E1352" t="s">
        <v>473</v>
      </c>
      <c r="F1352" t="s">
        <v>438</v>
      </c>
      <c r="G1352" s="5">
        <v>468</v>
      </c>
      <c r="H1352" s="5">
        <v>533</v>
      </c>
      <c r="I1352" s="5">
        <v>508</v>
      </c>
      <c r="J1352" s="5">
        <v>25</v>
      </c>
      <c r="K1352" s="8">
        <f t="shared" si="44"/>
        <v>113.88888888888889</v>
      </c>
      <c r="L1352" s="8">
        <f t="shared" si="45"/>
        <v>4.9212598425196852</v>
      </c>
      <c r="M1352" t="s">
        <v>20</v>
      </c>
      <c r="N1352" t="s">
        <v>421</v>
      </c>
    </row>
    <row r="1353" spans="1:14" x14ac:dyDescent="0.3">
      <c r="A1353" t="s">
        <v>1719</v>
      </c>
      <c r="B1353" s="2">
        <v>46247</v>
      </c>
      <c r="C1353" s="2">
        <v>46248</v>
      </c>
      <c r="D1353" s="1" t="s">
        <v>472</v>
      </c>
      <c r="E1353" t="s">
        <v>473</v>
      </c>
      <c r="F1353" t="s">
        <v>438</v>
      </c>
      <c r="G1353" s="5">
        <v>234</v>
      </c>
      <c r="H1353" s="5">
        <v>541</v>
      </c>
      <c r="I1353" s="5">
        <v>504</v>
      </c>
      <c r="J1353" s="5">
        <v>37</v>
      </c>
      <c r="K1353" s="8">
        <f t="shared" si="44"/>
        <v>231.19658119658118</v>
      </c>
      <c r="L1353" s="8">
        <f t="shared" si="45"/>
        <v>7.3412698412698418</v>
      </c>
      <c r="M1353" t="s">
        <v>20</v>
      </c>
      <c r="N1353" t="s">
        <v>421</v>
      </c>
    </row>
    <row r="1354" spans="1:14" x14ac:dyDescent="0.3">
      <c r="A1354" t="s">
        <v>1720</v>
      </c>
      <c r="B1354" s="2">
        <v>46248</v>
      </c>
      <c r="C1354" s="2">
        <v>46251</v>
      </c>
      <c r="D1354" s="1" t="s">
        <v>472</v>
      </c>
      <c r="E1354" t="s">
        <v>473</v>
      </c>
      <c r="F1354" t="s">
        <v>438</v>
      </c>
      <c r="G1354" s="5">
        <v>234</v>
      </c>
      <c r="H1354" s="5">
        <v>266</v>
      </c>
      <c r="I1354" s="5">
        <v>260</v>
      </c>
      <c r="J1354" s="5">
        <v>6</v>
      </c>
      <c r="K1354" s="8">
        <f t="shared" si="44"/>
        <v>113.67521367521367</v>
      </c>
      <c r="L1354" s="8">
        <f t="shared" si="45"/>
        <v>2.3076923076923079</v>
      </c>
      <c r="M1354" t="s">
        <v>20</v>
      </c>
      <c r="N1354" t="s">
        <v>421</v>
      </c>
    </row>
    <row r="1355" spans="1:14" x14ac:dyDescent="0.3">
      <c r="A1355" t="s">
        <v>1721</v>
      </c>
      <c r="B1355" s="2">
        <v>46252</v>
      </c>
      <c r="C1355" s="2">
        <v>46254</v>
      </c>
      <c r="D1355" s="1" t="s">
        <v>472</v>
      </c>
      <c r="E1355" t="s">
        <v>473</v>
      </c>
      <c r="F1355" t="s">
        <v>438</v>
      </c>
      <c r="G1355" s="5">
        <v>468</v>
      </c>
      <c r="H1355" s="5">
        <v>276</v>
      </c>
      <c r="I1355" s="5">
        <v>276</v>
      </c>
      <c r="J1355" s="5">
        <v>0</v>
      </c>
      <c r="K1355" s="8">
        <f t="shared" si="44"/>
        <v>58.974358974358978</v>
      </c>
      <c r="L1355" s="8">
        <f t="shared" si="45"/>
        <v>0</v>
      </c>
      <c r="M1355" t="s">
        <v>20</v>
      </c>
      <c r="N1355" t="s">
        <v>421</v>
      </c>
    </row>
    <row r="1356" spans="1:14" x14ac:dyDescent="0.3">
      <c r="A1356" t="s">
        <v>1333</v>
      </c>
      <c r="B1356" s="2">
        <v>46239</v>
      </c>
      <c r="C1356" s="2">
        <v>46240</v>
      </c>
      <c r="D1356" s="1" t="s">
        <v>483</v>
      </c>
      <c r="E1356" t="s">
        <v>484</v>
      </c>
      <c r="F1356" t="s">
        <v>425</v>
      </c>
      <c r="G1356" s="5">
        <v>1152</v>
      </c>
      <c r="H1356" s="5">
        <v>760</v>
      </c>
      <c r="I1356" s="5">
        <v>710</v>
      </c>
      <c r="J1356" s="5">
        <v>50</v>
      </c>
      <c r="K1356" s="8">
        <f t="shared" si="44"/>
        <v>65.972222222222214</v>
      </c>
      <c r="L1356" s="8">
        <f t="shared" si="45"/>
        <v>7.042253521126761</v>
      </c>
      <c r="M1356" t="s">
        <v>20</v>
      </c>
      <c r="N1356" t="s">
        <v>421</v>
      </c>
    </row>
    <row r="1357" spans="1:14" x14ac:dyDescent="0.3">
      <c r="A1357" t="s">
        <v>1722</v>
      </c>
      <c r="B1357" s="2">
        <v>46244</v>
      </c>
      <c r="C1357" s="2">
        <v>46245</v>
      </c>
      <c r="D1357" s="1" t="s">
        <v>483</v>
      </c>
      <c r="E1357" t="s">
        <v>484</v>
      </c>
      <c r="F1357" t="s">
        <v>425</v>
      </c>
      <c r="G1357" s="5">
        <v>1152</v>
      </c>
      <c r="H1357" s="5">
        <v>1141</v>
      </c>
      <c r="I1357" s="5">
        <v>1110</v>
      </c>
      <c r="J1357" s="5">
        <v>31</v>
      </c>
      <c r="K1357" s="8">
        <f t="shared" si="44"/>
        <v>99.045138888888886</v>
      </c>
      <c r="L1357" s="8">
        <f t="shared" si="45"/>
        <v>2.7927927927927927</v>
      </c>
      <c r="M1357" t="s">
        <v>20</v>
      </c>
      <c r="N1357" t="s">
        <v>421</v>
      </c>
    </row>
    <row r="1358" spans="1:14" x14ac:dyDescent="0.3">
      <c r="A1358" t="s">
        <v>1723</v>
      </c>
      <c r="B1358" s="2">
        <v>46245</v>
      </c>
      <c r="C1358" s="2">
        <v>46246</v>
      </c>
      <c r="D1358" s="1" t="s">
        <v>483</v>
      </c>
      <c r="E1358" t="s">
        <v>484</v>
      </c>
      <c r="F1358" t="s">
        <v>425</v>
      </c>
      <c r="G1358" s="5">
        <v>1152</v>
      </c>
      <c r="H1358" s="5">
        <v>912</v>
      </c>
      <c r="I1358" s="5">
        <v>810</v>
      </c>
      <c r="J1358" s="5">
        <v>102</v>
      </c>
      <c r="K1358" s="8">
        <f t="shared" si="44"/>
        <v>79.166666666666657</v>
      </c>
      <c r="L1358" s="8">
        <f t="shared" si="45"/>
        <v>12.592592592592592</v>
      </c>
      <c r="M1358" t="s">
        <v>20</v>
      </c>
      <c r="N1358" t="s">
        <v>421</v>
      </c>
    </row>
    <row r="1359" spans="1:14" x14ac:dyDescent="0.3">
      <c r="A1359" t="s">
        <v>1724</v>
      </c>
      <c r="B1359" s="2">
        <v>46247</v>
      </c>
      <c r="C1359" s="2">
        <v>46251</v>
      </c>
      <c r="D1359" s="1" t="s">
        <v>1725</v>
      </c>
      <c r="E1359" t="s">
        <v>1726</v>
      </c>
      <c r="F1359" t="s">
        <v>438</v>
      </c>
      <c r="G1359" s="5">
        <v>15</v>
      </c>
      <c r="H1359" s="5">
        <v>15</v>
      </c>
      <c r="I1359" s="5">
        <v>15</v>
      </c>
      <c r="J1359" s="5">
        <v>0</v>
      </c>
      <c r="K1359" s="8">
        <f t="shared" si="44"/>
        <v>100</v>
      </c>
      <c r="L1359" s="8">
        <f t="shared" si="45"/>
        <v>0</v>
      </c>
      <c r="M1359" t="s">
        <v>20</v>
      </c>
      <c r="N1359" t="s">
        <v>421</v>
      </c>
    </row>
    <row r="1360" spans="1:14" x14ac:dyDescent="0.3">
      <c r="A1360" t="s">
        <v>1336</v>
      </c>
      <c r="B1360" s="2">
        <v>46239</v>
      </c>
      <c r="C1360" s="2">
        <v>46240</v>
      </c>
      <c r="D1360" s="1" t="s">
        <v>497</v>
      </c>
      <c r="E1360" t="s">
        <v>498</v>
      </c>
      <c r="F1360" t="s">
        <v>438</v>
      </c>
      <c r="G1360" s="5">
        <v>1052</v>
      </c>
      <c r="H1360" s="5">
        <v>1097</v>
      </c>
      <c r="I1360" s="5">
        <v>1010</v>
      </c>
      <c r="J1360" s="5">
        <v>87</v>
      </c>
      <c r="K1360" s="8">
        <f t="shared" si="44"/>
        <v>104.27756653992395</v>
      </c>
      <c r="L1360" s="8">
        <f t="shared" si="45"/>
        <v>8.6138613861386126</v>
      </c>
      <c r="M1360" t="s">
        <v>20</v>
      </c>
      <c r="N1360" t="s">
        <v>421</v>
      </c>
    </row>
    <row r="1361" spans="1:14" x14ac:dyDescent="0.3">
      <c r="A1361" t="s">
        <v>1727</v>
      </c>
      <c r="B1361" s="2">
        <v>46244</v>
      </c>
      <c r="C1361" s="2">
        <v>46251</v>
      </c>
      <c r="D1361" s="1" t="s">
        <v>497</v>
      </c>
      <c r="E1361" t="s">
        <v>498</v>
      </c>
      <c r="F1361" t="s">
        <v>438</v>
      </c>
      <c r="G1361" s="5">
        <v>1052</v>
      </c>
      <c r="H1361" s="5">
        <v>1052</v>
      </c>
      <c r="I1361" s="5">
        <v>1052</v>
      </c>
      <c r="J1361" s="5">
        <v>0</v>
      </c>
      <c r="K1361" s="8">
        <f t="shared" si="44"/>
        <v>100</v>
      </c>
      <c r="L1361" s="8">
        <f t="shared" si="45"/>
        <v>0</v>
      </c>
      <c r="M1361" t="s">
        <v>20</v>
      </c>
      <c r="N1361" t="s">
        <v>421</v>
      </c>
    </row>
    <row r="1362" spans="1:14" x14ac:dyDescent="0.3">
      <c r="A1362" t="s">
        <v>1728</v>
      </c>
      <c r="B1362" s="2">
        <v>46245</v>
      </c>
      <c r="C1362" s="2">
        <v>46251</v>
      </c>
      <c r="D1362" s="1" t="s">
        <v>497</v>
      </c>
      <c r="E1362" t="s">
        <v>498</v>
      </c>
      <c r="F1362" t="s">
        <v>438</v>
      </c>
      <c r="G1362" s="5">
        <v>1052</v>
      </c>
      <c r="H1362" s="5">
        <v>996</v>
      </c>
      <c r="I1362" s="5">
        <v>958</v>
      </c>
      <c r="J1362" s="5">
        <v>38</v>
      </c>
      <c r="K1362" s="8">
        <f t="shared" si="44"/>
        <v>94.676806083650192</v>
      </c>
      <c r="L1362" s="8">
        <f t="shared" si="45"/>
        <v>3.9665970772442591</v>
      </c>
      <c r="M1362" t="s">
        <v>20</v>
      </c>
      <c r="N1362" t="s">
        <v>421</v>
      </c>
    </row>
    <row r="1363" spans="1:14" x14ac:dyDescent="0.3">
      <c r="A1363" t="s">
        <v>1729</v>
      </c>
      <c r="B1363" s="2">
        <v>46252</v>
      </c>
      <c r="C1363" s="2">
        <v>46254</v>
      </c>
      <c r="D1363" s="1" t="s">
        <v>497</v>
      </c>
      <c r="E1363" t="s">
        <v>498</v>
      </c>
      <c r="F1363" t="s">
        <v>438</v>
      </c>
      <c r="G1363" s="5">
        <v>1052</v>
      </c>
      <c r="H1363" s="5">
        <v>1076</v>
      </c>
      <c r="I1363" s="5">
        <v>1050</v>
      </c>
      <c r="J1363" s="5">
        <v>26</v>
      </c>
      <c r="K1363" s="8">
        <f t="shared" si="44"/>
        <v>102.28136882129277</v>
      </c>
      <c r="L1363" s="8">
        <f t="shared" si="45"/>
        <v>2.4761904761904763</v>
      </c>
      <c r="M1363" t="s">
        <v>20</v>
      </c>
      <c r="N1363" t="s">
        <v>421</v>
      </c>
    </row>
    <row r="1364" spans="1:14" x14ac:dyDescent="0.3">
      <c r="A1364" t="s">
        <v>1337</v>
      </c>
      <c r="B1364" s="2">
        <v>46239</v>
      </c>
      <c r="C1364" s="2">
        <v>46240</v>
      </c>
      <c r="D1364" s="1" t="s">
        <v>506</v>
      </c>
      <c r="E1364" t="s">
        <v>507</v>
      </c>
      <c r="F1364" t="s">
        <v>425</v>
      </c>
      <c r="G1364" s="5">
        <v>115</v>
      </c>
      <c r="H1364" s="5">
        <v>113</v>
      </c>
      <c r="I1364" s="5">
        <v>113</v>
      </c>
      <c r="J1364" s="5">
        <v>0</v>
      </c>
      <c r="K1364" s="8">
        <f t="shared" si="44"/>
        <v>98.260869565217391</v>
      </c>
      <c r="L1364" s="8">
        <f t="shared" si="45"/>
        <v>0</v>
      </c>
      <c r="M1364" t="s">
        <v>20</v>
      </c>
      <c r="N1364" t="s">
        <v>421</v>
      </c>
    </row>
    <row r="1365" spans="1:14" x14ac:dyDescent="0.3">
      <c r="A1365" t="s">
        <v>1730</v>
      </c>
      <c r="B1365" s="2">
        <v>46244</v>
      </c>
      <c r="C1365" s="2">
        <v>46245</v>
      </c>
      <c r="D1365" s="1" t="s">
        <v>506</v>
      </c>
      <c r="E1365" t="s">
        <v>507</v>
      </c>
      <c r="F1365" t="s">
        <v>425</v>
      </c>
      <c r="G1365" s="5">
        <v>115</v>
      </c>
      <c r="H1365" s="5">
        <v>112</v>
      </c>
      <c r="I1365" s="5">
        <v>106</v>
      </c>
      <c r="J1365" s="5">
        <v>6</v>
      </c>
      <c r="K1365" s="8">
        <f t="shared" si="44"/>
        <v>97.391304347826093</v>
      </c>
      <c r="L1365" s="8">
        <f t="shared" si="45"/>
        <v>5.6603773584905666</v>
      </c>
      <c r="M1365" t="s">
        <v>20</v>
      </c>
      <c r="N1365" t="s">
        <v>421</v>
      </c>
    </row>
    <row r="1366" spans="1:14" x14ac:dyDescent="0.3">
      <c r="A1366" t="s">
        <v>1731</v>
      </c>
      <c r="B1366" s="2">
        <v>46240</v>
      </c>
      <c r="C1366" s="2">
        <v>46241</v>
      </c>
      <c r="D1366" s="1" t="s">
        <v>518</v>
      </c>
      <c r="E1366" t="s">
        <v>519</v>
      </c>
      <c r="F1366" t="s">
        <v>438</v>
      </c>
      <c r="G1366" s="5">
        <v>194</v>
      </c>
      <c r="H1366" s="5">
        <v>194</v>
      </c>
      <c r="I1366" s="5">
        <v>194</v>
      </c>
      <c r="J1366" s="5">
        <v>0</v>
      </c>
      <c r="K1366" s="8">
        <f t="shared" si="44"/>
        <v>100</v>
      </c>
      <c r="L1366" s="8">
        <f t="shared" si="45"/>
        <v>0</v>
      </c>
      <c r="M1366" t="s">
        <v>20</v>
      </c>
      <c r="N1366" t="s">
        <v>421</v>
      </c>
    </row>
    <row r="1367" spans="1:14" x14ac:dyDescent="0.3">
      <c r="A1367" t="s">
        <v>1732</v>
      </c>
      <c r="B1367" s="2">
        <v>46244</v>
      </c>
      <c r="C1367" s="2">
        <v>46245</v>
      </c>
      <c r="D1367" s="1" t="s">
        <v>518</v>
      </c>
      <c r="E1367" t="s">
        <v>519</v>
      </c>
      <c r="F1367" t="s">
        <v>438</v>
      </c>
      <c r="G1367" s="5">
        <v>97</v>
      </c>
      <c r="H1367" s="5">
        <v>101</v>
      </c>
      <c r="I1367" s="5">
        <v>101</v>
      </c>
      <c r="J1367" s="5">
        <v>0</v>
      </c>
      <c r="K1367" s="8">
        <f t="shared" si="44"/>
        <v>104.1237113402062</v>
      </c>
      <c r="L1367" s="8">
        <f t="shared" si="45"/>
        <v>0</v>
      </c>
      <c r="M1367" t="s">
        <v>20</v>
      </c>
      <c r="N1367" t="s">
        <v>421</v>
      </c>
    </row>
    <row r="1368" spans="1:14" x14ac:dyDescent="0.3">
      <c r="A1368" t="s">
        <v>1733</v>
      </c>
      <c r="B1368" s="2">
        <v>46245</v>
      </c>
      <c r="C1368" s="2">
        <v>46246</v>
      </c>
      <c r="D1368" s="1" t="s">
        <v>518</v>
      </c>
      <c r="E1368" t="s">
        <v>519</v>
      </c>
      <c r="F1368" t="s">
        <v>438</v>
      </c>
      <c r="G1368" s="5">
        <v>194</v>
      </c>
      <c r="H1368" s="5">
        <v>198</v>
      </c>
      <c r="I1368" s="5">
        <v>198</v>
      </c>
      <c r="J1368" s="5">
        <v>0</v>
      </c>
      <c r="K1368" s="8">
        <f t="shared" si="44"/>
        <v>102.06185567010309</v>
      </c>
      <c r="L1368" s="8">
        <f t="shared" si="45"/>
        <v>0</v>
      </c>
      <c r="M1368" t="s">
        <v>20</v>
      </c>
      <c r="N1368" t="s">
        <v>421</v>
      </c>
    </row>
    <row r="1369" spans="1:14" x14ac:dyDescent="0.3">
      <c r="A1369" t="s">
        <v>1734</v>
      </c>
      <c r="B1369" s="2">
        <v>46246</v>
      </c>
      <c r="C1369" s="2">
        <v>46247</v>
      </c>
      <c r="D1369" s="1" t="s">
        <v>518</v>
      </c>
      <c r="E1369" t="s">
        <v>519</v>
      </c>
      <c r="F1369" t="s">
        <v>438</v>
      </c>
      <c r="G1369" s="5">
        <v>194</v>
      </c>
      <c r="H1369" s="5">
        <v>195</v>
      </c>
      <c r="I1369" s="5">
        <v>195</v>
      </c>
      <c r="J1369" s="5">
        <v>0</v>
      </c>
      <c r="K1369" s="8">
        <f t="shared" si="44"/>
        <v>100.51546391752578</v>
      </c>
      <c r="L1369" s="8">
        <f t="shared" si="45"/>
        <v>0</v>
      </c>
      <c r="M1369" t="s">
        <v>20</v>
      </c>
      <c r="N1369" t="s">
        <v>421</v>
      </c>
    </row>
    <row r="1370" spans="1:14" x14ac:dyDescent="0.3">
      <c r="A1370" t="s">
        <v>1735</v>
      </c>
      <c r="B1370" s="2">
        <v>46245</v>
      </c>
      <c r="C1370" s="2">
        <v>46246</v>
      </c>
      <c r="D1370" s="1" t="s">
        <v>524</v>
      </c>
      <c r="E1370" t="s">
        <v>525</v>
      </c>
      <c r="F1370" t="s">
        <v>438</v>
      </c>
      <c r="G1370" s="5">
        <v>112</v>
      </c>
      <c r="H1370" s="5">
        <v>102</v>
      </c>
      <c r="I1370" s="5">
        <v>102</v>
      </c>
      <c r="J1370" s="5">
        <v>0</v>
      </c>
      <c r="K1370" s="8">
        <f t="shared" si="44"/>
        <v>91.071428571428569</v>
      </c>
      <c r="L1370" s="8">
        <f t="shared" si="45"/>
        <v>0</v>
      </c>
      <c r="M1370" t="s">
        <v>20</v>
      </c>
      <c r="N1370" t="s">
        <v>421</v>
      </c>
    </row>
    <row r="1371" spans="1:14" x14ac:dyDescent="0.3">
      <c r="A1371" t="s">
        <v>1736</v>
      </c>
      <c r="B1371" s="2">
        <v>46246</v>
      </c>
      <c r="C1371" s="2">
        <v>46247</v>
      </c>
      <c r="D1371" s="1" t="s">
        <v>524</v>
      </c>
      <c r="E1371" t="s">
        <v>525</v>
      </c>
      <c r="F1371" t="s">
        <v>438</v>
      </c>
      <c r="G1371" s="5">
        <v>112</v>
      </c>
      <c r="H1371" s="5">
        <v>120</v>
      </c>
      <c r="I1371" s="5">
        <v>118</v>
      </c>
      <c r="J1371" s="5">
        <v>2</v>
      </c>
      <c r="K1371" s="8">
        <f t="shared" si="44"/>
        <v>107.14285714285714</v>
      </c>
      <c r="L1371" s="8">
        <f t="shared" si="45"/>
        <v>1.6949152542372881</v>
      </c>
      <c r="M1371" t="s">
        <v>20</v>
      </c>
      <c r="N1371" t="s">
        <v>421</v>
      </c>
    </row>
    <row r="1372" spans="1:14" x14ac:dyDescent="0.3">
      <c r="A1372" t="s">
        <v>1737</v>
      </c>
      <c r="B1372" s="2">
        <v>46244</v>
      </c>
      <c r="C1372" s="2">
        <v>46244</v>
      </c>
      <c r="D1372" s="1" t="s">
        <v>534</v>
      </c>
      <c r="E1372" t="s">
        <v>535</v>
      </c>
      <c r="F1372" t="s">
        <v>438</v>
      </c>
      <c r="G1372" s="5">
        <v>97</v>
      </c>
      <c r="H1372" s="5">
        <v>99</v>
      </c>
      <c r="I1372" s="5">
        <v>99</v>
      </c>
      <c r="J1372" s="5">
        <v>0</v>
      </c>
      <c r="K1372" s="8">
        <f t="shared" si="44"/>
        <v>102.06185567010309</v>
      </c>
      <c r="L1372" s="8">
        <f t="shared" si="45"/>
        <v>0</v>
      </c>
      <c r="M1372" t="s">
        <v>20</v>
      </c>
      <c r="N1372" t="s">
        <v>421</v>
      </c>
    </row>
    <row r="1373" spans="1:14" x14ac:dyDescent="0.3">
      <c r="A1373" t="s">
        <v>1738</v>
      </c>
      <c r="B1373" s="2">
        <v>46245</v>
      </c>
      <c r="C1373" s="2">
        <v>46246</v>
      </c>
      <c r="D1373" s="1" t="s">
        <v>534</v>
      </c>
      <c r="E1373" t="s">
        <v>535</v>
      </c>
      <c r="F1373" t="s">
        <v>438</v>
      </c>
      <c r="G1373" s="5">
        <v>194</v>
      </c>
      <c r="H1373" s="5">
        <v>199</v>
      </c>
      <c r="I1373" s="5">
        <v>199</v>
      </c>
      <c r="J1373" s="5">
        <v>0</v>
      </c>
      <c r="K1373" s="8">
        <f t="shared" si="44"/>
        <v>102.57731958762886</v>
      </c>
      <c r="L1373" s="8">
        <f t="shared" si="45"/>
        <v>0</v>
      </c>
      <c r="M1373" t="s">
        <v>20</v>
      </c>
      <c r="N1373" t="s">
        <v>421</v>
      </c>
    </row>
    <row r="1374" spans="1:14" x14ac:dyDescent="0.3">
      <c r="A1374" t="s">
        <v>1739</v>
      </c>
      <c r="B1374" s="2">
        <v>46246</v>
      </c>
      <c r="C1374" s="2">
        <v>46247</v>
      </c>
      <c r="D1374" s="1" t="s">
        <v>534</v>
      </c>
      <c r="E1374" t="s">
        <v>535</v>
      </c>
      <c r="F1374" t="s">
        <v>438</v>
      </c>
      <c r="G1374" s="5">
        <v>97</v>
      </c>
      <c r="H1374" s="5">
        <v>99</v>
      </c>
      <c r="I1374" s="5">
        <v>99</v>
      </c>
      <c r="J1374" s="5">
        <v>0</v>
      </c>
      <c r="K1374" s="8">
        <f t="shared" si="44"/>
        <v>102.06185567010309</v>
      </c>
      <c r="L1374" s="8">
        <f t="shared" si="45"/>
        <v>0</v>
      </c>
      <c r="M1374" t="s">
        <v>20</v>
      </c>
      <c r="N1374" t="s">
        <v>421</v>
      </c>
    </row>
    <row r="1375" spans="1:14" x14ac:dyDescent="0.3">
      <c r="A1375" t="s">
        <v>1740</v>
      </c>
      <c r="B1375" s="2">
        <v>46247</v>
      </c>
      <c r="C1375" s="2">
        <v>46248</v>
      </c>
      <c r="D1375" s="1" t="s">
        <v>534</v>
      </c>
      <c r="E1375" t="s">
        <v>535</v>
      </c>
      <c r="F1375" t="s">
        <v>438</v>
      </c>
      <c r="G1375" s="5">
        <v>97</v>
      </c>
      <c r="H1375" s="5">
        <v>98</v>
      </c>
      <c r="I1375" s="5">
        <v>98</v>
      </c>
      <c r="J1375" s="5">
        <v>0</v>
      </c>
      <c r="K1375" s="8">
        <f t="shared" si="44"/>
        <v>101.03092783505154</v>
      </c>
      <c r="L1375" s="8">
        <f t="shared" si="45"/>
        <v>0</v>
      </c>
      <c r="M1375" t="s">
        <v>20</v>
      </c>
      <c r="N1375" t="s">
        <v>421</v>
      </c>
    </row>
    <row r="1376" spans="1:14" x14ac:dyDescent="0.3">
      <c r="A1376" t="s">
        <v>1741</v>
      </c>
      <c r="B1376" s="2">
        <v>46247</v>
      </c>
      <c r="C1376" s="2">
        <v>46248</v>
      </c>
      <c r="D1376" s="1" t="s">
        <v>534</v>
      </c>
      <c r="E1376" t="s">
        <v>535</v>
      </c>
      <c r="F1376" t="s">
        <v>438</v>
      </c>
      <c r="G1376" s="5">
        <v>97</v>
      </c>
      <c r="H1376" s="5">
        <v>97</v>
      </c>
      <c r="I1376" s="5">
        <v>97</v>
      </c>
      <c r="J1376" s="5">
        <v>0</v>
      </c>
      <c r="K1376" s="8">
        <f t="shared" si="44"/>
        <v>100</v>
      </c>
      <c r="L1376" s="8">
        <f t="shared" si="45"/>
        <v>0</v>
      </c>
      <c r="M1376" t="s">
        <v>20</v>
      </c>
      <c r="N1376" t="s">
        <v>421</v>
      </c>
    </row>
    <row r="1377" spans="1:14" x14ac:dyDescent="0.3">
      <c r="A1377" t="s">
        <v>1742</v>
      </c>
      <c r="B1377" s="2">
        <v>46244</v>
      </c>
      <c r="C1377" s="2">
        <v>46246</v>
      </c>
      <c r="D1377" s="1" t="s">
        <v>542</v>
      </c>
      <c r="E1377" t="s">
        <v>543</v>
      </c>
      <c r="F1377" t="s">
        <v>425</v>
      </c>
      <c r="G1377" s="5">
        <v>170</v>
      </c>
      <c r="H1377" s="5">
        <v>171</v>
      </c>
      <c r="I1377" s="5">
        <v>171</v>
      </c>
      <c r="J1377" s="5">
        <v>0</v>
      </c>
      <c r="K1377" s="8">
        <f t="shared" si="44"/>
        <v>100.58823529411765</v>
      </c>
      <c r="L1377" s="8">
        <f t="shared" si="45"/>
        <v>0</v>
      </c>
      <c r="M1377" t="s">
        <v>20</v>
      </c>
      <c r="N1377" t="s">
        <v>421</v>
      </c>
    </row>
    <row r="1378" spans="1:14" x14ac:dyDescent="0.3">
      <c r="A1378" t="s">
        <v>1743</v>
      </c>
      <c r="B1378" s="2">
        <v>46245</v>
      </c>
      <c r="C1378" s="2">
        <v>46247</v>
      </c>
      <c r="D1378" s="1" t="s">
        <v>542</v>
      </c>
      <c r="E1378" t="s">
        <v>543</v>
      </c>
      <c r="F1378" t="s">
        <v>425</v>
      </c>
      <c r="G1378" s="5">
        <v>340</v>
      </c>
      <c r="H1378" s="5">
        <v>342</v>
      </c>
      <c r="I1378" s="5">
        <v>342</v>
      </c>
      <c r="J1378" s="5">
        <v>0</v>
      </c>
      <c r="K1378" s="8">
        <f t="shared" si="44"/>
        <v>100.58823529411765</v>
      </c>
      <c r="L1378" s="8">
        <f t="shared" si="45"/>
        <v>0</v>
      </c>
      <c r="M1378" t="s">
        <v>20</v>
      </c>
      <c r="N1378" t="s">
        <v>421</v>
      </c>
    </row>
    <row r="1379" spans="1:14" x14ac:dyDescent="0.3">
      <c r="A1379" t="s">
        <v>1341</v>
      </c>
      <c r="B1379" s="2">
        <v>46239</v>
      </c>
      <c r="C1379" s="2">
        <v>46240</v>
      </c>
      <c r="D1379" s="1" t="s">
        <v>562</v>
      </c>
      <c r="E1379" t="s">
        <v>563</v>
      </c>
      <c r="F1379" t="s">
        <v>438</v>
      </c>
      <c r="G1379" s="5">
        <v>662</v>
      </c>
      <c r="H1379" s="5">
        <v>659</v>
      </c>
      <c r="I1379" s="5">
        <v>640</v>
      </c>
      <c r="J1379" s="5">
        <v>19</v>
      </c>
      <c r="K1379" s="8">
        <f t="shared" si="44"/>
        <v>99.546827794561935</v>
      </c>
      <c r="L1379" s="8">
        <f t="shared" si="45"/>
        <v>2.96875</v>
      </c>
      <c r="M1379" t="s">
        <v>20</v>
      </c>
      <c r="N1379" t="s">
        <v>421</v>
      </c>
    </row>
    <row r="1380" spans="1:14" x14ac:dyDescent="0.3">
      <c r="A1380" t="s">
        <v>1744</v>
      </c>
      <c r="B1380" s="2">
        <v>46244</v>
      </c>
      <c r="C1380" s="2">
        <v>46246</v>
      </c>
      <c r="D1380" s="1" t="s">
        <v>562</v>
      </c>
      <c r="E1380" t="s">
        <v>563</v>
      </c>
      <c r="F1380" t="s">
        <v>438</v>
      </c>
      <c r="G1380" s="5">
        <v>662</v>
      </c>
      <c r="H1380" s="5">
        <v>596</v>
      </c>
      <c r="I1380" s="5">
        <v>580</v>
      </c>
      <c r="J1380" s="5">
        <v>16</v>
      </c>
      <c r="K1380" s="8">
        <f t="shared" si="44"/>
        <v>90.030211480362539</v>
      </c>
      <c r="L1380" s="8">
        <f t="shared" si="45"/>
        <v>2.7586206896551726</v>
      </c>
      <c r="M1380" t="s">
        <v>20</v>
      </c>
      <c r="N1380" t="s">
        <v>421</v>
      </c>
    </row>
    <row r="1381" spans="1:14" x14ac:dyDescent="0.3">
      <c r="A1381" t="s">
        <v>1745</v>
      </c>
      <c r="B1381" s="2">
        <v>46246</v>
      </c>
      <c r="C1381" s="2">
        <v>46247</v>
      </c>
      <c r="D1381" s="1" t="s">
        <v>562</v>
      </c>
      <c r="E1381" t="s">
        <v>563</v>
      </c>
      <c r="F1381" t="s">
        <v>438</v>
      </c>
      <c r="G1381" s="5">
        <v>662</v>
      </c>
      <c r="H1381" s="5">
        <v>641</v>
      </c>
      <c r="I1381" s="5">
        <v>600</v>
      </c>
      <c r="J1381" s="5">
        <v>41</v>
      </c>
      <c r="K1381" s="8">
        <f t="shared" si="44"/>
        <v>96.82779456193353</v>
      </c>
      <c r="L1381" s="8">
        <f t="shared" si="45"/>
        <v>6.833333333333333</v>
      </c>
      <c r="M1381" t="s">
        <v>20</v>
      </c>
      <c r="N1381" t="s">
        <v>421</v>
      </c>
    </row>
    <row r="1382" spans="1:14" x14ac:dyDescent="0.3">
      <c r="A1382" t="s">
        <v>1746</v>
      </c>
      <c r="B1382" s="2">
        <v>46247</v>
      </c>
      <c r="C1382" s="2">
        <v>46251</v>
      </c>
      <c r="D1382" s="1" t="s">
        <v>562</v>
      </c>
      <c r="E1382" t="s">
        <v>563</v>
      </c>
      <c r="F1382" t="s">
        <v>438</v>
      </c>
      <c r="G1382" s="5">
        <v>662</v>
      </c>
      <c r="H1382" s="5">
        <v>613</v>
      </c>
      <c r="I1382" s="5">
        <v>490</v>
      </c>
      <c r="J1382" s="5">
        <v>123</v>
      </c>
      <c r="K1382" s="8">
        <f t="shared" si="44"/>
        <v>92.598187311178251</v>
      </c>
      <c r="L1382" s="8">
        <f t="shared" si="45"/>
        <v>25.102040816326532</v>
      </c>
      <c r="M1382" t="s">
        <v>20</v>
      </c>
      <c r="N1382" t="s">
        <v>421</v>
      </c>
    </row>
    <row r="1383" spans="1:14" x14ac:dyDescent="0.3">
      <c r="A1383" t="s">
        <v>1747</v>
      </c>
      <c r="B1383" s="2">
        <v>46252</v>
      </c>
      <c r="C1383" s="2">
        <v>46254</v>
      </c>
      <c r="D1383" s="1" t="s">
        <v>562</v>
      </c>
      <c r="E1383" t="s">
        <v>563</v>
      </c>
      <c r="F1383" t="s">
        <v>438</v>
      </c>
      <c r="G1383" s="5">
        <v>662</v>
      </c>
      <c r="H1383" s="5">
        <v>639</v>
      </c>
      <c r="I1383" s="5">
        <v>620</v>
      </c>
      <c r="J1383" s="5">
        <v>19</v>
      </c>
      <c r="K1383" s="8">
        <f t="shared" si="44"/>
        <v>96.525679758308158</v>
      </c>
      <c r="L1383" s="8">
        <f t="shared" si="45"/>
        <v>3.064516129032258</v>
      </c>
      <c r="M1383" t="s">
        <v>20</v>
      </c>
      <c r="N1383" t="s">
        <v>421</v>
      </c>
    </row>
    <row r="1384" spans="1:14" x14ac:dyDescent="0.3">
      <c r="A1384" t="s">
        <v>1748</v>
      </c>
      <c r="B1384" s="2">
        <v>46240</v>
      </c>
      <c r="C1384" s="2">
        <v>46241</v>
      </c>
      <c r="D1384" s="1" t="s">
        <v>566</v>
      </c>
      <c r="E1384" t="s">
        <v>567</v>
      </c>
      <c r="F1384" t="s">
        <v>438</v>
      </c>
      <c r="G1384" s="5">
        <v>1660</v>
      </c>
      <c r="H1384" s="5">
        <v>1700</v>
      </c>
      <c r="I1384" s="5">
        <v>1695</v>
      </c>
      <c r="J1384" s="5">
        <v>5</v>
      </c>
      <c r="K1384" s="8">
        <f t="shared" si="44"/>
        <v>102.40963855421687</v>
      </c>
      <c r="L1384" s="8">
        <f t="shared" si="45"/>
        <v>0.29498525073746312</v>
      </c>
      <c r="M1384" t="s">
        <v>20</v>
      </c>
      <c r="N1384" t="s">
        <v>421</v>
      </c>
    </row>
    <row r="1385" spans="1:14" x14ac:dyDescent="0.3">
      <c r="A1385" t="s">
        <v>1749</v>
      </c>
      <c r="B1385" s="2">
        <v>46244</v>
      </c>
      <c r="C1385" s="2">
        <v>46248</v>
      </c>
      <c r="D1385" s="1" t="s">
        <v>566</v>
      </c>
      <c r="E1385" t="s">
        <v>567</v>
      </c>
      <c r="F1385" t="s">
        <v>438</v>
      </c>
      <c r="G1385" s="5">
        <v>1660</v>
      </c>
      <c r="H1385" s="5">
        <v>1725</v>
      </c>
      <c r="I1385" s="5">
        <v>1620</v>
      </c>
      <c r="J1385" s="5">
        <v>105</v>
      </c>
      <c r="K1385" s="8">
        <f t="shared" si="44"/>
        <v>103.91566265060241</v>
      </c>
      <c r="L1385" s="8">
        <f t="shared" si="45"/>
        <v>6.481481481481481</v>
      </c>
      <c r="M1385" t="s">
        <v>20</v>
      </c>
      <c r="N1385" t="s">
        <v>421</v>
      </c>
    </row>
    <row r="1386" spans="1:14" x14ac:dyDescent="0.3">
      <c r="A1386" t="s">
        <v>1346</v>
      </c>
      <c r="B1386" s="2">
        <v>46239</v>
      </c>
      <c r="C1386" s="2">
        <v>46240</v>
      </c>
      <c r="D1386" s="1" t="s">
        <v>591</v>
      </c>
      <c r="E1386" t="s">
        <v>592</v>
      </c>
      <c r="F1386" t="s">
        <v>438</v>
      </c>
      <c r="G1386" s="5">
        <v>2340</v>
      </c>
      <c r="H1386" s="5">
        <v>2112</v>
      </c>
      <c r="I1386" s="5">
        <v>1856</v>
      </c>
      <c r="J1386" s="5">
        <v>256</v>
      </c>
      <c r="K1386" s="8">
        <f t="shared" si="44"/>
        <v>90.256410256410263</v>
      </c>
      <c r="L1386" s="8">
        <f t="shared" si="45"/>
        <v>13.793103448275861</v>
      </c>
      <c r="M1386" t="s">
        <v>20</v>
      </c>
      <c r="N1386" t="s">
        <v>421</v>
      </c>
    </row>
    <row r="1387" spans="1:14" x14ac:dyDescent="0.3">
      <c r="A1387" t="s">
        <v>1750</v>
      </c>
      <c r="B1387" s="2">
        <v>46240</v>
      </c>
      <c r="C1387" s="2">
        <v>46241</v>
      </c>
      <c r="D1387" s="1" t="s">
        <v>591</v>
      </c>
      <c r="E1387" t="s">
        <v>592</v>
      </c>
      <c r="F1387" t="s">
        <v>438</v>
      </c>
      <c r="G1387" s="5">
        <v>3120</v>
      </c>
      <c r="H1387" s="5">
        <v>2661</v>
      </c>
      <c r="I1387" s="5">
        <v>2216</v>
      </c>
      <c r="J1387" s="5">
        <v>445</v>
      </c>
      <c r="K1387" s="8">
        <f t="shared" si="44"/>
        <v>85.288461538461533</v>
      </c>
      <c r="L1387" s="8">
        <f t="shared" si="45"/>
        <v>20.081227436823106</v>
      </c>
      <c r="M1387" t="s">
        <v>20</v>
      </c>
      <c r="N1387" t="s">
        <v>421</v>
      </c>
    </row>
    <row r="1388" spans="1:14" x14ac:dyDescent="0.3">
      <c r="A1388" t="s">
        <v>1751</v>
      </c>
      <c r="B1388" s="2">
        <v>46244</v>
      </c>
      <c r="C1388" s="2">
        <v>46245</v>
      </c>
      <c r="D1388" s="1" t="s">
        <v>591</v>
      </c>
      <c r="E1388" t="s">
        <v>592</v>
      </c>
      <c r="F1388" t="s">
        <v>438</v>
      </c>
      <c r="G1388" s="5">
        <v>2340</v>
      </c>
      <c r="H1388" s="5">
        <v>2092</v>
      </c>
      <c r="I1388" s="5">
        <v>1864</v>
      </c>
      <c r="J1388" s="5">
        <v>228</v>
      </c>
      <c r="K1388" s="8">
        <f t="shared" ref="K1388:K1451" si="46">(H1388/G1388)*100</f>
        <v>89.401709401709411</v>
      </c>
      <c r="L1388" s="8">
        <f t="shared" ref="L1388:L1451" si="47">((H1388-I1388)/I1388)*100</f>
        <v>12.231759656652361</v>
      </c>
      <c r="M1388" t="s">
        <v>20</v>
      </c>
      <c r="N1388" t="s">
        <v>421</v>
      </c>
    </row>
    <row r="1389" spans="1:14" x14ac:dyDescent="0.3">
      <c r="A1389" t="s">
        <v>1752</v>
      </c>
      <c r="B1389" s="2">
        <v>46245</v>
      </c>
      <c r="C1389" s="2">
        <v>46246</v>
      </c>
      <c r="D1389" s="1" t="s">
        <v>591</v>
      </c>
      <c r="E1389" t="s">
        <v>592</v>
      </c>
      <c r="F1389" t="s">
        <v>438</v>
      </c>
      <c r="G1389" s="5">
        <v>2340</v>
      </c>
      <c r="H1389" s="5">
        <v>1971</v>
      </c>
      <c r="I1389" s="5">
        <v>1648</v>
      </c>
      <c r="J1389" s="5">
        <v>323</v>
      </c>
      <c r="K1389" s="8">
        <f t="shared" si="46"/>
        <v>84.230769230769226</v>
      </c>
      <c r="L1389" s="8">
        <f t="shared" si="47"/>
        <v>19.599514563106794</v>
      </c>
      <c r="M1389" t="s">
        <v>20</v>
      </c>
      <c r="N1389" t="s">
        <v>421</v>
      </c>
    </row>
    <row r="1390" spans="1:14" x14ac:dyDescent="0.3">
      <c r="A1390" t="s">
        <v>1753</v>
      </c>
      <c r="B1390" s="2">
        <v>46246</v>
      </c>
      <c r="C1390" s="2">
        <v>46247</v>
      </c>
      <c r="D1390" s="1" t="s">
        <v>591</v>
      </c>
      <c r="E1390" t="s">
        <v>592</v>
      </c>
      <c r="F1390" t="s">
        <v>438</v>
      </c>
      <c r="G1390" s="5">
        <v>2340</v>
      </c>
      <c r="H1390" s="5">
        <v>1890</v>
      </c>
      <c r="I1390" s="5">
        <v>1680</v>
      </c>
      <c r="J1390" s="5">
        <v>210</v>
      </c>
      <c r="K1390" s="8">
        <f t="shared" si="46"/>
        <v>80.769230769230774</v>
      </c>
      <c r="L1390" s="8">
        <f t="shared" si="47"/>
        <v>12.5</v>
      </c>
      <c r="M1390" t="s">
        <v>20</v>
      </c>
      <c r="N1390" t="s">
        <v>421</v>
      </c>
    </row>
    <row r="1391" spans="1:14" x14ac:dyDescent="0.3">
      <c r="A1391" t="s">
        <v>1754</v>
      </c>
      <c r="B1391" s="2">
        <v>46245</v>
      </c>
      <c r="C1391" s="2">
        <v>46246</v>
      </c>
      <c r="D1391" s="1" t="s">
        <v>603</v>
      </c>
      <c r="E1391" t="s">
        <v>604</v>
      </c>
      <c r="F1391" t="s">
        <v>438</v>
      </c>
      <c r="G1391" s="5">
        <v>900</v>
      </c>
      <c r="H1391" s="5">
        <v>1079</v>
      </c>
      <c r="I1391" s="5">
        <v>1024</v>
      </c>
      <c r="J1391" s="5">
        <v>55</v>
      </c>
      <c r="K1391" s="8">
        <f t="shared" si="46"/>
        <v>119.88888888888889</v>
      </c>
      <c r="L1391" s="8">
        <f t="shared" si="47"/>
        <v>5.37109375</v>
      </c>
      <c r="M1391" t="s">
        <v>20</v>
      </c>
      <c r="N1391" t="s">
        <v>421</v>
      </c>
    </row>
    <row r="1392" spans="1:14" x14ac:dyDescent="0.3">
      <c r="A1392" t="s">
        <v>1755</v>
      </c>
      <c r="B1392" s="2">
        <v>46245</v>
      </c>
      <c r="C1392" s="2">
        <v>46246</v>
      </c>
      <c r="D1392" s="1" t="s">
        <v>608</v>
      </c>
      <c r="E1392" t="s">
        <v>609</v>
      </c>
      <c r="F1392" t="s">
        <v>438</v>
      </c>
      <c r="G1392" s="5">
        <v>1728</v>
      </c>
      <c r="H1392" s="5">
        <v>1588</v>
      </c>
      <c r="I1392" s="5">
        <v>1500</v>
      </c>
      <c r="J1392" s="5">
        <v>88</v>
      </c>
      <c r="K1392" s="8">
        <f t="shared" si="46"/>
        <v>91.898148148148152</v>
      </c>
      <c r="L1392" s="8">
        <f t="shared" si="47"/>
        <v>5.8666666666666663</v>
      </c>
      <c r="M1392" t="s">
        <v>20</v>
      </c>
      <c r="N1392" t="s">
        <v>421</v>
      </c>
    </row>
    <row r="1393" spans="1:14" x14ac:dyDescent="0.3">
      <c r="A1393" t="s">
        <v>1756</v>
      </c>
      <c r="B1393" s="2">
        <v>46241</v>
      </c>
      <c r="C1393" s="2">
        <v>46244</v>
      </c>
      <c r="D1393" s="1" t="s">
        <v>619</v>
      </c>
      <c r="E1393" t="s">
        <v>620</v>
      </c>
      <c r="F1393" t="s">
        <v>420</v>
      </c>
      <c r="G1393" s="5">
        <v>73</v>
      </c>
      <c r="H1393" s="5">
        <v>73</v>
      </c>
      <c r="I1393" s="5">
        <v>73</v>
      </c>
      <c r="J1393" s="5">
        <v>0</v>
      </c>
      <c r="K1393" s="8">
        <f t="shared" si="46"/>
        <v>100</v>
      </c>
      <c r="L1393" s="8">
        <f t="shared" si="47"/>
        <v>0</v>
      </c>
      <c r="M1393" t="s">
        <v>20</v>
      </c>
      <c r="N1393" t="s">
        <v>421</v>
      </c>
    </row>
    <row r="1394" spans="1:14" x14ac:dyDescent="0.3">
      <c r="A1394" t="s">
        <v>1757</v>
      </c>
      <c r="B1394" s="2">
        <v>46244</v>
      </c>
      <c r="C1394" s="2">
        <v>46245</v>
      </c>
      <c r="D1394" s="1" t="s">
        <v>619</v>
      </c>
      <c r="E1394" t="s">
        <v>620</v>
      </c>
      <c r="F1394" t="s">
        <v>420</v>
      </c>
      <c r="G1394" s="5">
        <v>78</v>
      </c>
      <c r="H1394" s="5">
        <v>78</v>
      </c>
      <c r="I1394" s="5">
        <v>78</v>
      </c>
      <c r="J1394" s="5">
        <v>0</v>
      </c>
      <c r="K1394" s="8">
        <f t="shared" si="46"/>
        <v>100</v>
      </c>
      <c r="L1394" s="8">
        <f t="shared" si="47"/>
        <v>0</v>
      </c>
      <c r="M1394" t="s">
        <v>20</v>
      </c>
      <c r="N1394" t="s">
        <v>421</v>
      </c>
    </row>
    <row r="1395" spans="1:14" x14ac:dyDescent="0.3">
      <c r="A1395" t="s">
        <v>1758</v>
      </c>
      <c r="B1395" s="2">
        <v>46245</v>
      </c>
      <c r="C1395" s="2">
        <v>46246</v>
      </c>
      <c r="D1395" s="1" t="s">
        <v>619</v>
      </c>
      <c r="E1395" t="s">
        <v>620</v>
      </c>
      <c r="F1395" t="s">
        <v>420</v>
      </c>
      <c r="G1395" s="5">
        <v>53</v>
      </c>
      <c r="H1395" s="5">
        <v>53</v>
      </c>
      <c r="I1395" s="5">
        <v>53</v>
      </c>
      <c r="J1395" s="5">
        <v>0</v>
      </c>
      <c r="K1395" s="8">
        <f t="shared" si="46"/>
        <v>100</v>
      </c>
      <c r="L1395" s="8">
        <f t="shared" si="47"/>
        <v>0</v>
      </c>
      <c r="M1395" t="s">
        <v>20</v>
      </c>
      <c r="N1395" t="s">
        <v>421</v>
      </c>
    </row>
    <row r="1396" spans="1:14" x14ac:dyDescent="0.3">
      <c r="A1396" t="s">
        <v>1759</v>
      </c>
      <c r="B1396" s="2">
        <v>46246</v>
      </c>
      <c r="C1396" s="2">
        <v>46247</v>
      </c>
      <c r="D1396" s="1" t="s">
        <v>619</v>
      </c>
      <c r="E1396" t="s">
        <v>620</v>
      </c>
      <c r="F1396" t="s">
        <v>420</v>
      </c>
      <c r="G1396" s="5">
        <v>124</v>
      </c>
      <c r="H1396" s="5">
        <v>124</v>
      </c>
      <c r="I1396" s="5">
        <v>124</v>
      </c>
      <c r="J1396" s="5">
        <v>0</v>
      </c>
      <c r="K1396" s="8">
        <f t="shared" si="46"/>
        <v>100</v>
      </c>
      <c r="L1396" s="8">
        <f t="shared" si="47"/>
        <v>0</v>
      </c>
      <c r="M1396" t="s">
        <v>20</v>
      </c>
      <c r="N1396" t="s">
        <v>421</v>
      </c>
    </row>
    <row r="1397" spans="1:14" x14ac:dyDescent="0.3">
      <c r="A1397" t="s">
        <v>1760</v>
      </c>
      <c r="B1397" s="2">
        <v>46247</v>
      </c>
      <c r="C1397" s="2">
        <v>46248</v>
      </c>
      <c r="D1397" s="1" t="s">
        <v>619</v>
      </c>
      <c r="E1397" t="s">
        <v>620</v>
      </c>
      <c r="F1397" t="s">
        <v>420</v>
      </c>
      <c r="G1397" s="5">
        <v>78</v>
      </c>
      <c r="H1397" s="5">
        <v>78</v>
      </c>
      <c r="I1397" s="5">
        <v>78</v>
      </c>
      <c r="J1397" s="5">
        <v>0</v>
      </c>
      <c r="K1397" s="8">
        <f t="shared" si="46"/>
        <v>100</v>
      </c>
      <c r="L1397" s="8">
        <f t="shared" si="47"/>
        <v>0</v>
      </c>
      <c r="M1397" t="s">
        <v>20</v>
      </c>
      <c r="N1397" t="s">
        <v>421</v>
      </c>
    </row>
    <row r="1398" spans="1:14" x14ac:dyDescent="0.3">
      <c r="A1398" t="s">
        <v>1761</v>
      </c>
      <c r="B1398" s="2">
        <v>46248</v>
      </c>
      <c r="C1398" s="2">
        <v>46248</v>
      </c>
      <c r="D1398" s="1" t="s">
        <v>619</v>
      </c>
      <c r="E1398" t="s">
        <v>620</v>
      </c>
      <c r="F1398" t="s">
        <v>420</v>
      </c>
      <c r="G1398" s="5">
        <v>48</v>
      </c>
      <c r="H1398" s="5">
        <v>48</v>
      </c>
      <c r="I1398" s="5">
        <v>48</v>
      </c>
      <c r="J1398" s="5">
        <v>0</v>
      </c>
      <c r="K1398" s="8">
        <f t="shared" si="46"/>
        <v>100</v>
      </c>
      <c r="L1398" s="8">
        <f t="shared" si="47"/>
        <v>0</v>
      </c>
      <c r="M1398" t="s">
        <v>20</v>
      </c>
      <c r="N1398" t="s">
        <v>421</v>
      </c>
    </row>
    <row r="1399" spans="1:14" x14ac:dyDescent="0.3">
      <c r="A1399" t="s">
        <v>1762</v>
      </c>
      <c r="B1399" s="2">
        <v>46251</v>
      </c>
      <c r="C1399" s="2">
        <v>46251</v>
      </c>
      <c r="D1399" s="1" t="s">
        <v>619</v>
      </c>
      <c r="E1399" t="s">
        <v>620</v>
      </c>
      <c r="F1399" t="s">
        <v>420</v>
      </c>
      <c r="G1399" s="5">
        <v>103</v>
      </c>
      <c r="H1399" s="5">
        <v>103</v>
      </c>
      <c r="I1399" s="5">
        <v>103</v>
      </c>
      <c r="J1399" s="5">
        <v>0</v>
      </c>
      <c r="K1399" s="8">
        <f t="shared" si="46"/>
        <v>100</v>
      </c>
      <c r="L1399" s="8">
        <f t="shared" si="47"/>
        <v>0</v>
      </c>
      <c r="M1399" t="s">
        <v>20</v>
      </c>
      <c r="N1399" t="s">
        <v>421</v>
      </c>
    </row>
    <row r="1400" spans="1:14" x14ac:dyDescent="0.3">
      <c r="A1400" t="s">
        <v>1763</v>
      </c>
      <c r="B1400" s="2">
        <v>46252</v>
      </c>
      <c r="C1400" s="2">
        <v>46252</v>
      </c>
      <c r="D1400" s="1" t="s">
        <v>619</v>
      </c>
      <c r="E1400" t="s">
        <v>620</v>
      </c>
      <c r="F1400" t="s">
        <v>420</v>
      </c>
      <c r="G1400" s="5">
        <v>53</v>
      </c>
      <c r="H1400" s="5">
        <v>53</v>
      </c>
      <c r="I1400" s="5">
        <v>53</v>
      </c>
      <c r="J1400" s="5">
        <v>0</v>
      </c>
      <c r="K1400" s="8">
        <f t="shared" si="46"/>
        <v>100</v>
      </c>
      <c r="L1400" s="8">
        <f t="shared" si="47"/>
        <v>0</v>
      </c>
      <c r="M1400" t="s">
        <v>20</v>
      </c>
      <c r="N1400" t="s">
        <v>421</v>
      </c>
    </row>
    <row r="1401" spans="1:14" x14ac:dyDescent="0.3">
      <c r="A1401" t="s">
        <v>1764</v>
      </c>
      <c r="B1401" s="2">
        <v>46247</v>
      </c>
      <c r="C1401" s="2">
        <v>46248</v>
      </c>
      <c r="D1401" s="1" t="s">
        <v>638</v>
      </c>
      <c r="E1401" t="s">
        <v>639</v>
      </c>
      <c r="F1401" t="s">
        <v>532</v>
      </c>
      <c r="G1401" s="5">
        <v>1294</v>
      </c>
      <c r="H1401" s="5">
        <v>1236</v>
      </c>
      <c r="I1401" s="5">
        <v>1218</v>
      </c>
      <c r="J1401" s="5">
        <v>18</v>
      </c>
      <c r="K1401" s="8">
        <f t="shared" si="46"/>
        <v>95.517774343122099</v>
      </c>
      <c r="L1401" s="8">
        <f t="shared" si="47"/>
        <v>1.4778325123152709</v>
      </c>
      <c r="M1401" t="s">
        <v>20</v>
      </c>
      <c r="N1401" t="s">
        <v>421</v>
      </c>
    </row>
    <row r="1402" spans="1:14" x14ac:dyDescent="0.3">
      <c r="A1402" t="s">
        <v>1765</v>
      </c>
      <c r="B1402" s="2">
        <v>46248</v>
      </c>
      <c r="C1402" s="2">
        <v>46251</v>
      </c>
      <c r="D1402" s="1" t="s">
        <v>638</v>
      </c>
      <c r="E1402" t="s">
        <v>639</v>
      </c>
      <c r="F1402" t="s">
        <v>532</v>
      </c>
      <c r="G1402" s="5">
        <v>6470</v>
      </c>
      <c r="H1402" s="5">
        <v>6482</v>
      </c>
      <c r="I1402" s="5">
        <v>6342</v>
      </c>
      <c r="J1402" s="5">
        <v>140</v>
      </c>
      <c r="K1402" s="8">
        <f t="shared" si="46"/>
        <v>100.1854714064915</v>
      </c>
      <c r="L1402" s="8">
        <f t="shared" si="47"/>
        <v>2.2075055187637971</v>
      </c>
      <c r="M1402" t="s">
        <v>20</v>
      </c>
      <c r="N1402" t="s">
        <v>421</v>
      </c>
    </row>
    <row r="1403" spans="1:14" x14ac:dyDescent="0.3">
      <c r="A1403" t="s">
        <v>1353</v>
      </c>
      <c r="B1403" s="2">
        <v>46239</v>
      </c>
      <c r="C1403" s="2">
        <v>46240</v>
      </c>
      <c r="D1403" s="1" t="s">
        <v>647</v>
      </c>
      <c r="E1403" t="s">
        <v>648</v>
      </c>
      <c r="F1403" t="s">
        <v>532</v>
      </c>
      <c r="G1403" s="5">
        <v>2760</v>
      </c>
      <c r="H1403" s="5">
        <v>2775</v>
      </c>
      <c r="I1403" s="5">
        <v>2754</v>
      </c>
      <c r="J1403" s="5">
        <v>21</v>
      </c>
      <c r="K1403" s="8">
        <f t="shared" si="46"/>
        <v>100.54347826086956</v>
      </c>
      <c r="L1403" s="8">
        <f t="shared" si="47"/>
        <v>0.76252723311546844</v>
      </c>
      <c r="M1403" t="s">
        <v>20</v>
      </c>
      <c r="N1403" t="s">
        <v>421</v>
      </c>
    </row>
    <row r="1404" spans="1:14" x14ac:dyDescent="0.3">
      <c r="A1404" t="s">
        <v>1766</v>
      </c>
      <c r="B1404" s="2">
        <v>46244</v>
      </c>
      <c r="C1404" s="2">
        <v>46245</v>
      </c>
      <c r="D1404" s="1" t="s">
        <v>647</v>
      </c>
      <c r="E1404" t="s">
        <v>648</v>
      </c>
      <c r="F1404" t="s">
        <v>532</v>
      </c>
      <c r="G1404" s="5">
        <v>2760</v>
      </c>
      <c r="H1404" s="5">
        <v>2760</v>
      </c>
      <c r="I1404" s="5">
        <v>2724</v>
      </c>
      <c r="J1404" s="5">
        <v>36</v>
      </c>
      <c r="K1404" s="8">
        <f t="shared" si="46"/>
        <v>100</v>
      </c>
      <c r="L1404" s="8">
        <f t="shared" si="47"/>
        <v>1.3215859030837005</v>
      </c>
      <c r="M1404" t="s">
        <v>20</v>
      </c>
      <c r="N1404" t="s">
        <v>421</v>
      </c>
    </row>
    <row r="1405" spans="1:14" x14ac:dyDescent="0.3">
      <c r="A1405" t="s">
        <v>1767</v>
      </c>
      <c r="B1405" s="2">
        <v>46251</v>
      </c>
      <c r="C1405" s="2">
        <v>46252</v>
      </c>
      <c r="D1405" s="1" t="s">
        <v>647</v>
      </c>
      <c r="E1405" t="s">
        <v>648</v>
      </c>
      <c r="F1405" t="s">
        <v>532</v>
      </c>
      <c r="G1405" s="5">
        <v>4140</v>
      </c>
      <c r="H1405" s="5">
        <v>4204</v>
      </c>
      <c r="I1405" s="5">
        <v>4134</v>
      </c>
      <c r="J1405" s="5">
        <v>70</v>
      </c>
      <c r="K1405" s="8">
        <f t="shared" si="46"/>
        <v>101.54589371980676</v>
      </c>
      <c r="L1405" s="8">
        <f t="shared" si="47"/>
        <v>1.6932752781809386</v>
      </c>
      <c r="M1405" t="s">
        <v>20</v>
      </c>
      <c r="N1405" t="s">
        <v>421</v>
      </c>
    </row>
    <row r="1406" spans="1:14" x14ac:dyDescent="0.3">
      <c r="A1406" t="s">
        <v>1355</v>
      </c>
      <c r="B1406" s="2">
        <v>46239</v>
      </c>
      <c r="C1406" s="2">
        <v>46240</v>
      </c>
      <c r="D1406" s="1" t="s">
        <v>654</v>
      </c>
      <c r="E1406" t="s">
        <v>655</v>
      </c>
      <c r="F1406" t="s">
        <v>438</v>
      </c>
      <c r="G1406" s="5">
        <v>160</v>
      </c>
      <c r="H1406" s="5">
        <v>211</v>
      </c>
      <c r="I1406" s="5">
        <v>160</v>
      </c>
      <c r="J1406" s="5">
        <v>51</v>
      </c>
      <c r="K1406" s="8">
        <f t="shared" si="46"/>
        <v>131.875</v>
      </c>
      <c r="L1406" s="8">
        <f t="shared" si="47"/>
        <v>31.874999999999996</v>
      </c>
      <c r="M1406" t="s">
        <v>20</v>
      </c>
      <c r="N1406" t="s">
        <v>421</v>
      </c>
    </row>
    <row r="1407" spans="1:14" x14ac:dyDescent="0.3">
      <c r="A1407" t="s">
        <v>1768</v>
      </c>
      <c r="B1407" s="2">
        <v>46240</v>
      </c>
      <c r="C1407" s="2">
        <v>46241</v>
      </c>
      <c r="D1407" s="1" t="s">
        <v>654</v>
      </c>
      <c r="E1407" t="s">
        <v>655</v>
      </c>
      <c r="F1407" t="s">
        <v>438</v>
      </c>
      <c r="G1407" s="5">
        <v>160</v>
      </c>
      <c r="H1407" s="5">
        <v>236</v>
      </c>
      <c r="I1407" s="5">
        <v>220</v>
      </c>
      <c r="J1407" s="5">
        <v>16</v>
      </c>
      <c r="K1407" s="8">
        <f t="shared" si="46"/>
        <v>147.5</v>
      </c>
      <c r="L1407" s="8">
        <f t="shared" si="47"/>
        <v>7.2727272727272725</v>
      </c>
      <c r="M1407" t="s">
        <v>20</v>
      </c>
      <c r="N1407" t="s">
        <v>421</v>
      </c>
    </row>
    <row r="1408" spans="1:14" x14ac:dyDescent="0.3">
      <c r="A1408" t="s">
        <v>1769</v>
      </c>
      <c r="B1408" s="2">
        <v>46245</v>
      </c>
      <c r="C1408" s="2">
        <v>46246</v>
      </c>
      <c r="D1408" s="1" t="s">
        <v>654</v>
      </c>
      <c r="E1408" t="s">
        <v>655</v>
      </c>
      <c r="F1408" t="s">
        <v>438</v>
      </c>
      <c r="G1408" s="5">
        <v>160</v>
      </c>
      <c r="H1408" s="5">
        <v>182</v>
      </c>
      <c r="I1408" s="5">
        <v>180</v>
      </c>
      <c r="J1408" s="5">
        <v>2</v>
      </c>
      <c r="K1408" s="8">
        <f t="shared" si="46"/>
        <v>113.75</v>
      </c>
      <c r="L1408" s="8">
        <f t="shared" si="47"/>
        <v>1.1111111111111112</v>
      </c>
      <c r="M1408" t="s">
        <v>20</v>
      </c>
      <c r="N1408" t="s">
        <v>421</v>
      </c>
    </row>
    <row r="1409" spans="1:14" x14ac:dyDescent="0.3">
      <c r="A1409" t="s">
        <v>1770</v>
      </c>
      <c r="B1409" s="2">
        <v>46247</v>
      </c>
      <c r="C1409" s="2">
        <v>46248</v>
      </c>
      <c r="D1409" s="1" t="s">
        <v>654</v>
      </c>
      <c r="E1409" t="s">
        <v>655</v>
      </c>
      <c r="F1409" t="s">
        <v>438</v>
      </c>
      <c r="G1409" s="5">
        <v>160</v>
      </c>
      <c r="H1409" s="5">
        <v>187</v>
      </c>
      <c r="I1409" s="5">
        <v>180</v>
      </c>
      <c r="J1409" s="5">
        <v>7</v>
      </c>
      <c r="K1409" s="8">
        <f t="shared" si="46"/>
        <v>116.875</v>
      </c>
      <c r="L1409" s="8">
        <f t="shared" si="47"/>
        <v>3.8888888888888888</v>
      </c>
      <c r="M1409" t="s">
        <v>20</v>
      </c>
      <c r="N1409" t="s">
        <v>421</v>
      </c>
    </row>
    <row r="1410" spans="1:14" x14ac:dyDescent="0.3">
      <c r="A1410" t="s">
        <v>1356</v>
      </c>
      <c r="B1410" s="2">
        <v>46239</v>
      </c>
      <c r="C1410" s="2">
        <v>46240</v>
      </c>
      <c r="D1410" s="1" t="s">
        <v>661</v>
      </c>
      <c r="E1410" t="s">
        <v>662</v>
      </c>
      <c r="F1410" t="s">
        <v>532</v>
      </c>
      <c r="G1410" s="5">
        <v>525</v>
      </c>
      <c r="H1410" s="5">
        <v>620</v>
      </c>
      <c r="I1410" s="5">
        <v>600</v>
      </c>
      <c r="J1410" s="5">
        <v>20</v>
      </c>
      <c r="K1410" s="8">
        <f t="shared" si="46"/>
        <v>118.0952380952381</v>
      </c>
      <c r="L1410" s="8">
        <f t="shared" si="47"/>
        <v>3.3333333333333335</v>
      </c>
      <c r="M1410" t="s">
        <v>20</v>
      </c>
      <c r="N1410" t="s">
        <v>421</v>
      </c>
    </row>
    <row r="1411" spans="1:14" x14ac:dyDescent="0.3">
      <c r="A1411" t="s">
        <v>1771</v>
      </c>
      <c r="B1411" s="2">
        <v>46245</v>
      </c>
      <c r="C1411" s="2">
        <v>46246</v>
      </c>
      <c r="D1411" s="1" t="s">
        <v>671</v>
      </c>
      <c r="E1411" t="s">
        <v>672</v>
      </c>
      <c r="F1411" t="s">
        <v>532</v>
      </c>
      <c r="G1411" s="5">
        <v>750</v>
      </c>
      <c r="H1411" s="5">
        <v>770</v>
      </c>
      <c r="I1411" s="5">
        <v>770</v>
      </c>
      <c r="J1411" s="5">
        <v>0</v>
      </c>
      <c r="K1411" s="8">
        <f t="shared" si="46"/>
        <v>102.66666666666666</v>
      </c>
      <c r="L1411" s="8">
        <f t="shared" si="47"/>
        <v>0</v>
      </c>
      <c r="M1411" t="s">
        <v>20</v>
      </c>
      <c r="N1411" t="s">
        <v>421</v>
      </c>
    </row>
    <row r="1412" spans="1:14" x14ac:dyDescent="0.3">
      <c r="A1412" t="s">
        <v>1772</v>
      </c>
      <c r="B1412" s="2">
        <v>46246</v>
      </c>
      <c r="C1412" s="2">
        <v>46247</v>
      </c>
      <c r="D1412" s="1" t="s">
        <v>671</v>
      </c>
      <c r="E1412" t="s">
        <v>672</v>
      </c>
      <c r="F1412" t="s">
        <v>532</v>
      </c>
      <c r="G1412" s="5">
        <v>750</v>
      </c>
      <c r="H1412" s="5">
        <v>760</v>
      </c>
      <c r="I1412" s="5">
        <v>760</v>
      </c>
      <c r="J1412" s="5">
        <v>0</v>
      </c>
      <c r="K1412" s="8">
        <f t="shared" si="46"/>
        <v>101.33333333333334</v>
      </c>
      <c r="L1412" s="8">
        <f t="shared" si="47"/>
        <v>0</v>
      </c>
      <c r="M1412" t="s">
        <v>20</v>
      </c>
      <c r="N1412" t="s">
        <v>421</v>
      </c>
    </row>
    <row r="1413" spans="1:14" x14ac:dyDescent="0.3">
      <c r="A1413" t="s">
        <v>1773</v>
      </c>
      <c r="B1413" s="2">
        <v>46247</v>
      </c>
      <c r="C1413" s="2">
        <v>46248</v>
      </c>
      <c r="D1413" s="1" t="s">
        <v>671</v>
      </c>
      <c r="E1413" t="s">
        <v>672</v>
      </c>
      <c r="F1413" t="s">
        <v>532</v>
      </c>
      <c r="G1413" s="5">
        <v>750</v>
      </c>
      <c r="H1413" s="5">
        <v>725</v>
      </c>
      <c r="I1413" s="5">
        <v>720</v>
      </c>
      <c r="J1413" s="5">
        <v>5</v>
      </c>
      <c r="K1413" s="8">
        <f t="shared" si="46"/>
        <v>96.666666666666671</v>
      </c>
      <c r="L1413" s="8">
        <f t="shared" si="47"/>
        <v>0.69444444444444442</v>
      </c>
      <c r="M1413" t="s">
        <v>20</v>
      </c>
      <c r="N1413" t="s">
        <v>421</v>
      </c>
    </row>
    <row r="1414" spans="1:14" x14ac:dyDescent="0.3">
      <c r="A1414" t="s">
        <v>1361</v>
      </c>
      <c r="B1414" s="2">
        <v>46239</v>
      </c>
      <c r="C1414" s="2">
        <v>46240</v>
      </c>
      <c r="D1414" s="1" t="s">
        <v>675</v>
      </c>
      <c r="E1414" t="s">
        <v>676</v>
      </c>
      <c r="F1414" t="s">
        <v>677</v>
      </c>
      <c r="G1414" s="5">
        <v>500</v>
      </c>
      <c r="H1414" s="5">
        <v>590</v>
      </c>
      <c r="I1414" s="5">
        <v>590</v>
      </c>
      <c r="J1414" s="5">
        <v>0</v>
      </c>
      <c r="K1414" s="8">
        <f t="shared" si="46"/>
        <v>118</v>
      </c>
      <c r="L1414" s="8">
        <f t="shared" si="47"/>
        <v>0</v>
      </c>
      <c r="M1414" t="s">
        <v>20</v>
      </c>
      <c r="N1414" t="s">
        <v>421</v>
      </c>
    </row>
    <row r="1415" spans="1:14" x14ac:dyDescent="0.3">
      <c r="A1415" t="s">
        <v>1774</v>
      </c>
      <c r="B1415" s="2">
        <v>46240</v>
      </c>
      <c r="C1415" s="2">
        <v>46241</v>
      </c>
      <c r="D1415" s="1" t="s">
        <v>675</v>
      </c>
      <c r="E1415" t="s">
        <v>676</v>
      </c>
      <c r="F1415" t="s">
        <v>677</v>
      </c>
      <c r="G1415" s="5">
        <v>500</v>
      </c>
      <c r="H1415" s="5">
        <v>520</v>
      </c>
      <c r="I1415" s="5">
        <v>520</v>
      </c>
      <c r="J1415" s="5">
        <v>0</v>
      </c>
      <c r="K1415" s="8">
        <f t="shared" si="46"/>
        <v>104</v>
      </c>
      <c r="L1415" s="8">
        <f t="shared" si="47"/>
        <v>0</v>
      </c>
      <c r="M1415" t="s">
        <v>20</v>
      </c>
      <c r="N1415" t="s">
        <v>421</v>
      </c>
    </row>
    <row r="1416" spans="1:14" x14ac:dyDescent="0.3">
      <c r="A1416" t="s">
        <v>1775</v>
      </c>
      <c r="B1416" s="2">
        <v>46241</v>
      </c>
      <c r="C1416" s="2">
        <v>46244</v>
      </c>
      <c r="D1416" s="1" t="s">
        <v>675</v>
      </c>
      <c r="E1416" t="s">
        <v>676</v>
      </c>
      <c r="F1416" t="s">
        <v>677</v>
      </c>
      <c r="G1416" s="5">
        <v>500</v>
      </c>
      <c r="H1416" s="5">
        <v>580</v>
      </c>
      <c r="I1416" s="5">
        <v>580</v>
      </c>
      <c r="J1416" s="5">
        <v>0</v>
      </c>
      <c r="K1416" s="8">
        <f t="shared" si="46"/>
        <v>115.99999999999999</v>
      </c>
      <c r="L1416" s="8">
        <f t="shared" si="47"/>
        <v>0</v>
      </c>
      <c r="M1416" t="s">
        <v>20</v>
      </c>
      <c r="N1416" t="s">
        <v>421</v>
      </c>
    </row>
    <row r="1417" spans="1:14" x14ac:dyDescent="0.3">
      <c r="A1417" t="s">
        <v>1363</v>
      </c>
      <c r="B1417" s="2">
        <v>46239</v>
      </c>
      <c r="C1417" s="2">
        <v>46240</v>
      </c>
      <c r="D1417" s="1" t="s">
        <v>680</v>
      </c>
      <c r="E1417" t="s">
        <v>681</v>
      </c>
      <c r="F1417" t="s">
        <v>677</v>
      </c>
      <c r="G1417" s="5">
        <v>782</v>
      </c>
      <c r="H1417" s="5">
        <v>780</v>
      </c>
      <c r="I1417" s="5">
        <v>780</v>
      </c>
      <c r="J1417" s="5">
        <v>0</v>
      </c>
      <c r="K1417" s="8">
        <f t="shared" si="46"/>
        <v>99.744245524296673</v>
      </c>
      <c r="L1417" s="8">
        <f t="shared" si="47"/>
        <v>0</v>
      </c>
      <c r="M1417" t="s">
        <v>20</v>
      </c>
      <c r="N1417" t="s">
        <v>421</v>
      </c>
    </row>
    <row r="1418" spans="1:14" x14ac:dyDescent="0.3">
      <c r="A1418" t="s">
        <v>1776</v>
      </c>
      <c r="B1418" s="2">
        <v>46245</v>
      </c>
      <c r="C1418" s="2">
        <v>46246</v>
      </c>
      <c r="D1418" s="1" t="s">
        <v>680</v>
      </c>
      <c r="E1418" t="s">
        <v>681</v>
      </c>
      <c r="F1418" t="s">
        <v>677</v>
      </c>
      <c r="G1418" s="5">
        <v>782</v>
      </c>
      <c r="H1418" s="5">
        <v>831</v>
      </c>
      <c r="I1418" s="5">
        <v>830</v>
      </c>
      <c r="J1418" s="5">
        <v>1</v>
      </c>
      <c r="K1418" s="8">
        <f t="shared" si="46"/>
        <v>106.26598465473145</v>
      </c>
      <c r="L1418" s="8">
        <f t="shared" si="47"/>
        <v>0.12048192771084339</v>
      </c>
      <c r="M1418" t="s">
        <v>20</v>
      </c>
      <c r="N1418" t="s">
        <v>421</v>
      </c>
    </row>
    <row r="1419" spans="1:14" x14ac:dyDescent="0.3">
      <c r="A1419" t="s">
        <v>1777</v>
      </c>
      <c r="B1419" s="2">
        <v>46246</v>
      </c>
      <c r="C1419" s="2">
        <v>46247</v>
      </c>
      <c r="D1419" s="1" t="s">
        <v>680</v>
      </c>
      <c r="E1419" t="s">
        <v>681</v>
      </c>
      <c r="F1419" t="s">
        <v>677</v>
      </c>
      <c r="G1419" s="5">
        <v>782</v>
      </c>
      <c r="H1419" s="5">
        <v>850</v>
      </c>
      <c r="I1419" s="5">
        <v>850</v>
      </c>
      <c r="J1419" s="5">
        <v>0</v>
      </c>
      <c r="K1419" s="8">
        <f t="shared" si="46"/>
        <v>108.69565217391303</v>
      </c>
      <c r="L1419" s="8">
        <f t="shared" si="47"/>
        <v>0</v>
      </c>
      <c r="M1419" t="s">
        <v>20</v>
      </c>
      <c r="N1419" t="s">
        <v>421</v>
      </c>
    </row>
    <row r="1420" spans="1:14" x14ac:dyDescent="0.3">
      <c r="A1420" t="s">
        <v>1778</v>
      </c>
      <c r="B1420" s="2">
        <v>46247</v>
      </c>
      <c r="C1420" s="2">
        <v>46248</v>
      </c>
      <c r="D1420" s="1" t="s">
        <v>680</v>
      </c>
      <c r="E1420" t="s">
        <v>681</v>
      </c>
      <c r="F1420" t="s">
        <v>677</v>
      </c>
      <c r="G1420" s="5">
        <v>782</v>
      </c>
      <c r="H1420" s="5">
        <v>790</v>
      </c>
      <c r="I1420" s="5">
        <v>790</v>
      </c>
      <c r="J1420" s="5">
        <v>0</v>
      </c>
      <c r="K1420" s="8">
        <f t="shared" si="46"/>
        <v>101.02301790281329</v>
      </c>
      <c r="L1420" s="8">
        <f t="shared" si="47"/>
        <v>0</v>
      </c>
      <c r="M1420" t="s">
        <v>20</v>
      </c>
      <c r="N1420" t="s">
        <v>421</v>
      </c>
    </row>
    <row r="1421" spans="1:14" x14ac:dyDescent="0.3">
      <c r="A1421" t="s">
        <v>1779</v>
      </c>
      <c r="B1421" s="2">
        <v>46239</v>
      </c>
      <c r="C1421" s="2">
        <v>46241</v>
      </c>
      <c r="D1421" s="1" t="s">
        <v>689</v>
      </c>
      <c r="E1421" t="s">
        <v>1780</v>
      </c>
      <c r="F1421" t="s">
        <v>532</v>
      </c>
      <c r="G1421" s="5">
        <v>750</v>
      </c>
      <c r="H1421" s="5">
        <v>760</v>
      </c>
      <c r="I1421" s="5">
        <v>760</v>
      </c>
      <c r="J1421" s="5">
        <v>0</v>
      </c>
      <c r="K1421" s="8">
        <f t="shared" si="46"/>
        <v>101.33333333333334</v>
      </c>
      <c r="L1421" s="8">
        <f t="shared" si="47"/>
        <v>0</v>
      </c>
      <c r="M1421" t="s">
        <v>20</v>
      </c>
      <c r="N1421" t="s">
        <v>421</v>
      </c>
    </row>
    <row r="1422" spans="1:14" x14ac:dyDescent="0.3">
      <c r="A1422" t="s">
        <v>1781</v>
      </c>
      <c r="B1422" s="2">
        <v>46239</v>
      </c>
      <c r="C1422" s="2">
        <v>46241</v>
      </c>
      <c r="D1422" s="1" t="s">
        <v>689</v>
      </c>
      <c r="E1422" t="s">
        <v>1780</v>
      </c>
      <c r="F1422" t="s">
        <v>532</v>
      </c>
      <c r="G1422" s="5">
        <v>750</v>
      </c>
      <c r="H1422" s="5">
        <v>750</v>
      </c>
      <c r="I1422" s="5">
        <v>750</v>
      </c>
      <c r="J1422" s="5">
        <v>0</v>
      </c>
      <c r="K1422" s="8">
        <f t="shared" si="46"/>
        <v>100</v>
      </c>
      <c r="L1422" s="8">
        <f t="shared" si="47"/>
        <v>0</v>
      </c>
      <c r="M1422" t="s">
        <v>20</v>
      </c>
      <c r="N1422" t="s">
        <v>421</v>
      </c>
    </row>
    <row r="1423" spans="1:14" x14ac:dyDescent="0.3">
      <c r="A1423" t="s">
        <v>1366</v>
      </c>
      <c r="B1423" s="2">
        <v>46239</v>
      </c>
      <c r="C1423" s="2">
        <v>46240</v>
      </c>
      <c r="D1423" s="1" t="s">
        <v>696</v>
      </c>
      <c r="E1423" t="s">
        <v>697</v>
      </c>
      <c r="F1423" t="s">
        <v>532</v>
      </c>
      <c r="G1423" s="5">
        <v>1500</v>
      </c>
      <c r="H1423" s="5">
        <v>1480</v>
      </c>
      <c r="I1423" s="5">
        <v>1480</v>
      </c>
      <c r="J1423" s="5">
        <v>0</v>
      </c>
      <c r="K1423" s="8">
        <f t="shared" si="46"/>
        <v>98.666666666666671</v>
      </c>
      <c r="L1423" s="8">
        <f t="shared" si="47"/>
        <v>0</v>
      </c>
      <c r="M1423" t="s">
        <v>20</v>
      </c>
      <c r="N1423" t="s">
        <v>421</v>
      </c>
    </row>
    <row r="1424" spans="1:14" x14ac:dyDescent="0.3">
      <c r="A1424" t="s">
        <v>1782</v>
      </c>
      <c r="B1424" s="2">
        <v>46240</v>
      </c>
      <c r="C1424" s="2">
        <v>46241</v>
      </c>
      <c r="D1424" s="1" t="s">
        <v>696</v>
      </c>
      <c r="E1424" t="s">
        <v>697</v>
      </c>
      <c r="F1424" t="s">
        <v>532</v>
      </c>
      <c r="G1424" s="5">
        <v>750</v>
      </c>
      <c r="H1424" s="5">
        <v>820</v>
      </c>
      <c r="I1424" s="5">
        <v>820</v>
      </c>
      <c r="J1424" s="5">
        <v>0</v>
      </c>
      <c r="K1424" s="8">
        <f t="shared" si="46"/>
        <v>109.33333333333333</v>
      </c>
      <c r="L1424" s="8">
        <f t="shared" si="47"/>
        <v>0</v>
      </c>
      <c r="M1424" t="s">
        <v>20</v>
      </c>
      <c r="N1424" t="s">
        <v>421</v>
      </c>
    </row>
    <row r="1425" spans="1:14" x14ac:dyDescent="0.3">
      <c r="A1425" t="s">
        <v>1783</v>
      </c>
      <c r="B1425" s="2">
        <v>46252</v>
      </c>
      <c r="C1425" s="2">
        <v>46254</v>
      </c>
      <c r="D1425" s="1" t="s">
        <v>696</v>
      </c>
      <c r="E1425" t="s">
        <v>697</v>
      </c>
      <c r="F1425" t="s">
        <v>532</v>
      </c>
      <c r="G1425" s="5">
        <v>750</v>
      </c>
      <c r="H1425" s="5">
        <v>740</v>
      </c>
      <c r="I1425" s="5">
        <v>740</v>
      </c>
      <c r="J1425" s="5">
        <v>0</v>
      </c>
      <c r="K1425" s="8">
        <f t="shared" si="46"/>
        <v>98.666666666666671</v>
      </c>
      <c r="L1425" s="8">
        <f t="shared" si="47"/>
        <v>0</v>
      </c>
      <c r="M1425" t="s">
        <v>20</v>
      </c>
      <c r="N1425" t="s">
        <v>421</v>
      </c>
    </row>
    <row r="1426" spans="1:14" x14ac:dyDescent="0.3">
      <c r="A1426" t="s">
        <v>1784</v>
      </c>
      <c r="B1426" s="2">
        <v>46253</v>
      </c>
      <c r="C1426" s="2">
        <v>46254</v>
      </c>
      <c r="D1426" s="1" t="s">
        <v>696</v>
      </c>
      <c r="E1426" t="s">
        <v>697</v>
      </c>
      <c r="F1426" t="s">
        <v>677</v>
      </c>
      <c r="G1426" s="5">
        <v>750</v>
      </c>
      <c r="H1426" s="5">
        <v>780</v>
      </c>
      <c r="I1426" s="5">
        <v>780</v>
      </c>
      <c r="J1426" s="5">
        <v>0</v>
      </c>
      <c r="K1426" s="8">
        <f t="shared" si="46"/>
        <v>104</v>
      </c>
      <c r="L1426" s="8">
        <f t="shared" si="47"/>
        <v>0</v>
      </c>
      <c r="M1426" t="s">
        <v>20</v>
      </c>
      <c r="N1426" t="s">
        <v>421</v>
      </c>
    </row>
    <row r="1427" spans="1:14" x14ac:dyDescent="0.3">
      <c r="A1427" t="s">
        <v>1785</v>
      </c>
      <c r="B1427" s="2">
        <v>46239</v>
      </c>
      <c r="C1427" s="2">
        <v>46241</v>
      </c>
      <c r="D1427" s="1" t="s">
        <v>1786</v>
      </c>
      <c r="E1427" t="s">
        <v>1787</v>
      </c>
      <c r="F1427" t="s">
        <v>420</v>
      </c>
      <c r="G1427" s="5">
        <v>400</v>
      </c>
      <c r="H1427" s="5">
        <v>275</v>
      </c>
      <c r="I1427" s="5">
        <v>275</v>
      </c>
      <c r="J1427" s="5">
        <v>0</v>
      </c>
      <c r="K1427" s="8">
        <f t="shared" si="46"/>
        <v>68.75</v>
      </c>
      <c r="L1427" s="8">
        <f t="shared" si="47"/>
        <v>0</v>
      </c>
      <c r="M1427" t="s">
        <v>20</v>
      </c>
      <c r="N1427" t="s">
        <v>421</v>
      </c>
    </row>
    <row r="1428" spans="1:14" x14ac:dyDescent="0.3">
      <c r="A1428" t="s">
        <v>1788</v>
      </c>
      <c r="B1428" s="2">
        <v>46253</v>
      </c>
      <c r="C1428" s="2">
        <v>46254</v>
      </c>
      <c r="D1428" s="1" t="s">
        <v>1786</v>
      </c>
      <c r="E1428" t="s">
        <v>1787</v>
      </c>
      <c r="F1428" t="s">
        <v>420</v>
      </c>
      <c r="G1428" s="5">
        <v>37</v>
      </c>
      <c r="H1428" s="5">
        <v>37</v>
      </c>
      <c r="I1428" s="5">
        <v>37</v>
      </c>
      <c r="J1428" s="5">
        <v>0</v>
      </c>
      <c r="K1428" s="8">
        <f t="shared" si="46"/>
        <v>100</v>
      </c>
      <c r="L1428" s="8">
        <f t="shared" si="47"/>
        <v>0</v>
      </c>
      <c r="M1428" t="s">
        <v>20</v>
      </c>
      <c r="N1428" t="s">
        <v>421</v>
      </c>
    </row>
    <row r="1429" spans="1:14" x14ac:dyDescent="0.3">
      <c r="A1429" t="s">
        <v>1368</v>
      </c>
      <c r="B1429" s="2">
        <v>46239</v>
      </c>
      <c r="C1429" s="2">
        <v>46240</v>
      </c>
      <c r="D1429" s="1" t="s">
        <v>702</v>
      </c>
      <c r="E1429" t="s">
        <v>703</v>
      </c>
      <c r="F1429" t="s">
        <v>438</v>
      </c>
      <c r="G1429" s="5">
        <v>157</v>
      </c>
      <c r="H1429" s="5">
        <v>151</v>
      </c>
      <c r="I1429" s="5">
        <v>138</v>
      </c>
      <c r="J1429" s="5">
        <v>13</v>
      </c>
      <c r="K1429" s="8">
        <f t="shared" si="46"/>
        <v>96.178343949044589</v>
      </c>
      <c r="L1429" s="8">
        <f t="shared" si="47"/>
        <v>9.4202898550724647</v>
      </c>
      <c r="M1429" t="s">
        <v>20</v>
      </c>
      <c r="N1429" t="s">
        <v>421</v>
      </c>
    </row>
    <row r="1430" spans="1:14" x14ac:dyDescent="0.3">
      <c r="A1430" t="s">
        <v>1789</v>
      </c>
      <c r="B1430" s="2">
        <v>46240</v>
      </c>
      <c r="C1430" s="2">
        <v>46241</v>
      </c>
      <c r="D1430" s="1" t="s">
        <v>702</v>
      </c>
      <c r="E1430" t="s">
        <v>703</v>
      </c>
      <c r="F1430" t="s">
        <v>438</v>
      </c>
      <c r="G1430" s="5">
        <v>157</v>
      </c>
      <c r="H1430" s="5">
        <v>151</v>
      </c>
      <c r="I1430" s="5">
        <v>144</v>
      </c>
      <c r="J1430" s="5">
        <v>7</v>
      </c>
      <c r="K1430" s="8">
        <f t="shared" si="46"/>
        <v>96.178343949044589</v>
      </c>
      <c r="L1430" s="8">
        <f t="shared" si="47"/>
        <v>4.8611111111111116</v>
      </c>
      <c r="M1430" t="s">
        <v>20</v>
      </c>
      <c r="N1430" t="s">
        <v>421</v>
      </c>
    </row>
    <row r="1431" spans="1:14" x14ac:dyDescent="0.3">
      <c r="A1431" t="s">
        <v>1790</v>
      </c>
      <c r="B1431" s="2">
        <v>46244</v>
      </c>
      <c r="C1431" s="2">
        <v>46245</v>
      </c>
      <c r="D1431" s="1" t="s">
        <v>702</v>
      </c>
      <c r="E1431" t="s">
        <v>703</v>
      </c>
      <c r="F1431" t="s">
        <v>438</v>
      </c>
      <c r="G1431" s="5">
        <v>157</v>
      </c>
      <c r="H1431" s="5">
        <v>148</v>
      </c>
      <c r="I1431" s="5">
        <v>147</v>
      </c>
      <c r="J1431" s="5">
        <v>1</v>
      </c>
      <c r="K1431" s="8">
        <f t="shared" si="46"/>
        <v>94.267515923566876</v>
      </c>
      <c r="L1431" s="8">
        <f t="shared" si="47"/>
        <v>0.68027210884353739</v>
      </c>
      <c r="M1431" t="s">
        <v>20</v>
      </c>
      <c r="N1431" t="s">
        <v>421</v>
      </c>
    </row>
    <row r="1432" spans="1:14" x14ac:dyDescent="0.3">
      <c r="A1432" t="s">
        <v>1791</v>
      </c>
      <c r="B1432" s="2">
        <v>46246</v>
      </c>
      <c r="C1432" s="2">
        <v>46247</v>
      </c>
      <c r="D1432" s="1" t="s">
        <v>702</v>
      </c>
      <c r="E1432" t="s">
        <v>703</v>
      </c>
      <c r="F1432" t="s">
        <v>438</v>
      </c>
      <c r="G1432" s="5">
        <v>157</v>
      </c>
      <c r="H1432" s="5">
        <v>152</v>
      </c>
      <c r="I1432" s="5">
        <v>144</v>
      </c>
      <c r="J1432" s="5">
        <v>8</v>
      </c>
      <c r="K1432" s="8">
        <f t="shared" si="46"/>
        <v>96.815286624203821</v>
      </c>
      <c r="L1432" s="8">
        <f t="shared" si="47"/>
        <v>5.5555555555555554</v>
      </c>
      <c r="M1432" t="s">
        <v>20</v>
      </c>
      <c r="N1432" t="s">
        <v>421</v>
      </c>
    </row>
    <row r="1433" spans="1:14" x14ac:dyDescent="0.3">
      <c r="A1433" t="s">
        <v>1792</v>
      </c>
      <c r="B1433" s="2">
        <v>46247</v>
      </c>
      <c r="C1433" s="2">
        <v>46248</v>
      </c>
      <c r="D1433" s="1" t="s">
        <v>702</v>
      </c>
      <c r="E1433" t="s">
        <v>703</v>
      </c>
      <c r="F1433" t="s">
        <v>438</v>
      </c>
      <c r="G1433" s="5">
        <v>157</v>
      </c>
      <c r="H1433" s="5">
        <v>150</v>
      </c>
      <c r="I1433" s="5">
        <v>147</v>
      </c>
      <c r="J1433" s="5">
        <v>3</v>
      </c>
      <c r="K1433" s="8">
        <f t="shared" si="46"/>
        <v>95.541401273885356</v>
      </c>
      <c r="L1433" s="8">
        <f t="shared" si="47"/>
        <v>2.0408163265306123</v>
      </c>
      <c r="M1433" t="s">
        <v>20</v>
      </c>
      <c r="N1433" t="s">
        <v>421</v>
      </c>
    </row>
    <row r="1434" spans="1:14" x14ac:dyDescent="0.3">
      <c r="A1434" t="s">
        <v>1793</v>
      </c>
      <c r="B1434" s="2">
        <v>46251</v>
      </c>
      <c r="C1434" s="2">
        <v>46253</v>
      </c>
      <c r="D1434" s="1" t="s">
        <v>702</v>
      </c>
      <c r="E1434" t="s">
        <v>703</v>
      </c>
      <c r="F1434" t="s">
        <v>438</v>
      </c>
      <c r="G1434" s="5">
        <v>157</v>
      </c>
      <c r="H1434" s="5">
        <v>151</v>
      </c>
      <c r="I1434" s="5">
        <v>144</v>
      </c>
      <c r="J1434" s="5">
        <v>7</v>
      </c>
      <c r="K1434" s="8">
        <f t="shared" si="46"/>
        <v>96.178343949044589</v>
      </c>
      <c r="L1434" s="8">
        <f t="shared" si="47"/>
        <v>4.8611111111111116</v>
      </c>
      <c r="M1434" t="s">
        <v>20</v>
      </c>
      <c r="N1434" t="s">
        <v>421</v>
      </c>
    </row>
    <row r="1435" spans="1:14" x14ac:dyDescent="0.3">
      <c r="A1435" t="s">
        <v>1794</v>
      </c>
      <c r="B1435" s="2">
        <v>46252</v>
      </c>
      <c r="C1435" s="2">
        <v>46254</v>
      </c>
      <c r="D1435" s="1" t="s">
        <v>702</v>
      </c>
      <c r="E1435" t="s">
        <v>703</v>
      </c>
      <c r="F1435" t="s">
        <v>438</v>
      </c>
      <c r="G1435" s="5">
        <v>157</v>
      </c>
      <c r="H1435" s="5">
        <v>148</v>
      </c>
      <c r="I1435" s="5">
        <v>147</v>
      </c>
      <c r="J1435" s="5">
        <v>1</v>
      </c>
      <c r="K1435" s="8">
        <f t="shared" si="46"/>
        <v>94.267515923566876</v>
      </c>
      <c r="L1435" s="8">
        <f t="shared" si="47"/>
        <v>0.68027210884353739</v>
      </c>
      <c r="M1435" t="s">
        <v>20</v>
      </c>
      <c r="N1435" t="s">
        <v>421</v>
      </c>
    </row>
    <row r="1436" spans="1:14" x14ac:dyDescent="0.3">
      <c r="A1436" t="s">
        <v>1373</v>
      </c>
      <c r="B1436" s="2">
        <v>46239</v>
      </c>
      <c r="C1436" s="2">
        <v>46240</v>
      </c>
      <c r="D1436" s="1" t="s">
        <v>710</v>
      </c>
      <c r="E1436" t="s">
        <v>711</v>
      </c>
      <c r="F1436" t="s">
        <v>438</v>
      </c>
      <c r="G1436" s="5">
        <v>4920</v>
      </c>
      <c r="H1436" s="5">
        <v>6448</v>
      </c>
      <c r="I1436" s="5">
        <v>6320</v>
      </c>
      <c r="J1436" s="5">
        <v>128</v>
      </c>
      <c r="K1436" s="8">
        <f t="shared" si="46"/>
        <v>131.0569105691057</v>
      </c>
      <c r="L1436" s="8">
        <f t="shared" si="47"/>
        <v>2.0253164556962027</v>
      </c>
      <c r="M1436" t="s">
        <v>20</v>
      </c>
      <c r="N1436" t="s">
        <v>421</v>
      </c>
    </row>
    <row r="1437" spans="1:14" x14ac:dyDescent="0.3">
      <c r="A1437" t="s">
        <v>1795</v>
      </c>
      <c r="B1437" s="2">
        <v>46240</v>
      </c>
      <c r="C1437" s="2">
        <v>46241</v>
      </c>
      <c r="D1437" s="1" t="s">
        <v>710</v>
      </c>
      <c r="E1437" t="s">
        <v>711</v>
      </c>
      <c r="F1437" t="s">
        <v>438</v>
      </c>
      <c r="G1437" s="5">
        <v>8200</v>
      </c>
      <c r="H1437" s="5">
        <v>8164</v>
      </c>
      <c r="I1437" s="5">
        <v>7840</v>
      </c>
      <c r="J1437" s="5">
        <v>324</v>
      </c>
      <c r="K1437" s="8">
        <f t="shared" si="46"/>
        <v>99.560975609756099</v>
      </c>
      <c r="L1437" s="8">
        <f t="shared" si="47"/>
        <v>4.1326530612244898</v>
      </c>
      <c r="M1437" t="s">
        <v>20</v>
      </c>
      <c r="N1437" t="s">
        <v>421</v>
      </c>
    </row>
    <row r="1438" spans="1:14" x14ac:dyDescent="0.3">
      <c r="A1438" t="s">
        <v>1796</v>
      </c>
      <c r="B1438" s="2">
        <v>46244</v>
      </c>
      <c r="C1438" s="2">
        <v>46245</v>
      </c>
      <c r="D1438" s="1" t="s">
        <v>710</v>
      </c>
      <c r="E1438" t="s">
        <v>711</v>
      </c>
      <c r="F1438" t="s">
        <v>438</v>
      </c>
      <c r="G1438" s="5">
        <v>4920</v>
      </c>
      <c r="H1438" s="5">
        <v>4620</v>
      </c>
      <c r="I1438" s="5">
        <v>4512</v>
      </c>
      <c r="J1438" s="5">
        <v>108</v>
      </c>
      <c r="K1438" s="8">
        <f t="shared" si="46"/>
        <v>93.902439024390233</v>
      </c>
      <c r="L1438" s="8">
        <f t="shared" si="47"/>
        <v>2.3936170212765959</v>
      </c>
      <c r="M1438" t="s">
        <v>20</v>
      </c>
      <c r="N1438" t="s">
        <v>421</v>
      </c>
    </row>
    <row r="1439" spans="1:14" x14ac:dyDescent="0.3">
      <c r="A1439" t="s">
        <v>1797</v>
      </c>
      <c r="B1439" s="2">
        <v>46245</v>
      </c>
      <c r="C1439" s="2">
        <v>46246</v>
      </c>
      <c r="D1439" s="1" t="s">
        <v>710</v>
      </c>
      <c r="E1439" t="s">
        <v>711</v>
      </c>
      <c r="F1439" t="s">
        <v>438</v>
      </c>
      <c r="G1439" s="5">
        <v>8200</v>
      </c>
      <c r="H1439" s="5">
        <v>8220</v>
      </c>
      <c r="I1439" s="5">
        <v>7936</v>
      </c>
      <c r="J1439" s="5">
        <v>284</v>
      </c>
      <c r="K1439" s="8">
        <f t="shared" si="46"/>
        <v>100.2439024390244</v>
      </c>
      <c r="L1439" s="8">
        <f t="shared" si="47"/>
        <v>3.5786290322580649</v>
      </c>
      <c r="M1439" t="s">
        <v>20</v>
      </c>
      <c r="N1439" t="s">
        <v>421</v>
      </c>
    </row>
    <row r="1440" spans="1:14" x14ac:dyDescent="0.3">
      <c r="A1440" t="s">
        <v>1798</v>
      </c>
      <c r="B1440" s="2">
        <v>46246</v>
      </c>
      <c r="C1440" s="2">
        <v>46247</v>
      </c>
      <c r="D1440" s="1" t="s">
        <v>710</v>
      </c>
      <c r="E1440" t="s">
        <v>711</v>
      </c>
      <c r="F1440" t="s">
        <v>438</v>
      </c>
      <c r="G1440" s="5">
        <v>4920</v>
      </c>
      <c r="H1440" s="5">
        <v>4688</v>
      </c>
      <c r="I1440" s="5">
        <v>4608</v>
      </c>
      <c r="J1440" s="5">
        <v>80</v>
      </c>
      <c r="K1440" s="8">
        <f t="shared" si="46"/>
        <v>95.284552845528452</v>
      </c>
      <c r="L1440" s="8">
        <f t="shared" si="47"/>
        <v>1.7361111111111112</v>
      </c>
      <c r="M1440" t="s">
        <v>20</v>
      </c>
      <c r="N1440" t="s">
        <v>421</v>
      </c>
    </row>
    <row r="1441" spans="1:14" x14ac:dyDescent="0.3">
      <c r="A1441" t="s">
        <v>1799</v>
      </c>
      <c r="B1441" s="2">
        <v>46247</v>
      </c>
      <c r="C1441" s="2">
        <v>46248</v>
      </c>
      <c r="D1441" s="1" t="s">
        <v>710</v>
      </c>
      <c r="E1441" t="s">
        <v>711</v>
      </c>
      <c r="F1441" t="s">
        <v>438</v>
      </c>
      <c r="G1441" s="5">
        <v>6560</v>
      </c>
      <c r="H1441" s="5">
        <v>6300</v>
      </c>
      <c r="I1441" s="5">
        <v>5960</v>
      </c>
      <c r="J1441" s="5">
        <v>340</v>
      </c>
      <c r="K1441" s="8">
        <f t="shared" si="46"/>
        <v>96.036585365853654</v>
      </c>
      <c r="L1441" s="8">
        <f t="shared" si="47"/>
        <v>5.7046979865771812</v>
      </c>
      <c r="M1441" t="s">
        <v>20</v>
      </c>
      <c r="N1441" t="s">
        <v>421</v>
      </c>
    </row>
    <row r="1442" spans="1:14" x14ac:dyDescent="0.3">
      <c r="A1442" t="s">
        <v>1800</v>
      </c>
      <c r="B1442" s="2">
        <v>46247</v>
      </c>
      <c r="C1442" s="2">
        <v>46248</v>
      </c>
      <c r="D1442" s="1" t="s">
        <v>710</v>
      </c>
      <c r="E1442" t="s">
        <v>711</v>
      </c>
      <c r="F1442" t="s">
        <v>438</v>
      </c>
      <c r="G1442" s="5">
        <v>1640</v>
      </c>
      <c r="H1442" s="5">
        <v>1640</v>
      </c>
      <c r="I1442" s="5">
        <v>1640</v>
      </c>
      <c r="J1442" s="5">
        <v>0</v>
      </c>
      <c r="K1442" s="8">
        <f t="shared" si="46"/>
        <v>100</v>
      </c>
      <c r="L1442" s="8">
        <f t="shared" si="47"/>
        <v>0</v>
      </c>
      <c r="M1442" t="s">
        <v>20</v>
      </c>
      <c r="N1442" t="s">
        <v>421</v>
      </c>
    </row>
    <row r="1443" spans="1:14" x14ac:dyDescent="0.3">
      <c r="A1443" t="s">
        <v>1801</v>
      </c>
      <c r="B1443" s="2">
        <v>46248</v>
      </c>
      <c r="C1443" s="2">
        <v>46251</v>
      </c>
      <c r="D1443" s="1" t="s">
        <v>710</v>
      </c>
      <c r="E1443" t="s">
        <v>711</v>
      </c>
      <c r="F1443" t="s">
        <v>438</v>
      </c>
      <c r="G1443" s="5">
        <v>3280</v>
      </c>
      <c r="H1443" s="5">
        <v>3376</v>
      </c>
      <c r="I1443" s="5">
        <v>3296</v>
      </c>
      <c r="J1443" s="5">
        <v>80</v>
      </c>
      <c r="K1443" s="8">
        <f t="shared" si="46"/>
        <v>102.92682926829269</v>
      </c>
      <c r="L1443" s="8">
        <f t="shared" si="47"/>
        <v>2.4271844660194173</v>
      </c>
      <c r="M1443" t="s">
        <v>20</v>
      </c>
      <c r="N1443" t="s">
        <v>421</v>
      </c>
    </row>
    <row r="1444" spans="1:14" x14ac:dyDescent="0.3">
      <c r="A1444" t="s">
        <v>1802</v>
      </c>
      <c r="B1444" s="2">
        <v>46252</v>
      </c>
      <c r="C1444" s="2">
        <v>46254</v>
      </c>
      <c r="D1444" s="1" t="s">
        <v>710</v>
      </c>
      <c r="E1444" t="s">
        <v>711</v>
      </c>
      <c r="F1444" t="s">
        <v>438</v>
      </c>
      <c r="G1444" s="5">
        <v>8200</v>
      </c>
      <c r="H1444" s="5">
        <v>8260</v>
      </c>
      <c r="I1444" s="5">
        <v>8160</v>
      </c>
      <c r="J1444" s="5">
        <v>100</v>
      </c>
      <c r="K1444" s="8">
        <f t="shared" si="46"/>
        <v>100.73170731707317</v>
      </c>
      <c r="L1444" s="8">
        <f t="shared" si="47"/>
        <v>1.2254901960784315</v>
      </c>
      <c r="M1444" t="s">
        <v>20</v>
      </c>
      <c r="N1444" t="s">
        <v>421</v>
      </c>
    </row>
    <row r="1445" spans="1:14" x14ac:dyDescent="0.3">
      <c r="A1445" t="s">
        <v>1377</v>
      </c>
      <c r="B1445" s="2">
        <v>46239</v>
      </c>
      <c r="C1445" s="2">
        <v>46240</v>
      </c>
      <c r="D1445" s="1" t="s">
        <v>722</v>
      </c>
      <c r="E1445" t="s">
        <v>723</v>
      </c>
      <c r="F1445" t="s">
        <v>438</v>
      </c>
      <c r="G1445" s="5">
        <v>16320</v>
      </c>
      <c r="H1445" s="5">
        <v>16224</v>
      </c>
      <c r="I1445" s="5">
        <v>15960</v>
      </c>
      <c r="J1445" s="5">
        <v>264</v>
      </c>
      <c r="K1445" s="8">
        <f t="shared" si="46"/>
        <v>99.411764705882348</v>
      </c>
      <c r="L1445" s="8">
        <f t="shared" si="47"/>
        <v>1.6541353383458646</v>
      </c>
      <c r="M1445" t="s">
        <v>20</v>
      </c>
      <c r="N1445" t="s">
        <v>421</v>
      </c>
    </row>
    <row r="1446" spans="1:14" x14ac:dyDescent="0.3">
      <c r="A1446" t="s">
        <v>1803</v>
      </c>
      <c r="B1446" s="2">
        <v>46240</v>
      </c>
      <c r="C1446" s="2">
        <v>46241</v>
      </c>
      <c r="D1446" s="1" t="s">
        <v>722</v>
      </c>
      <c r="E1446" t="s">
        <v>723</v>
      </c>
      <c r="F1446" t="s">
        <v>438</v>
      </c>
      <c r="G1446" s="5">
        <v>9792</v>
      </c>
      <c r="H1446" s="5">
        <v>9684</v>
      </c>
      <c r="I1446" s="5">
        <v>9360</v>
      </c>
      <c r="J1446" s="5">
        <v>324</v>
      </c>
      <c r="K1446" s="8">
        <f t="shared" si="46"/>
        <v>98.89705882352942</v>
      </c>
      <c r="L1446" s="8">
        <f t="shared" si="47"/>
        <v>3.4615384615384617</v>
      </c>
      <c r="M1446" t="s">
        <v>20</v>
      </c>
      <c r="N1446" t="s">
        <v>421</v>
      </c>
    </row>
    <row r="1447" spans="1:14" x14ac:dyDescent="0.3">
      <c r="A1447" t="s">
        <v>1804</v>
      </c>
      <c r="B1447" s="2">
        <v>46244</v>
      </c>
      <c r="C1447" s="2">
        <v>46246</v>
      </c>
      <c r="D1447" s="1" t="s">
        <v>722</v>
      </c>
      <c r="E1447" t="s">
        <v>723</v>
      </c>
      <c r="F1447" t="s">
        <v>438</v>
      </c>
      <c r="G1447" s="5">
        <v>19584</v>
      </c>
      <c r="H1447" s="5">
        <v>19728</v>
      </c>
      <c r="I1447" s="5">
        <v>19500</v>
      </c>
      <c r="J1447" s="5">
        <v>228</v>
      </c>
      <c r="K1447" s="8">
        <f t="shared" si="46"/>
        <v>100.73529411764706</v>
      </c>
      <c r="L1447" s="8">
        <f t="shared" si="47"/>
        <v>1.1692307692307693</v>
      </c>
      <c r="M1447" t="s">
        <v>20</v>
      </c>
      <c r="N1447" t="s">
        <v>421</v>
      </c>
    </row>
    <row r="1448" spans="1:14" x14ac:dyDescent="0.3">
      <c r="A1448" t="s">
        <v>1805</v>
      </c>
      <c r="B1448" s="2">
        <v>46245</v>
      </c>
      <c r="C1448" s="2">
        <v>46247</v>
      </c>
      <c r="D1448" s="1" t="s">
        <v>722</v>
      </c>
      <c r="E1448" t="s">
        <v>723</v>
      </c>
      <c r="F1448" t="s">
        <v>438</v>
      </c>
      <c r="G1448" s="5">
        <v>9792</v>
      </c>
      <c r="H1448" s="5">
        <v>9601</v>
      </c>
      <c r="I1448" s="5">
        <v>9157</v>
      </c>
      <c r="J1448" s="5">
        <v>444</v>
      </c>
      <c r="K1448" s="8">
        <f t="shared" si="46"/>
        <v>98.049428104575171</v>
      </c>
      <c r="L1448" s="8">
        <f t="shared" si="47"/>
        <v>4.8487495904772304</v>
      </c>
      <c r="M1448" t="s">
        <v>20</v>
      </c>
      <c r="N1448" t="s">
        <v>421</v>
      </c>
    </row>
    <row r="1449" spans="1:14" x14ac:dyDescent="0.3">
      <c r="A1449" t="s">
        <v>1806</v>
      </c>
      <c r="B1449" s="2">
        <v>46246</v>
      </c>
      <c r="C1449" s="2">
        <v>46248</v>
      </c>
      <c r="D1449" s="1" t="s">
        <v>722</v>
      </c>
      <c r="E1449" t="s">
        <v>723</v>
      </c>
      <c r="F1449" t="s">
        <v>438</v>
      </c>
      <c r="G1449" s="5">
        <v>13056</v>
      </c>
      <c r="H1449" s="5">
        <v>14945</v>
      </c>
      <c r="I1449" s="5">
        <v>14573</v>
      </c>
      <c r="J1449" s="5">
        <v>372</v>
      </c>
      <c r="K1449" s="8">
        <f t="shared" si="46"/>
        <v>114.46844362745099</v>
      </c>
      <c r="L1449" s="8">
        <f t="shared" si="47"/>
        <v>2.5526658889727578</v>
      </c>
      <c r="M1449" t="s">
        <v>20</v>
      </c>
      <c r="N1449" t="s">
        <v>421</v>
      </c>
    </row>
    <row r="1450" spans="1:14" x14ac:dyDescent="0.3">
      <c r="A1450" t="s">
        <v>1807</v>
      </c>
      <c r="B1450" s="2">
        <v>46247</v>
      </c>
      <c r="C1450" s="2">
        <v>46251</v>
      </c>
      <c r="D1450" s="1" t="s">
        <v>722</v>
      </c>
      <c r="E1450" t="s">
        <v>723</v>
      </c>
      <c r="F1450" t="s">
        <v>438</v>
      </c>
      <c r="G1450" s="5">
        <v>9792</v>
      </c>
      <c r="H1450" s="5">
        <v>8880</v>
      </c>
      <c r="I1450" s="5">
        <v>8610</v>
      </c>
      <c r="J1450" s="5">
        <v>270</v>
      </c>
      <c r="K1450" s="8">
        <f t="shared" si="46"/>
        <v>90.686274509803923</v>
      </c>
      <c r="L1450" s="8">
        <f t="shared" si="47"/>
        <v>3.1358885017421603</v>
      </c>
      <c r="M1450" t="s">
        <v>20</v>
      </c>
      <c r="N1450" t="s">
        <v>421</v>
      </c>
    </row>
    <row r="1451" spans="1:14" x14ac:dyDescent="0.3">
      <c r="A1451" t="s">
        <v>1808</v>
      </c>
      <c r="B1451" s="2">
        <v>46248</v>
      </c>
      <c r="C1451" s="2">
        <v>46251</v>
      </c>
      <c r="D1451" s="1" t="s">
        <v>722</v>
      </c>
      <c r="E1451" t="s">
        <v>723</v>
      </c>
      <c r="F1451" t="s">
        <v>438</v>
      </c>
      <c r="G1451" s="5">
        <v>6528</v>
      </c>
      <c r="H1451" s="5">
        <v>4398</v>
      </c>
      <c r="I1451" s="5">
        <v>4230</v>
      </c>
      <c r="J1451" s="5">
        <v>168</v>
      </c>
      <c r="K1451" s="8">
        <f t="shared" si="46"/>
        <v>67.371323529411768</v>
      </c>
      <c r="L1451" s="8">
        <f t="shared" si="47"/>
        <v>3.9716312056737593</v>
      </c>
      <c r="M1451" t="s">
        <v>20</v>
      </c>
      <c r="N1451" t="s">
        <v>421</v>
      </c>
    </row>
    <row r="1452" spans="1:14" x14ac:dyDescent="0.3">
      <c r="A1452" t="s">
        <v>1809</v>
      </c>
      <c r="B1452" s="2">
        <v>46252</v>
      </c>
      <c r="C1452" s="2">
        <v>46254</v>
      </c>
      <c r="D1452" s="1" t="s">
        <v>722</v>
      </c>
      <c r="E1452" t="s">
        <v>723</v>
      </c>
      <c r="F1452" t="s">
        <v>438</v>
      </c>
      <c r="G1452" s="5">
        <v>6528</v>
      </c>
      <c r="H1452" s="5">
        <v>6978</v>
      </c>
      <c r="I1452" s="5">
        <v>6930</v>
      </c>
      <c r="J1452" s="5">
        <v>48</v>
      </c>
      <c r="K1452" s="8">
        <f t="shared" ref="K1452:K1515" si="48">(H1452/G1452)*100</f>
        <v>106.89338235294117</v>
      </c>
      <c r="L1452" s="8">
        <f t="shared" ref="L1452:L1515" si="49">((H1452-I1452)/I1452)*100</f>
        <v>0.69264069264069261</v>
      </c>
      <c r="M1452" t="s">
        <v>20</v>
      </c>
      <c r="N1452" t="s">
        <v>421</v>
      </c>
    </row>
    <row r="1453" spans="1:14" x14ac:dyDescent="0.3">
      <c r="A1453" t="s">
        <v>1810</v>
      </c>
      <c r="B1453" s="2">
        <v>46244</v>
      </c>
      <c r="C1453" s="2">
        <v>46248</v>
      </c>
      <c r="D1453" s="1" t="s">
        <v>1811</v>
      </c>
      <c r="E1453" t="s">
        <v>1812</v>
      </c>
      <c r="F1453" t="s">
        <v>420</v>
      </c>
      <c r="G1453" s="5">
        <v>150</v>
      </c>
      <c r="H1453" s="5">
        <v>150</v>
      </c>
      <c r="I1453" s="5">
        <v>150</v>
      </c>
      <c r="J1453" s="5">
        <v>0</v>
      </c>
      <c r="K1453" s="8">
        <f t="shared" si="48"/>
        <v>100</v>
      </c>
      <c r="L1453" s="8">
        <f t="shared" si="49"/>
        <v>0</v>
      </c>
      <c r="M1453" t="s">
        <v>20</v>
      </c>
      <c r="N1453" t="s">
        <v>421</v>
      </c>
    </row>
    <row r="1454" spans="1:14" x14ac:dyDescent="0.3">
      <c r="A1454" t="s">
        <v>1813</v>
      </c>
      <c r="B1454" s="2">
        <v>46248</v>
      </c>
      <c r="C1454" s="2">
        <v>46251</v>
      </c>
      <c r="D1454" s="1" t="s">
        <v>735</v>
      </c>
      <c r="E1454" t="s">
        <v>736</v>
      </c>
      <c r="F1454" t="s">
        <v>420</v>
      </c>
      <c r="G1454" s="5">
        <v>300</v>
      </c>
      <c r="H1454" s="5">
        <v>300</v>
      </c>
      <c r="I1454" s="5">
        <v>300</v>
      </c>
      <c r="J1454" s="5">
        <v>0</v>
      </c>
      <c r="K1454" s="8">
        <f t="shared" si="48"/>
        <v>100</v>
      </c>
      <c r="L1454" s="8">
        <f t="shared" si="49"/>
        <v>0</v>
      </c>
      <c r="M1454" t="s">
        <v>20</v>
      </c>
      <c r="N1454" t="s">
        <v>421</v>
      </c>
    </row>
    <row r="1455" spans="1:14" x14ac:dyDescent="0.3">
      <c r="A1455" t="s">
        <v>1378</v>
      </c>
      <c r="B1455" s="2">
        <v>46239</v>
      </c>
      <c r="C1455" s="2">
        <v>46240</v>
      </c>
      <c r="D1455" s="1" t="s">
        <v>741</v>
      </c>
      <c r="E1455" t="s">
        <v>742</v>
      </c>
      <c r="F1455" t="s">
        <v>438</v>
      </c>
      <c r="G1455" s="5">
        <v>127</v>
      </c>
      <c r="H1455" s="5">
        <v>130</v>
      </c>
      <c r="I1455" s="5">
        <v>129</v>
      </c>
      <c r="J1455" s="5">
        <v>1</v>
      </c>
      <c r="K1455" s="8">
        <f t="shared" si="48"/>
        <v>102.36220472440945</v>
      </c>
      <c r="L1455" s="8">
        <f t="shared" si="49"/>
        <v>0.77519379844961245</v>
      </c>
      <c r="M1455" t="s">
        <v>20</v>
      </c>
      <c r="N1455" t="s">
        <v>421</v>
      </c>
    </row>
    <row r="1456" spans="1:14" x14ac:dyDescent="0.3">
      <c r="A1456" t="s">
        <v>1814</v>
      </c>
      <c r="B1456" s="2">
        <v>46241</v>
      </c>
      <c r="C1456" s="2">
        <v>46244</v>
      </c>
      <c r="D1456" s="1" t="s">
        <v>741</v>
      </c>
      <c r="E1456" t="s">
        <v>742</v>
      </c>
      <c r="F1456" t="s">
        <v>438</v>
      </c>
      <c r="G1456" s="5">
        <v>127</v>
      </c>
      <c r="H1456" s="5">
        <v>136</v>
      </c>
      <c r="I1456" s="5">
        <v>135</v>
      </c>
      <c r="J1456" s="5">
        <v>1</v>
      </c>
      <c r="K1456" s="8">
        <f t="shared" si="48"/>
        <v>107.08661417322836</v>
      </c>
      <c r="L1456" s="8">
        <f t="shared" si="49"/>
        <v>0.74074074074074081</v>
      </c>
      <c r="M1456" t="s">
        <v>20</v>
      </c>
      <c r="N1456" t="s">
        <v>421</v>
      </c>
    </row>
    <row r="1457" spans="1:14" x14ac:dyDescent="0.3">
      <c r="A1457" t="s">
        <v>1815</v>
      </c>
      <c r="B1457" s="2">
        <v>46244</v>
      </c>
      <c r="C1457" s="2">
        <v>46245</v>
      </c>
      <c r="D1457" s="1" t="s">
        <v>741</v>
      </c>
      <c r="E1457" t="s">
        <v>742</v>
      </c>
      <c r="F1457" t="s">
        <v>438</v>
      </c>
      <c r="G1457" s="5">
        <v>127</v>
      </c>
      <c r="H1457" s="5">
        <v>133</v>
      </c>
      <c r="I1457" s="5">
        <v>131</v>
      </c>
      <c r="J1457" s="5">
        <v>2</v>
      </c>
      <c r="K1457" s="8">
        <f t="shared" si="48"/>
        <v>104.72440944881889</v>
      </c>
      <c r="L1457" s="8">
        <f t="shared" si="49"/>
        <v>1.5267175572519083</v>
      </c>
      <c r="M1457" t="s">
        <v>20</v>
      </c>
      <c r="N1457" t="s">
        <v>421</v>
      </c>
    </row>
    <row r="1458" spans="1:14" x14ac:dyDescent="0.3">
      <c r="A1458" t="s">
        <v>1816</v>
      </c>
      <c r="B1458" s="2">
        <v>46246</v>
      </c>
      <c r="C1458" s="2">
        <v>46247</v>
      </c>
      <c r="D1458" s="1" t="s">
        <v>741</v>
      </c>
      <c r="E1458" t="s">
        <v>742</v>
      </c>
      <c r="F1458" t="s">
        <v>438</v>
      </c>
      <c r="G1458" s="5">
        <v>127</v>
      </c>
      <c r="H1458" s="5">
        <v>132</v>
      </c>
      <c r="I1458" s="5">
        <v>131</v>
      </c>
      <c r="J1458" s="5">
        <v>1</v>
      </c>
      <c r="K1458" s="8">
        <f t="shared" si="48"/>
        <v>103.93700787401573</v>
      </c>
      <c r="L1458" s="8">
        <f t="shared" si="49"/>
        <v>0.76335877862595414</v>
      </c>
      <c r="M1458" t="s">
        <v>20</v>
      </c>
      <c r="N1458" t="s">
        <v>421</v>
      </c>
    </row>
    <row r="1459" spans="1:14" x14ac:dyDescent="0.3">
      <c r="A1459" t="s">
        <v>1379</v>
      </c>
      <c r="B1459" s="2">
        <v>46239</v>
      </c>
      <c r="C1459" s="2">
        <v>46240</v>
      </c>
      <c r="D1459" s="1" t="s">
        <v>747</v>
      </c>
      <c r="E1459" t="s">
        <v>748</v>
      </c>
      <c r="F1459" t="s">
        <v>438</v>
      </c>
      <c r="G1459" s="5">
        <v>70</v>
      </c>
      <c r="H1459" s="5">
        <v>69</v>
      </c>
      <c r="I1459" s="5">
        <v>68</v>
      </c>
      <c r="J1459" s="5">
        <v>1</v>
      </c>
      <c r="K1459" s="8">
        <f t="shared" si="48"/>
        <v>98.571428571428584</v>
      </c>
      <c r="L1459" s="8">
        <f t="shared" si="49"/>
        <v>1.4705882352941175</v>
      </c>
      <c r="M1459" t="s">
        <v>20</v>
      </c>
      <c r="N1459" t="s">
        <v>421</v>
      </c>
    </row>
    <row r="1460" spans="1:14" x14ac:dyDescent="0.3">
      <c r="A1460" t="s">
        <v>1384</v>
      </c>
      <c r="B1460" s="2">
        <v>46239</v>
      </c>
      <c r="C1460" s="2">
        <v>46240</v>
      </c>
      <c r="D1460" s="1" t="s">
        <v>754</v>
      </c>
      <c r="E1460" t="s">
        <v>755</v>
      </c>
      <c r="F1460" t="s">
        <v>438</v>
      </c>
      <c r="G1460" s="5">
        <v>429</v>
      </c>
      <c r="H1460" s="5">
        <v>429</v>
      </c>
      <c r="I1460" s="5">
        <v>421</v>
      </c>
      <c r="J1460" s="5">
        <v>8</v>
      </c>
      <c r="K1460" s="8">
        <f t="shared" si="48"/>
        <v>100</v>
      </c>
      <c r="L1460" s="8">
        <f t="shared" si="49"/>
        <v>1.9002375296912115</v>
      </c>
      <c r="M1460" t="s">
        <v>20</v>
      </c>
      <c r="N1460" t="s">
        <v>421</v>
      </c>
    </row>
    <row r="1461" spans="1:14" x14ac:dyDescent="0.3">
      <c r="A1461" t="s">
        <v>1817</v>
      </c>
      <c r="B1461" s="2">
        <v>46247</v>
      </c>
      <c r="C1461" s="2">
        <v>46248</v>
      </c>
      <c r="D1461" s="1" t="s">
        <v>754</v>
      </c>
      <c r="E1461" t="s">
        <v>755</v>
      </c>
      <c r="F1461" t="s">
        <v>438</v>
      </c>
      <c r="G1461" s="5">
        <v>429</v>
      </c>
      <c r="H1461" s="5">
        <v>425</v>
      </c>
      <c r="I1461" s="5">
        <v>401</v>
      </c>
      <c r="J1461" s="5">
        <v>24</v>
      </c>
      <c r="K1461" s="8">
        <f t="shared" si="48"/>
        <v>99.067599067599062</v>
      </c>
      <c r="L1461" s="8">
        <f t="shared" si="49"/>
        <v>5.9850374064837908</v>
      </c>
      <c r="M1461" t="s">
        <v>20</v>
      </c>
      <c r="N1461" t="s">
        <v>421</v>
      </c>
    </row>
    <row r="1462" spans="1:14" x14ac:dyDescent="0.3">
      <c r="A1462" t="s">
        <v>1388</v>
      </c>
      <c r="B1462" s="2">
        <v>46239</v>
      </c>
      <c r="C1462" s="2">
        <v>46240</v>
      </c>
      <c r="D1462" s="1" t="s">
        <v>773</v>
      </c>
      <c r="E1462" t="s">
        <v>774</v>
      </c>
      <c r="F1462" t="s">
        <v>420</v>
      </c>
      <c r="G1462" s="5">
        <v>880</v>
      </c>
      <c r="H1462" s="5">
        <v>880</v>
      </c>
      <c r="I1462" s="5">
        <v>880</v>
      </c>
      <c r="J1462" s="5">
        <v>0</v>
      </c>
      <c r="K1462" s="8">
        <f t="shared" si="48"/>
        <v>100</v>
      </c>
      <c r="L1462" s="8">
        <f t="shared" si="49"/>
        <v>0</v>
      </c>
      <c r="M1462" t="s">
        <v>20</v>
      </c>
      <c r="N1462" t="s">
        <v>421</v>
      </c>
    </row>
    <row r="1463" spans="1:14" x14ac:dyDescent="0.3">
      <c r="A1463" t="s">
        <v>1818</v>
      </c>
      <c r="B1463" s="2">
        <v>46240</v>
      </c>
      <c r="C1463" s="2">
        <v>46240</v>
      </c>
      <c r="D1463" s="1" t="s">
        <v>773</v>
      </c>
      <c r="E1463" t="s">
        <v>774</v>
      </c>
      <c r="F1463" t="s">
        <v>420</v>
      </c>
      <c r="G1463" s="5">
        <v>820</v>
      </c>
      <c r="H1463" s="5">
        <v>820</v>
      </c>
      <c r="I1463" s="5">
        <v>820</v>
      </c>
      <c r="J1463" s="5">
        <v>0</v>
      </c>
      <c r="K1463" s="8">
        <f t="shared" si="48"/>
        <v>100</v>
      </c>
      <c r="L1463" s="8">
        <f t="shared" si="49"/>
        <v>0</v>
      </c>
      <c r="M1463" t="s">
        <v>20</v>
      </c>
      <c r="N1463" t="s">
        <v>421</v>
      </c>
    </row>
    <row r="1464" spans="1:14" x14ac:dyDescent="0.3">
      <c r="A1464" t="s">
        <v>1819</v>
      </c>
      <c r="B1464" s="2">
        <v>46241</v>
      </c>
      <c r="C1464" s="2">
        <v>46244</v>
      </c>
      <c r="D1464" s="1" t="s">
        <v>773</v>
      </c>
      <c r="E1464" t="s">
        <v>774</v>
      </c>
      <c r="F1464" t="s">
        <v>420</v>
      </c>
      <c r="G1464" s="5">
        <v>931</v>
      </c>
      <c r="H1464" s="5">
        <v>931</v>
      </c>
      <c r="I1464" s="5">
        <v>931</v>
      </c>
      <c r="J1464" s="5">
        <v>0</v>
      </c>
      <c r="K1464" s="8">
        <f t="shared" si="48"/>
        <v>100</v>
      </c>
      <c r="L1464" s="8">
        <f t="shared" si="49"/>
        <v>0</v>
      </c>
      <c r="M1464" t="s">
        <v>20</v>
      </c>
      <c r="N1464" t="s">
        <v>421</v>
      </c>
    </row>
    <row r="1465" spans="1:14" x14ac:dyDescent="0.3">
      <c r="A1465" t="s">
        <v>1820</v>
      </c>
      <c r="B1465" s="2">
        <v>46244</v>
      </c>
      <c r="C1465" s="2">
        <v>46245</v>
      </c>
      <c r="D1465" s="1" t="s">
        <v>773</v>
      </c>
      <c r="E1465" t="s">
        <v>774</v>
      </c>
      <c r="F1465" t="s">
        <v>420</v>
      </c>
      <c r="G1465" s="5">
        <v>920</v>
      </c>
      <c r="H1465" s="5">
        <v>920</v>
      </c>
      <c r="I1465" s="5">
        <v>920</v>
      </c>
      <c r="J1465" s="5">
        <v>0</v>
      </c>
      <c r="K1465" s="8">
        <f t="shared" si="48"/>
        <v>100</v>
      </c>
      <c r="L1465" s="8">
        <f t="shared" si="49"/>
        <v>0</v>
      </c>
      <c r="M1465" t="s">
        <v>20</v>
      </c>
      <c r="N1465" t="s">
        <v>421</v>
      </c>
    </row>
    <row r="1466" spans="1:14" x14ac:dyDescent="0.3">
      <c r="A1466" t="s">
        <v>1821</v>
      </c>
      <c r="B1466" s="2">
        <v>46245</v>
      </c>
      <c r="C1466" s="2">
        <v>46246</v>
      </c>
      <c r="D1466" s="1" t="s">
        <v>773</v>
      </c>
      <c r="E1466" t="s">
        <v>774</v>
      </c>
      <c r="F1466" t="s">
        <v>420</v>
      </c>
      <c r="G1466" s="5">
        <v>560</v>
      </c>
      <c r="H1466" s="5">
        <v>560</v>
      </c>
      <c r="I1466" s="5">
        <v>560</v>
      </c>
      <c r="J1466" s="5">
        <v>0</v>
      </c>
      <c r="K1466" s="8">
        <f t="shared" si="48"/>
        <v>100</v>
      </c>
      <c r="L1466" s="8">
        <f t="shared" si="49"/>
        <v>0</v>
      </c>
      <c r="M1466" t="s">
        <v>20</v>
      </c>
      <c r="N1466" t="s">
        <v>421</v>
      </c>
    </row>
    <row r="1467" spans="1:14" x14ac:dyDescent="0.3">
      <c r="A1467" t="s">
        <v>1822</v>
      </c>
      <c r="B1467" s="2">
        <v>46246</v>
      </c>
      <c r="C1467" s="2">
        <v>46247</v>
      </c>
      <c r="D1467" s="1" t="s">
        <v>773</v>
      </c>
      <c r="E1467" t="s">
        <v>774</v>
      </c>
      <c r="F1467" t="s">
        <v>420</v>
      </c>
      <c r="G1467" s="5">
        <v>940</v>
      </c>
      <c r="H1467" s="5">
        <v>940</v>
      </c>
      <c r="I1467" s="5">
        <v>940</v>
      </c>
      <c r="J1467" s="5">
        <v>0</v>
      </c>
      <c r="K1467" s="8">
        <f t="shared" si="48"/>
        <v>100</v>
      </c>
      <c r="L1467" s="8">
        <f t="shared" si="49"/>
        <v>0</v>
      </c>
      <c r="M1467" t="s">
        <v>20</v>
      </c>
      <c r="N1467" t="s">
        <v>421</v>
      </c>
    </row>
    <row r="1468" spans="1:14" x14ac:dyDescent="0.3">
      <c r="A1468" t="s">
        <v>1823</v>
      </c>
      <c r="B1468" s="2">
        <v>46247</v>
      </c>
      <c r="C1468" s="2">
        <v>46248</v>
      </c>
      <c r="D1468" s="1" t="s">
        <v>773</v>
      </c>
      <c r="E1468" t="s">
        <v>774</v>
      </c>
      <c r="F1468" t="s">
        <v>420</v>
      </c>
      <c r="G1468" s="5">
        <v>850</v>
      </c>
      <c r="H1468" s="5">
        <v>850</v>
      </c>
      <c r="I1468" s="5">
        <v>850</v>
      </c>
      <c r="J1468" s="5">
        <v>0</v>
      </c>
      <c r="K1468" s="8">
        <f t="shared" si="48"/>
        <v>100</v>
      </c>
      <c r="L1468" s="8">
        <f t="shared" si="49"/>
        <v>0</v>
      </c>
      <c r="M1468" t="s">
        <v>20</v>
      </c>
      <c r="N1468" t="s">
        <v>421</v>
      </c>
    </row>
    <row r="1469" spans="1:14" x14ac:dyDescent="0.3">
      <c r="A1469" t="s">
        <v>1824</v>
      </c>
      <c r="B1469" s="2">
        <v>46248</v>
      </c>
      <c r="C1469" s="2">
        <v>46248</v>
      </c>
      <c r="D1469" s="1" t="s">
        <v>773</v>
      </c>
      <c r="E1469" t="s">
        <v>774</v>
      </c>
      <c r="F1469" t="s">
        <v>420</v>
      </c>
      <c r="G1469" s="5">
        <v>880</v>
      </c>
      <c r="H1469" s="5">
        <v>880</v>
      </c>
      <c r="I1469" s="5">
        <v>880</v>
      </c>
      <c r="J1469" s="5">
        <v>0</v>
      </c>
      <c r="K1469" s="8">
        <f t="shared" si="48"/>
        <v>100</v>
      </c>
      <c r="L1469" s="8">
        <f t="shared" si="49"/>
        <v>0</v>
      </c>
      <c r="M1469" t="s">
        <v>20</v>
      </c>
      <c r="N1469" t="s">
        <v>421</v>
      </c>
    </row>
    <row r="1470" spans="1:14" x14ac:dyDescent="0.3">
      <c r="A1470" t="s">
        <v>1825</v>
      </c>
      <c r="B1470" s="2">
        <v>46251</v>
      </c>
      <c r="C1470" s="2">
        <v>46251</v>
      </c>
      <c r="D1470" s="1" t="s">
        <v>773</v>
      </c>
      <c r="E1470" t="s">
        <v>774</v>
      </c>
      <c r="F1470" t="s">
        <v>420</v>
      </c>
      <c r="G1470" s="5">
        <v>860</v>
      </c>
      <c r="H1470" s="5">
        <v>860</v>
      </c>
      <c r="I1470" s="5">
        <v>860</v>
      </c>
      <c r="J1470" s="5">
        <v>0</v>
      </c>
      <c r="K1470" s="8">
        <f t="shared" si="48"/>
        <v>100</v>
      </c>
      <c r="L1470" s="8">
        <f t="shared" si="49"/>
        <v>0</v>
      </c>
      <c r="M1470" t="s">
        <v>20</v>
      </c>
      <c r="N1470" t="s">
        <v>421</v>
      </c>
    </row>
    <row r="1471" spans="1:14" x14ac:dyDescent="0.3">
      <c r="A1471" t="s">
        <v>1826</v>
      </c>
      <c r="B1471" s="2">
        <v>46252</v>
      </c>
      <c r="C1471" s="2">
        <v>46254</v>
      </c>
      <c r="D1471" s="1" t="s">
        <v>773</v>
      </c>
      <c r="E1471" t="s">
        <v>774</v>
      </c>
      <c r="F1471" t="s">
        <v>420</v>
      </c>
      <c r="G1471" s="5">
        <v>780</v>
      </c>
      <c r="H1471" s="5">
        <v>780</v>
      </c>
      <c r="I1471" s="5">
        <v>780</v>
      </c>
      <c r="J1471" s="5">
        <v>0</v>
      </c>
      <c r="K1471" s="8">
        <f t="shared" si="48"/>
        <v>100</v>
      </c>
      <c r="L1471" s="8">
        <f t="shared" si="49"/>
        <v>0</v>
      </c>
      <c r="M1471" t="s">
        <v>20</v>
      </c>
      <c r="N1471" t="s">
        <v>421</v>
      </c>
    </row>
    <row r="1472" spans="1:14" x14ac:dyDescent="0.3">
      <c r="A1472" t="s">
        <v>1392</v>
      </c>
      <c r="B1472" s="2">
        <v>46239</v>
      </c>
      <c r="C1472" s="2">
        <v>46240</v>
      </c>
      <c r="D1472" s="1" t="s">
        <v>788</v>
      </c>
      <c r="E1472" t="s">
        <v>789</v>
      </c>
      <c r="F1472" t="s">
        <v>420</v>
      </c>
      <c r="G1472" s="5">
        <v>390</v>
      </c>
      <c r="H1472" s="5">
        <v>390</v>
      </c>
      <c r="I1472" s="5">
        <v>390</v>
      </c>
      <c r="J1472" s="5">
        <v>0</v>
      </c>
      <c r="K1472" s="8">
        <f t="shared" si="48"/>
        <v>100</v>
      </c>
      <c r="L1472" s="8">
        <f t="shared" si="49"/>
        <v>0</v>
      </c>
      <c r="M1472" t="s">
        <v>20</v>
      </c>
      <c r="N1472" t="s">
        <v>421</v>
      </c>
    </row>
    <row r="1473" spans="1:14" x14ac:dyDescent="0.3">
      <c r="A1473" t="s">
        <v>1827</v>
      </c>
      <c r="B1473" s="2">
        <v>46240</v>
      </c>
      <c r="C1473" s="2">
        <v>46240</v>
      </c>
      <c r="D1473" s="1" t="s">
        <v>788</v>
      </c>
      <c r="E1473" t="s">
        <v>789</v>
      </c>
      <c r="F1473" t="s">
        <v>420</v>
      </c>
      <c r="G1473" s="5">
        <v>580</v>
      </c>
      <c r="H1473" s="5">
        <v>580</v>
      </c>
      <c r="I1473" s="5">
        <v>580</v>
      </c>
      <c r="J1473" s="5">
        <v>0</v>
      </c>
      <c r="K1473" s="8">
        <f t="shared" si="48"/>
        <v>100</v>
      </c>
      <c r="L1473" s="8">
        <f t="shared" si="49"/>
        <v>0</v>
      </c>
      <c r="M1473" t="s">
        <v>20</v>
      </c>
      <c r="N1473" t="s">
        <v>421</v>
      </c>
    </row>
    <row r="1474" spans="1:14" x14ac:dyDescent="0.3">
      <c r="A1474" t="s">
        <v>1828</v>
      </c>
      <c r="B1474" s="2">
        <v>46244</v>
      </c>
      <c r="C1474" s="2">
        <v>46245</v>
      </c>
      <c r="D1474" s="1" t="s">
        <v>788</v>
      </c>
      <c r="E1474" t="s">
        <v>789</v>
      </c>
      <c r="F1474" t="s">
        <v>420</v>
      </c>
      <c r="G1474" s="5">
        <v>590</v>
      </c>
      <c r="H1474" s="5">
        <v>590</v>
      </c>
      <c r="I1474" s="5">
        <v>590</v>
      </c>
      <c r="J1474" s="5">
        <v>0</v>
      </c>
      <c r="K1474" s="8">
        <f t="shared" si="48"/>
        <v>100</v>
      </c>
      <c r="L1474" s="8">
        <f t="shared" si="49"/>
        <v>0</v>
      </c>
      <c r="M1474" t="s">
        <v>20</v>
      </c>
      <c r="N1474" t="s">
        <v>421</v>
      </c>
    </row>
    <row r="1475" spans="1:14" x14ac:dyDescent="0.3">
      <c r="A1475" t="s">
        <v>1829</v>
      </c>
      <c r="B1475" s="2">
        <v>46245</v>
      </c>
      <c r="C1475" s="2">
        <v>46246</v>
      </c>
      <c r="D1475" s="1" t="s">
        <v>788</v>
      </c>
      <c r="E1475" t="s">
        <v>789</v>
      </c>
      <c r="F1475" t="s">
        <v>420</v>
      </c>
      <c r="G1475" s="5">
        <v>530</v>
      </c>
      <c r="H1475" s="5">
        <v>530</v>
      </c>
      <c r="I1475" s="5">
        <v>530</v>
      </c>
      <c r="J1475" s="5">
        <v>0</v>
      </c>
      <c r="K1475" s="8">
        <f t="shared" si="48"/>
        <v>100</v>
      </c>
      <c r="L1475" s="8">
        <f t="shared" si="49"/>
        <v>0</v>
      </c>
      <c r="M1475" t="s">
        <v>20</v>
      </c>
      <c r="N1475" t="s">
        <v>421</v>
      </c>
    </row>
    <row r="1476" spans="1:14" x14ac:dyDescent="0.3">
      <c r="A1476" t="s">
        <v>1830</v>
      </c>
      <c r="B1476" s="2">
        <v>46246</v>
      </c>
      <c r="C1476" s="2">
        <v>46247</v>
      </c>
      <c r="D1476" s="1" t="s">
        <v>788</v>
      </c>
      <c r="E1476" t="s">
        <v>789</v>
      </c>
      <c r="F1476" t="s">
        <v>420</v>
      </c>
      <c r="G1476" s="5">
        <v>650</v>
      </c>
      <c r="H1476" s="5">
        <v>650</v>
      </c>
      <c r="I1476" s="5">
        <v>650</v>
      </c>
      <c r="J1476" s="5">
        <v>0</v>
      </c>
      <c r="K1476" s="8">
        <f t="shared" si="48"/>
        <v>100</v>
      </c>
      <c r="L1476" s="8">
        <f t="shared" si="49"/>
        <v>0</v>
      </c>
      <c r="M1476" t="s">
        <v>20</v>
      </c>
      <c r="N1476" t="s">
        <v>421</v>
      </c>
    </row>
    <row r="1477" spans="1:14" x14ac:dyDescent="0.3">
      <c r="A1477" t="s">
        <v>1831</v>
      </c>
      <c r="B1477" s="2">
        <v>46247</v>
      </c>
      <c r="C1477" s="2">
        <v>46248</v>
      </c>
      <c r="D1477" s="1" t="s">
        <v>788</v>
      </c>
      <c r="E1477" t="s">
        <v>789</v>
      </c>
      <c r="F1477" t="s">
        <v>420</v>
      </c>
      <c r="G1477" s="5">
        <v>730</v>
      </c>
      <c r="H1477" s="5">
        <v>730</v>
      </c>
      <c r="I1477" s="5">
        <v>730</v>
      </c>
      <c r="J1477" s="5">
        <v>0</v>
      </c>
      <c r="K1477" s="8">
        <f t="shared" si="48"/>
        <v>100</v>
      </c>
      <c r="L1477" s="8">
        <f t="shared" si="49"/>
        <v>0</v>
      </c>
      <c r="M1477" t="s">
        <v>20</v>
      </c>
      <c r="N1477" t="s">
        <v>421</v>
      </c>
    </row>
    <row r="1478" spans="1:14" x14ac:dyDescent="0.3">
      <c r="A1478" t="s">
        <v>1832</v>
      </c>
      <c r="B1478" s="2">
        <v>46248</v>
      </c>
      <c r="C1478" s="2">
        <v>46248</v>
      </c>
      <c r="D1478" s="1" t="s">
        <v>788</v>
      </c>
      <c r="E1478" t="s">
        <v>789</v>
      </c>
      <c r="F1478" t="s">
        <v>420</v>
      </c>
      <c r="G1478" s="5">
        <v>740</v>
      </c>
      <c r="H1478" s="5">
        <v>740</v>
      </c>
      <c r="I1478" s="5">
        <v>740</v>
      </c>
      <c r="J1478" s="5">
        <v>0</v>
      </c>
      <c r="K1478" s="8">
        <f t="shared" si="48"/>
        <v>100</v>
      </c>
      <c r="L1478" s="8">
        <f t="shared" si="49"/>
        <v>0</v>
      </c>
      <c r="M1478" t="s">
        <v>20</v>
      </c>
      <c r="N1478" t="s">
        <v>421</v>
      </c>
    </row>
    <row r="1479" spans="1:14" x14ac:dyDescent="0.3">
      <c r="A1479" t="s">
        <v>1833</v>
      </c>
      <c r="B1479" s="2">
        <v>46251</v>
      </c>
      <c r="C1479" s="2">
        <v>46251</v>
      </c>
      <c r="D1479" s="1" t="s">
        <v>788</v>
      </c>
      <c r="E1479" t="s">
        <v>789</v>
      </c>
      <c r="F1479" t="s">
        <v>420</v>
      </c>
      <c r="G1479" s="5">
        <v>630</v>
      </c>
      <c r="H1479" s="5">
        <v>630</v>
      </c>
      <c r="I1479" s="5">
        <v>630</v>
      </c>
      <c r="J1479" s="5">
        <v>0</v>
      </c>
      <c r="K1479" s="8">
        <f t="shared" si="48"/>
        <v>100</v>
      </c>
      <c r="L1479" s="8">
        <f t="shared" si="49"/>
        <v>0</v>
      </c>
      <c r="M1479" t="s">
        <v>20</v>
      </c>
      <c r="N1479" t="s">
        <v>421</v>
      </c>
    </row>
    <row r="1480" spans="1:14" x14ac:dyDescent="0.3">
      <c r="A1480" t="s">
        <v>1834</v>
      </c>
      <c r="B1480" s="2">
        <v>46252</v>
      </c>
      <c r="C1480" s="2">
        <v>46254</v>
      </c>
      <c r="D1480" s="1" t="s">
        <v>788</v>
      </c>
      <c r="E1480" t="s">
        <v>789</v>
      </c>
      <c r="F1480" t="s">
        <v>420</v>
      </c>
      <c r="G1480" s="5">
        <v>660</v>
      </c>
      <c r="H1480" s="5">
        <v>660</v>
      </c>
      <c r="I1480" s="5">
        <v>660</v>
      </c>
      <c r="J1480" s="5">
        <v>0</v>
      </c>
      <c r="K1480" s="8">
        <f t="shared" si="48"/>
        <v>100</v>
      </c>
      <c r="L1480" s="8">
        <f t="shared" si="49"/>
        <v>0</v>
      </c>
      <c r="M1480" t="s">
        <v>20</v>
      </c>
      <c r="N1480" t="s">
        <v>421</v>
      </c>
    </row>
    <row r="1481" spans="1:14" x14ac:dyDescent="0.3">
      <c r="A1481" t="s">
        <v>1398</v>
      </c>
      <c r="B1481" s="2">
        <v>46239</v>
      </c>
      <c r="C1481" s="2">
        <v>46240</v>
      </c>
      <c r="D1481" s="1" t="s">
        <v>805</v>
      </c>
      <c r="E1481" t="s">
        <v>806</v>
      </c>
      <c r="F1481" t="s">
        <v>420</v>
      </c>
      <c r="G1481" s="5">
        <v>1138</v>
      </c>
      <c r="H1481" s="5">
        <v>1138</v>
      </c>
      <c r="I1481" s="5">
        <v>1138</v>
      </c>
      <c r="J1481" s="5">
        <v>0</v>
      </c>
      <c r="K1481" s="8">
        <f t="shared" si="48"/>
        <v>100</v>
      </c>
      <c r="L1481" s="8">
        <f t="shared" si="49"/>
        <v>0</v>
      </c>
      <c r="M1481" t="s">
        <v>20</v>
      </c>
      <c r="N1481" t="s">
        <v>421</v>
      </c>
    </row>
    <row r="1482" spans="1:14" x14ac:dyDescent="0.3">
      <c r="A1482" t="s">
        <v>1835</v>
      </c>
      <c r="B1482" s="2">
        <v>46241</v>
      </c>
      <c r="C1482" s="2">
        <v>46244</v>
      </c>
      <c r="D1482" s="1" t="s">
        <v>805</v>
      </c>
      <c r="E1482" t="s">
        <v>806</v>
      </c>
      <c r="F1482" t="s">
        <v>420</v>
      </c>
      <c r="G1482" s="5">
        <v>1498</v>
      </c>
      <c r="H1482" s="5">
        <v>1498</v>
      </c>
      <c r="I1482" s="5">
        <v>1498</v>
      </c>
      <c r="J1482" s="5">
        <v>0</v>
      </c>
      <c r="K1482" s="8">
        <f t="shared" si="48"/>
        <v>100</v>
      </c>
      <c r="L1482" s="8">
        <f t="shared" si="49"/>
        <v>0</v>
      </c>
      <c r="M1482" t="s">
        <v>20</v>
      </c>
      <c r="N1482" t="s">
        <v>421</v>
      </c>
    </row>
    <row r="1483" spans="1:14" x14ac:dyDescent="0.3">
      <c r="A1483" t="s">
        <v>1836</v>
      </c>
      <c r="B1483" s="2">
        <v>46244</v>
      </c>
      <c r="C1483" s="2">
        <v>46245</v>
      </c>
      <c r="D1483" s="1" t="s">
        <v>805</v>
      </c>
      <c r="E1483" t="s">
        <v>806</v>
      </c>
      <c r="F1483" t="s">
        <v>420</v>
      </c>
      <c r="G1483" s="5">
        <v>1044</v>
      </c>
      <c r="H1483" s="5">
        <v>1044</v>
      </c>
      <c r="I1483" s="5">
        <v>1044</v>
      </c>
      <c r="J1483" s="5">
        <v>0</v>
      </c>
      <c r="K1483" s="8">
        <f t="shared" si="48"/>
        <v>100</v>
      </c>
      <c r="L1483" s="8">
        <f t="shared" si="49"/>
        <v>0</v>
      </c>
      <c r="M1483" t="s">
        <v>20</v>
      </c>
      <c r="N1483" t="s">
        <v>421</v>
      </c>
    </row>
    <row r="1484" spans="1:14" x14ac:dyDescent="0.3">
      <c r="A1484" t="s">
        <v>1837</v>
      </c>
      <c r="B1484" s="2">
        <v>46245</v>
      </c>
      <c r="C1484" s="2">
        <v>46246</v>
      </c>
      <c r="D1484" s="1" t="s">
        <v>805</v>
      </c>
      <c r="E1484" t="s">
        <v>806</v>
      </c>
      <c r="F1484" t="s">
        <v>420</v>
      </c>
      <c r="G1484" s="5">
        <v>1052</v>
      </c>
      <c r="H1484" s="5">
        <v>1052</v>
      </c>
      <c r="I1484" s="5">
        <v>1052</v>
      </c>
      <c r="J1484" s="5">
        <v>0</v>
      </c>
      <c r="K1484" s="8">
        <f t="shared" si="48"/>
        <v>100</v>
      </c>
      <c r="L1484" s="8">
        <f t="shared" si="49"/>
        <v>0</v>
      </c>
      <c r="M1484" t="s">
        <v>20</v>
      </c>
      <c r="N1484" t="s">
        <v>421</v>
      </c>
    </row>
    <row r="1485" spans="1:14" x14ac:dyDescent="0.3">
      <c r="A1485" t="s">
        <v>1838</v>
      </c>
      <c r="B1485" s="2">
        <v>46246</v>
      </c>
      <c r="C1485" s="2">
        <v>46247</v>
      </c>
      <c r="D1485" s="1" t="s">
        <v>805</v>
      </c>
      <c r="E1485" t="s">
        <v>806</v>
      </c>
      <c r="F1485" t="s">
        <v>420</v>
      </c>
      <c r="G1485" s="5">
        <v>1416</v>
      </c>
      <c r="H1485" s="5">
        <v>1416</v>
      </c>
      <c r="I1485" s="5">
        <v>1416</v>
      </c>
      <c r="J1485" s="5">
        <v>0</v>
      </c>
      <c r="K1485" s="8">
        <f t="shared" si="48"/>
        <v>100</v>
      </c>
      <c r="L1485" s="8">
        <f t="shared" si="49"/>
        <v>0</v>
      </c>
      <c r="M1485" t="s">
        <v>20</v>
      </c>
      <c r="N1485" t="s">
        <v>421</v>
      </c>
    </row>
    <row r="1486" spans="1:14" x14ac:dyDescent="0.3">
      <c r="A1486" t="s">
        <v>1839</v>
      </c>
      <c r="B1486" s="2">
        <v>46247</v>
      </c>
      <c r="C1486" s="2">
        <v>46248</v>
      </c>
      <c r="D1486" s="1" t="s">
        <v>805</v>
      </c>
      <c r="E1486" t="s">
        <v>806</v>
      </c>
      <c r="F1486" t="s">
        <v>420</v>
      </c>
      <c r="G1486" s="5">
        <v>1318</v>
      </c>
      <c r="H1486" s="5">
        <v>1318</v>
      </c>
      <c r="I1486" s="5">
        <v>1318</v>
      </c>
      <c r="J1486" s="5">
        <v>0</v>
      </c>
      <c r="K1486" s="8">
        <f t="shared" si="48"/>
        <v>100</v>
      </c>
      <c r="L1486" s="8">
        <f t="shared" si="49"/>
        <v>0</v>
      </c>
      <c r="M1486" t="s">
        <v>20</v>
      </c>
      <c r="N1486" t="s">
        <v>421</v>
      </c>
    </row>
    <row r="1487" spans="1:14" x14ac:dyDescent="0.3">
      <c r="A1487" t="s">
        <v>1840</v>
      </c>
      <c r="B1487" s="2">
        <v>46251</v>
      </c>
      <c r="C1487" s="2">
        <v>46254</v>
      </c>
      <c r="D1487" s="1" t="s">
        <v>805</v>
      </c>
      <c r="E1487" t="s">
        <v>806</v>
      </c>
      <c r="F1487" t="s">
        <v>420</v>
      </c>
      <c r="G1487" s="5">
        <v>1380</v>
      </c>
      <c r="H1487" s="5">
        <v>1380</v>
      </c>
      <c r="I1487" s="5">
        <v>1380</v>
      </c>
      <c r="J1487" s="5">
        <v>0</v>
      </c>
      <c r="K1487" s="8">
        <f t="shared" si="48"/>
        <v>100</v>
      </c>
      <c r="L1487" s="8">
        <f t="shared" si="49"/>
        <v>0</v>
      </c>
      <c r="M1487" t="s">
        <v>20</v>
      </c>
      <c r="N1487" t="s">
        <v>421</v>
      </c>
    </row>
    <row r="1488" spans="1:14" x14ac:dyDescent="0.3">
      <c r="A1488" t="s">
        <v>1841</v>
      </c>
      <c r="B1488" s="2">
        <v>46252</v>
      </c>
      <c r="C1488" s="2">
        <v>46252</v>
      </c>
      <c r="D1488" s="1" t="s">
        <v>805</v>
      </c>
      <c r="E1488" t="s">
        <v>806</v>
      </c>
      <c r="F1488" t="s">
        <v>420</v>
      </c>
      <c r="G1488" s="5">
        <v>1221</v>
      </c>
      <c r="H1488" s="5">
        <v>1221</v>
      </c>
      <c r="I1488" s="5">
        <v>1221</v>
      </c>
      <c r="J1488" s="5">
        <v>0</v>
      </c>
      <c r="K1488" s="8">
        <f t="shared" si="48"/>
        <v>100</v>
      </c>
      <c r="L1488" s="8">
        <f t="shared" si="49"/>
        <v>0</v>
      </c>
      <c r="M1488" t="s">
        <v>20</v>
      </c>
      <c r="N1488" t="s">
        <v>421</v>
      </c>
    </row>
    <row r="1489" spans="1:14" x14ac:dyDescent="0.3">
      <c r="A1489" t="s">
        <v>1842</v>
      </c>
      <c r="B1489" s="2">
        <v>46248</v>
      </c>
      <c r="C1489" s="2">
        <v>46248</v>
      </c>
      <c r="D1489" s="1" t="s">
        <v>1843</v>
      </c>
      <c r="E1489" t="s">
        <v>1844</v>
      </c>
      <c r="F1489" t="s">
        <v>420</v>
      </c>
      <c r="G1489" s="5">
        <v>105</v>
      </c>
      <c r="H1489" s="5">
        <v>105</v>
      </c>
      <c r="I1489" s="5">
        <v>105</v>
      </c>
      <c r="J1489" s="5">
        <v>0</v>
      </c>
      <c r="K1489" s="8">
        <f t="shared" si="48"/>
        <v>100</v>
      </c>
      <c r="L1489" s="8">
        <f t="shared" si="49"/>
        <v>0</v>
      </c>
      <c r="M1489" t="s">
        <v>20</v>
      </c>
      <c r="N1489" t="s">
        <v>421</v>
      </c>
    </row>
    <row r="1490" spans="1:14" x14ac:dyDescent="0.3">
      <c r="A1490" t="s">
        <v>1845</v>
      </c>
      <c r="B1490" s="2">
        <v>46245</v>
      </c>
      <c r="C1490" s="2">
        <v>46246</v>
      </c>
      <c r="D1490" s="1" t="s">
        <v>819</v>
      </c>
      <c r="E1490" t="s">
        <v>820</v>
      </c>
      <c r="F1490" t="s">
        <v>532</v>
      </c>
      <c r="G1490" s="5">
        <v>1452</v>
      </c>
      <c r="H1490" s="5">
        <v>1420</v>
      </c>
      <c r="I1490" s="5">
        <v>1400</v>
      </c>
      <c r="J1490" s="5">
        <v>20</v>
      </c>
      <c r="K1490" s="8">
        <f t="shared" si="48"/>
        <v>97.796143250688701</v>
      </c>
      <c r="L1490" s="8">
        <f t="shared" si="49"/>
        <v>1.4285714285714286</v>
      </c>
      <c r="M1490" t="s">
        <v>20</v>
      </c>
      <c r="N1490" t="s">
        <v>421</v>
      </c>
    </row>
    <row r="1491" spans="1:14" x14ac:dyDescent="0.3">
      <c r="A1491" t="s">
        <v>1846</v>
      </c>
      <c r="B1491" s="2">
        <v>46240</v>
      </c>
      <c r="C1491" s="2">
        <v>46246</v>
      </c>
      <c r="D1491" s="1" t="s">
        <v>830</v>
      </c>
      <c r="E1491" t="s">
        <v>831</v>
      </c>
      <c r="F1491" t="s">
        <v>438</v>
      </c>
      <c r="G1491" s="5">
        <v>660</v>
      </c>
      <c r="H1491" s="5">
        <v>610</v>
      </c>
      <c r="I1491" s="5">
        <v>610</v>
      </c>
      <c r="J1491" s="5">
        <v>0</v>
      </c>
      <c r="K1491" s="8">
        <f t="shared" si="48"/>
        <v>92.424242424242422</v>
      </c>
      <c r="L1491" s="8">
        <f t="shared" si="49"/>
        <v>0</v>
      </c>
      <c r="M1491" t="s">
        <v>20</v>
      </c>
      <c r="N1491" t="s">
        <v>421</v>
      </c>
    </row>
    <row r="1492" spans="1:14" x14ac:dyDescent="0.3">
      <c r="A1492" t="s">
        <v>1847</v>
      </c>
      <c r="B1492" s="2">
        <v>46247</v>
      </c>
      <c r="C1492" s="2">
        <v>46251</v>
      </c>
      <c r="D1492" s="1" t="s">
        <v>830</v>
      </c>
      <c r="E1492" t="s">
        <v>831</v>
      </c>
      <c r="F1492" t="s">
        <v>438</v>
      </c>
      <c r="G1492" s="5">
        <v>330</v>
      </c>
      <c r="H1492" s="5">
        <v>326</v>
      </c>
      <c r="I1492" s="5">
        <v>300</v>
      </c>
      <c r="J1492" s="5">
        <v>26</v>
      </c>
      <c r="K1492" s="8">
        <f t="shared" si="48"/>
        <v>98.787878787878796</v>
      </c>
      <c r="L1492" s="8">
        <f t="shared" si="49"/>
        <v>8.6666666666666679</v>
      </c>
      <c r="M1492" t="s">
        <v>20</v>
      </c>
      <c r="N1492" t="s">
        <v>421</v>
      </c>
    </row>
    <row r="1493" spans="1:14" x14ac:dyDescent="0.3">
      <c r="A1493" t="s">
        <v>1848</v>
      </c>
      <c r="B1493" s="2">
        <v>46239</v>
      </c>
      <c r="C1493" s="2">
        <v>46240</v>
      </c>
      <c r="D1493" s="1" t="s">
        <v>1849</v>
      </c>
      <c r="E1493" t="s">
        <v>1850</v>
      </c>
      <c r="F1493" t="s">
        <v>495</v>
      </c>
      <c r="G1493" s="5">
        <v>200</v>
      </c>
      <c r="H1493" s="5">
        <v>205</v>
      </c>
      <c r="I1493" s="5">
        <v>200</v>
      </c>
      <c r="J1493" s="5">
        <v>5</v>
      </c>
      <c r="K1493" s="8">
        <f t="shared" si="48"/>
        <v>102.49999999999999</v>
      </c>
      <c r="L1493" s="8">
        <f t="shared" si="49"/>
        <v>2.5</v>
      </c>
      <c r="M1493" t="s">
        <v>20</v>
      </c>
      <c r="N1493" t="s">
        <v>421</v>
      </c>
    </row>
    <row r="1494" spans="1:14" x14ac:dyDescent="0.3">
      <c r="A1494" t="s">
        <v>1405</v>
      </c>
      <c r="B1494" s="2">
        <v>46239</v>
      </c>
      <c r="C1494" s="2">
        <v>46240</v>
      </c>
      <c r="D1494" s="1" t="s">
        <v>833</v>
      </c>
      <c r="E1494" t="s">
        <v>834</v>
      </c>
      <c r="F1494" t="s">
        <v>425</v>
      </c>
      <c r="G1494" s="5">
        <v>2160</v>
      </c>
      <c r="H1494" s="5">
        <v>1350</v>
      </c>
      <c r="I1494" s="5">
        <v>1180</v>
      </c>
      <c r="J1494" s="5">
        <v>170</v>
      </c>
      <c r="K1494" s="8">
        <f t="shared" si="48"/>
        <v>62.5</v>
      </c>
      <c r="L1494" s="8">
        <f t="shared" si="49"/>
        <v>14.40677966101695</v>
      </c>
      <c r="M1494" t="s">
        <v>20</v>
      </c>
      <c r="N1494" t="s">
        <v>421</v>
      </c>
    </row>
    <row r="1495" spans="1:14" x14ac:dyDescent="0.3">
      <c r="A1495" t="s">
        <v>1851</v>
      </c>
      <c r="B1495" s="2">
        <v>46244</v>
      </c>
      <c r="C1495" s="2">
        <v>46246</v>
      </c>
      <c r="D1495" s="1" t="s">
        <v>833</v>
      </c>
      <c r="E1495" t="s">
        <v>834</v>
      </c>
      <c r="F1495" t="s">
        <v>425</v>
      </c>
      <c r="G1495" s="5">
        <v>2160</v>
      </c>
      <c r="H1495" s="5">
        <v>1801</v>
      </c>
      <c r="I1495" s="5">
        <v>1760</v>
      </c>
      <c r="J1495" s="5">
        <v>41</v>
      </c>
      <c r="K1495" s="8">
        <f t="shared" si="48"/>
        <v>83.379629629629619</v>
      </c>
      <c r="L1495" s="8">
        <f t="shared" si="49"/>
        <v>2.3295454545454546</v>
      </c>
      <c r="M1495" t="s">
        <v>20</v>
      </c>
      <c r="N1495" t="s">
        <v>421</v>
      </c>
    </row>
    <row r="1496" spans="1:14" x14ac:dyDescent="0.3">
      <c r="A1496" t="s">
        <v>1852</v>
      </c>
      <c r="B1496" s="2">
        <v>46245</v>
      </c>
      <c r="C1496" s="2">
        <v>46247</v>
      </c>
      <c r="D1496" s="1" t="s">
        <v>833</v>
      </c>
      <c r="E1496" t="s">
        <v>834</v>
      </c>
      <c r="F1496" t="s">
        <v>425</v>
      </c>
      <c r="G1496" s="5">
        <v>2160</v>
      </c>
      <c r="H1496" s="5">
        <v>1414</v>
      </c>
      <c r="I1496" s="5">
        <v>1380</v>
      </c>
      <c r="J1496" s="5">
        <v>34</v>
      </c>
      <c r="K1496" s="8">
        <f t="shared" si="48"/>
        <v>65.462962962962962</v>
      </c>
      <c r="L1496" s="8">
        <f t="shared" si="49"/>
        <v>2.4637681159420293</v>
      </c>
      <c r="M1496" t="s">
        <v>20</v>
      </c>
      <c r="N1496" t="s">
        <v>421</v>
      </c>
    </row>
    <row r="1497" spans="1:14" x14ac:dyDescent="0.3">
      <c r="A1497" t="s">
        <v>1853</v>
      </c>
      <c r="B1497" s="2">
        <v>46247</v>
      </c>
      <c r="C1497" s="2">
        <v>46248</v>
      </c>
      <c r="D1497" s="1" t="s">
        <v>833</v>
      </c>
      <c r="E1497" t="s">
        <v>834</v>
      </c>
      <c r="F1497" t="s">
        <v>425</v>
      </c>
      <c r="G1497" s="5">
        <v>2160</v>
      </c>
      <c r="H1497" s="5">
        <v>1725</v>
      </c>
      <c r="I1497" s="5">
        <v>1620</v>
      </c>
      <c r="J1497" s="5">
        <v>105</v>
      </c>
      <c r="K1497" s="8">
        <f t="shared" si="48"/>
        <v>79.861111111111114</v>
      </c>
      <c r="L1497" s="8">
        <f t="shared" si="49"/>
        <v>6.481481481481481</v>
      </c>
      <c r="M1497" t="s">
        <v>20</v>
      </c>
      <c r="N1497" t="s">
        <v>421</v>
      </c>
    </row>
    <row r="1498" spans="1:14" x14ac:dyDescent="0.3">
      <c r="A1498" t="s">
        <v>1411</v>
      </c>
      <c r="B1498" s="2">
        <v>46239</v>
      </c>
      <c r="C1498" s="2">
        <v>46240</v>
      </c>
      <c r="D1498" s="1" t="s">
        <v>840</v>
      </c>
      <c r="E1498" t="s">
        <v>841</v>
      </c>
      <c r="F1498" t="s">
        <v>425</v>
      </c>
      <c r="G1498" s="5">
        <v>3400</v>
      </c>
      <c r="H1498" s="5">
        <v>3170</v>
      </c>
      <c r="I1498" s="5">
        <v>3045</v>
      </c>
      <c r="J1498" s="5">
        <v>125</v>
      </c>
      <c r="K1498" s="8">
        <f t="shared" si="48"/>
        <v>93.235294117647058</v>
      </c>
      <c r="L1498" s="8">
        <f t="shared" si="49"/>
        <v>4.1050903119868636</v>
      </c>
      <c r="M1498" t="s">
        <v>20</v>
      </c>
      <c r="N1498" t="s">
        <v>421</v>
      </c>
    </row>
    <row r="1499" spans="1:14" x14ac:dyDescent="0.3">
      <c r="A1499" t="s">
        <v>1854</v>
      </c>
      <c r="B1499" s="2">
        <v>46240</v>
      </c>
      <c r="C1499" s="2">
        <v>46253</v>
      </c>
      <c r="D1499" s="1" t="s">
        <v>840</v>
      </c>
      <c r="E1499" t="s">
        <v>841</v>
      </c>
      <c r="F1499" t="s">
        <v>425</v>
      </c>
      <c r="G1499" s="5">
        <v>5100</v>
      </c>
      <c r="H1499" s="5">
        <v>4525</v>
      </c>
      <c r="I1499" s="5">
        <v>4365</v>
      </c>
      <c r="J1499" s="5">
        <v>160</v>
      </c>
      <c r="K1499" s="8">
        <f t="shared" si="48"/>
        <v>88.725490196078425</v>
      </c>
      <c r="L1499" s="8">
        <f t="shared" si="49"/>
        <v>3.6655211912943875</v>
      </c>
      <c r="M1499" t="s">
        <v>20</v>
      </c>
      <c r="N1499" t="s">
        <v>421</v>
      </c>
    </row>
    <row r="1500" spans="1:14" x14ac:dyDescent="0.3">
      <c r="A1500" t="s">
        <v>1855</v>
      </c>
      <c r="B1500" s="2">
        <v>46244</v>
      </c>
      <c r="C1500" s="2">
        <v>46245</v>
      </c>
      <c r="D1500" s="1" t="s">
        <v>840</v>
      </c>
      <c r="E1500" t="s">
        <v>841</v>
      </c>
      <c r="F1500" t="s">
        <v>425</v>
      </c>
      <c r="G1500" s="5">
        <v>3400</v>
      </c>
      <c r="H1500" s="5">
        <v>3078</v>
      </c>
      <c r="I1500" s="5">
        <v>3000</v>
      </c>
      <c r="J1500" s="5">
        <v>78</v>
      </c>
      <c r="K1500" s="8">
        <f t="shared" si="48"/>
        <v>90.529411764705884</v>
      </c>
      <c r="L1500" s="8">
        <f t="shared" si="49"/>
        <v>2.6</v>
      </c>
      <c r="M1500" t="s">
        <v>20</v>
      </c>
      <c r="N1500" t="s">
        <v>421</v>
      </c>
    </row>
    <row r="1501" spans="1:14" x14ac:dyDescent="0.3">
      <c r="A1501" t="s">
        <v>1856</v>
      </c>
      <c r="B1501" s="2">
        <v>46245</v>
      </c>
      <c r="C1501" s="2">
        <v>46247</v>
      </c>
      <c r="D1501" s="1" t="s">
        <v>840</v>
      </c>
      <c r="E1501" t="s">
        <v>841</v>
      </c>
      <c r="F1501" t="s">
        <v>425</v>
      </c>
      <c r="G1501" s="5">
        <v>3400</v>
      </c>
      <c r="H1501" s="5">
        <v>3827</v>
      </c>
      <c r="I1501" s="5">
        <v>3195</v>
      </c>
      <c r="J1501" s="5">
        <v>632</v>
      </c>
      <c r="K1501" s="8">
        <f t="shared" si="48"/>
        <v>112.55882352941175</v>
      </c>
      <c r="L1501" s="8">
        <f t="shared" si="49"/>
        <v>19.780907668231613</v>
      </c>
      <c r="M1501" t="s">
        <v>20</v>
      </c>
      <c r="N1501" t="s">
        <v>421</v>
      </c>
    </row>
    <row r="1502" spans="1:14" x14ac:dyDescent="0.3">
      <c r="A1502" t="s">
        <v>1857</v>
      </c>
      <c r="B1502" s="2">
        <v>46246</v>
      </c>
      <c r="C1502" s="2">
        <v>46248</v>
      </c>
      <c r="D1502" s="1" t="s">
        <v>840</v>
      </c>
      <c r="E1502" t="s">
        <v>841</v>
      </c>
      <c r="F1502" t="s">
        <v>425</v>
      </c>
      <c r="G1502" s="5">
        <v>5100</v>
      </c>
      <c r="H1502" s="5">
        <v>4755</v>
      </c>
      <c r="I1502" s="5">
        <v>4635</v>
      </c>
      <c r="J1502" s="5">
        <v>120</v>
      </c>
      <c r="K1502" s="8">
        <f t="shared" si="48"/>
        <v>93.235294117647058</v>
      </c>
      <c r="L1502" s="8">
        <f t="shared" si="49"/>
        <v>2.5889967637540456</v>
      </c>
      <c r="M1502" t="s">
        <v>20</v>
      </c>
      <c r="N1502" t="s">
        <v>421</v>
      </c>
    </row>
    <row r="1503" spans="1:14" x14ac:dyDescent="0.3">
      <c r="A1503" t="s">
        <v>1858</v>
      </c>
      <c r="B1503" s="2">
        <v>46248</v>
      </c>
      <c r="C1503" s="2">
        <v>46251</v>
      </c>
      <c r="D1503" s="1" t="s">
        <v>840</v>
      </c>
      <c r="E1503" t="s">
        <v>841</v>
      </c>
      <c r="F1503" t="s">
        <v>425</v>
      </c>
      <c r="G1503" s="5">
        <v>1700</v>
      </c>
      <c r="H1503" s="5">
        <v>1713</v>
      </c>
      <c r="I1503" s="5">
        <v>1320</v>
      </c>
      <c r="J1503" s="5">
        <v>393</v>
      </c>
      <c r="K1503" s="8">
        <f t="shared" si="48"/>
        <v>100.76470588235293</v>
      </c>
      <c r="L1503" s="8">
        <f t="shared" si="49"/>
        <v>29.772727272727273</v>
      </c>
      <c r="M1503" t="s">
        <v>20</v>
      </c>
      <c r="N1503" t="s">
        <v>421</v>
      </c>
    </row>
    <row r="1504" spans="1:14" x14ac:dyDescent="0.3">
      <c r="A1504" t="s">
        <v>1859</v>
      </c>
      <c r="B1504" s="2">
        <v>46244</v>
      </c>
      <c r="C1504" s="2">
        <v>46245</v>
      </c>
      <c r="D1504" s="1" t="s">
        <v>847</v>
      </c>
      <c r="E1504" t="s">
        <v>848</v>
      </c>
      <c r="F1504" t="s">
        <v>425</v>
      </c>
      <c r="G1504" s="5">
        <v>1770</v>
      </c>
      <c r="H1504" s="5">
        <v>1645</v>
      </c>
      <c r="I1504" s="5">
        <v>1620</v>
      </c>
      <c r="J1504" s="5">
        <v>25</v>
      </c>
      <c r="K1504" s="8">
        <f t="shared" si="48"/>
        <v>92.937853107344637</v>
      </c>
      <c r="L1504" s="8">
        <f t="shared" si="49"/>
        <v>1.5432098765432098</v>
      </c>
      <c r="M1504" t="s">
        <v>20</v>
      </c>
      <c r="N1504" t="s">
        <v>421</v>
      </c>
    </row>
    <row r="1505" spans="1:14" x14ac:dyDescent="0.3">
      <c r="A1505" t="s">
        <v>1860</v>
      </c>
      <c r="B1505" s="2">
        <v>46244</v>
      </c>
      <c r="C1505" s="2">
        <v>46251</v>
      </c>
      <c r="D1505" s="1" t="s">
        <v>1861</v>
      </c>
      <c r="E1505" t="s">
        <v>1862</v>
      </c>
      <c r="F1505" t="s">
        <v>438</v>
      </c>
      <c r="G1505" s="5">
        <v>3380</v>
      </c>
      <c r="H1505" s="5">
        <v>3250</v>
      </c>
      <c r="I1505" s="5">
        <v>3120</v>
      </c>
      <c r="J1505" s="5">
        <v>130</v>
      </c>
      <c r="K1505" s="8">
        <f t="shared" si="48"/>
        <v>96.15384615384616</v>
      </c>
      <c r="L1505" s="8">
        <f t="shared" si="49"/>
        <v>4.1666666666666661</v>
      </c>
      <c r="M1505" t="s">
        <v>20</v>
      </c>
      <c r="N1505" t="s">
        <v>421</v>
      </c>
    </row>
    <row r="1506" spans="1:14" x14ac:dyDescent="0.3">
      <c r="A1506" t="s">
        <v>1863</v>
      </c>
      <c r="B1506" s="2">
        <v>46244</v>
      </c>
      <c r="C1506" s="2">
        <v>46247</v>
      </c>
      <c r="D1506" s="1" t="s">
        <v>852</v>
      </c>
      <c r="E1506" t="s">
        <v>853</v>
      </c>
      <c r="F1506" t="s">
        <v>425</v>
      </c>
      <c r="G1506" s="5">
        <v>2446</v>
      </c>
      <c r="H1506" s="5">
        <v>1933</v>
      </c>
      <c r="I1506" s="5">
        <v>1920</v>
      </c>
      <c r="J1506" s="5">
        <v>13</v>
      </c>
      <c r="K1506" s="8">
        <f t="shared" si="48"/>
        <v>79.026982829108746</v>
      </c>
      <c r="L1506" s="8">
        <f t="shared" si="49"/>
        <v>0.67708333333333337</v>
      </c>
      <c r="M1506" t="s">
        <v>20</v>
      </c>
      <c r="N1506" t="s">
        <v>421</v>
      </c>
    </row>
    <row r="1507" spans="1:14" x14ac:dyDescent="0.3">
      <c r="A1507" t="s">
        <v>1864</v>
      </c>
      <c r="B1507" s="2">
        <v>46245</v>
      </c>
      <c r="C1507" s="2">
        <v>46251</v>
      </c>
      <c r="D1507" s="1" t="s">
        <v>852</v>
      </c>
      <c r="E1507" t="s">
        <v>853</v>
      </c>
      <c r="F1507" t="s">
        <v>425</v>
      </c>
      <c r="G1507" s="5">
        <v>2446</v>
      </c>
      <c r="H1507" s="5">
        <v>1122</v>
      </c>
      <c r="I1507" s="5">
        <v>1070</v>
      </c>
      <c r="J1507" s="5">
        <v>52</v>
      </c>
      <c r="K1507" s="8">
        <f t="shared" si="48"/>
        <v>45.870809484873263</v>
      </c>
      <c r="L1507" s="8">
        <f t="shared" si="49"/>
        <v>4.8598130841121492</v>
      </c>
      <c r="M1507" t="s">
        <v>20</v>
      </c>
      <c r="N1507" t="s">
        <v>421</v>
      </c>
    </row>
    <row r="1508" spans="1:14" x14ac:dyDescent="0.3">
      <c r="A1508" t="s">
        <v>1865</v>
      </c>
      <c r="B1508" s="2">
        <v>46252</v>
      </c>
      <c r="C1508" s="2">
        <v>46254</v>
      </c>
      <c r="D1508" s="1" t="s">
        <v>852</v>
      </c>
      <c r="E1508" t="s">
        <v>853</v>
      </c>
      <c r="F1508" t="s">
        <v>425</v>
      </c>
      <c r="G1508" s="5">
        <v>2446</v>
      </c>
      <c r="H1508" s="5">
        <v>2195</v>
      </c>
      <c r="I1508" s="5">
        <v>2070</v>
      </c>
      <c r="J1508" s="5">
        <v>125</v>
      </c>
      <c r="K1508" s="8">
        <f t="shared" si="48"/>
        <v>89.738348323793943</v>
      </c>
      <c r="L1508" s="8">
        <f t="shared" si="49"/>
        <v>6.0386473429951693</v>
      </c>
      <c r="M1508" t="s">
        <v>20</v>
      </c>
      <c r="N1508" t="s">
        <v>421</v>
      </c>
    </row>
    <row r="1509" spans="1:14" x14ac:dyDescent="0.3">
      <c r="A1509" t="s">
        <v>1866</v>
      </c>
      <c r="B1509" s="2">
        <v>46240</v>
      </c>
      <c r="C1509" s="2">
        <v>46241</v>
      </c>
      <c r="D1509" s="1" t="s">
        <v>860</v>
      </c>
      <c r="E1509" t="s">
        <v>861</v>
      </c>
      <c r="F1509" t="s">
        <v>495</v>
      </c>
      <c r="G1509" s="5">
        <v>1372</v>
      </c>
      <c r="H1509" s="5">
        <v>1575</v>
      </c>
      <c r="I1509" s="5">
        <v>1536</v>
      </c>
      <c r="J1509" s="5">
        <v>39</v>
      </c>
      <c r="K1509" s="8">
        <f t="shared" si="48"/>
        <v>114.79591836734696</v>
      </c>
      <c r="L1509" s="8">
        <f t="shared" si="49"/>
        <v>2.5390625</v>
      </c>
      <c r="M1509" t="s">
        <v>20</v>
      </c>
      <c r="N1509" t="s">
        <v>421</v>
      </c>
    </row>
    <row r="1510" spans="1:14" x14ac:dyDescent="0.3">
      <c r="A1510" t="s">
        <v>1867</v>
      </c>
      <c r="B1510" s="2">
        <v>46244</v>
      </c>
      <c r="C1510" s="2">
        <v>46245</v>
      </c>
      <c r="D1510" s="1" t="s">
        <v>860</v>
      </c>
      <c r="E1510" t="s">
        <v>861</v>
      </c>
      <c r="F1510" t="s">
        <v>495</v>
      </c>
      <c r="G1510" s="5">
        <v>1372</v>
      </c>
      <c r="H1510" s="5">
        <v>1395</v>
      </c>
      <c r="I1510" s="5">
        <v>1380</v>
      </c>
      <c r="J1510" s="5">
        <v>15</v>
      </c>
      <c r="K1510" s="8">
        <f t="shared" si="48"/>
        <v>101.67638483965014</v>
      </c>
      <c r="L1510" s="8">
        <f t="shared" si="49"/>
        <v>1.0869565217391304</v>
      </c>
      <c r="M1510" t="s">
        <v>20</v>
      </c>
      <c r="N1510" t="s">
        <v>421</v>
      </c>
    </row>
    <row r="1511" spans="1:14" x14ac:dyDescent="0.3">
      <c r="A1511" t="s">
        <v>1868</v>
      </c>
      <c r="B1511" s="2">
        <v>46240</v>
      </c>
      <c r="C1511" s="2">
        <v>46241</v>
      </c>
      <c r="D1511" s="1" t="s">
        <v>870</v>
      </c>
      <c r="E1511" t="s">
        <v>871</v>
      </c>
      <c r="F1511" t="s">
        <v>495</v>
      </c>
      <c r="G1511" s="5">
        <v>3096</v>
      </c>
      <c r="H1511" s="5">
        <v>3120</v>
      </c>
      <c r="I1511" s="5">
        <v>3090</v>
      </c>
      <c r="J1511" s="5">
        <v>30</v>
      </c>
      <c r="K1511" s="8">
        <f t="shared" si="48"/>
        <v>100.77519379844961</v>
      </c>
      <c r="L1511" s="8">
        <f t="shared" si="49"/>
        <v>0.97087378640776689</v>
      </c>
      <c r="M1511" t="s">
        <v>20</v>
      </c>
      <c r="N1511" t="s">
        <v>421</v>
      </c>
    </row>
    <row r="1512" spans="1:14" x14ac:dyDescent="0.3">
      <c r="A1512" t="s">
        <v>1869</v>
      </c>
      <c r="B1512" s="2">
        <v>46246</v>
      </c>
      <c r="C1512" s="2">
        <v>46247</v>
      </c>
      <c r="D1512" s="1" t="s">
        <v>870</v>
      </c>
      <c r="E1512" t="s">
        <v>871</v>
      </c>
      <c r="F1512" t="s">
        <v>495</v>
      </c>
      <c r="G1512" s="5">
        <v>3096</v>
      </c>
      <c r="H1512" s="5">
        <v>3390</v>
      </c>
      <c r="I1512" s="5">
        <v>3300</v>
      </c>
      <c r="J1512" s="5">
        <v>90</v>
      </c>
      <c r="K1512" s="8">
        <f t="shared" si="48"/>
        <v>109.49612403100775</v>
      </c>
      <c r="L1512" s="8">
        <f t="shared" si="49"/>
        <v>2.7272727272727271</v>
      </c>
      <c r="M1512" t="s">
        <v>20</v>
      </c>
      <c r="N1512" t="s">
        <v>421</v>
      </c>
    </row>
    <row r="1513" spans="1:14" x14ac:dyDescent="0.3">
      <c r="A1513" t="s">
        <v>1870</v>
      </c>
      <c r="B1513" s="2">
        <v>46244</v>
      </c>
      <c r="C1513" s="2">
        <v>46245</v>
      </c>
      <c r="D1513" s="1" t="s">
        <v>878</v>
      </c>
      <c r="E1513" t="s">
        <v>879</v>
      </c>
      <c r="F1513" t="s">
        <v>425</v>
      </c>
      <c r="G1513" s="5">
        <v>2100</v>
      </c>
      <c r="H1513" s="5">
        <v>1915</v>
      </c>
      <c r="I1513" s="5">
        <v>1880</v>
      </c>
      <c r="J1513" s="5">
        <v>35</v>
      </c>
      <c r="K1513" s="8">
        <f t="shared" si="48"/>
        <v>91.19047619047619</v>
      </c>
      <c r="L1513" s="8">
        <f t="shared" si="49"/>
        <v>1.8617021276595744</v>
      </c>
      <c r="M1513" t="s">
        <v>20</v>
      </c>
      <c r="N1513" t="s">
        <v>421</v>
      </c>
    </row>
    <row r="1514" spans="1:14" x14ac:dyDescent="0.3">
      <c r="A1514" t="s">
        <v>1871</v>
      </c>
      <c r="B1514" s="2">
        <v>46245</v>
      </c>
      <c r="C1514" s="2">
        <v>46246</v>
      </c>
      <c r="D1514" s="1" t="s">
        <v>878</v>
      </c>
      <c r="E1514" t="s">
        <v>879</v>
      </c>
      <c r="F1514" t="s">
        <v>425</v>
      </c>
      <c r="G1514" s="5">
        <v>2100</v>
      </c>
      <c r="H1514" s="5">
        <v>2112</v>
      </c>
      <c r="I1514" s="5">
        <v>2060</v>
      </c>
      <c r="J1514" s="5">
        <v>52</v>
      </c>
      <c r="K1514" s="8">
        <f t="shared" si="48"/>
        <v>100.57142857142858</v>
      </c>
      <c r="L1514" s="8">
        <f t="shared" si="49"/>
        <v>2.5242718446601939</v>
      </c>
      <c r="M1514" t="s">
        <v>20</v>
      </c>
      <c r="N1514" t="s">
        <v>421</v>
      </c>
    </row>
    <row r="1515" spans="1:14" x14ac:dyDescent="0.3">
      <c r="A1515" t="s">
        <v>1872</v>
      </c>
      <c r="B1515" s="2">
        <v>46246</v>
      </c>
      <c r="C1515" s="2">
        <v>46251</v>
      </c>
      <c r="D1515" s="1" t="s">
        <v>878</v>
      </c>
      <c r="E1515" t="s">
        <v>879</v>
      </c>
      <c r="F1515" t="s">
        <v>425</v>
      </c>
      <c r="G1515" s="5">
        <v>2100</v>
      </c>
      <c r="H1515" s="5">
        <v>2097</v>
      </c>
      <c r="I1515" s="5">
        <v>2080</v>
      </c>
      <c r="J1515" s="5">
        <v>17</v>
      </c>
      <c r="K1515" s="8">
        <f t="shared" si="48"/>
        <v>99.857142857142861</v>
      </c>
      <c r="L1515" s="8">
        <f t="shared" si="49"/>
        <v>0.8173076923076924</v>
      </c>
      <c r="M1515" t="s">
        <v>20</v>
      </c>
      <c r="N1515" t="s">
        <v>421</v>
      </c>
    </row>
    <row r="1516" spans="1:14" x14ac:dyDescent="0.3">
      <c r="A1516" t="s">
        <v>1873</v>
      </c>
      <c r="B1516" s="2">
        <v>46246</v>
      </c>
      <c r="C1516" s="2">
        <v>46247</v>
      </c>
      <c r="D1516" s="1" t="s">
        <v>1874</v>
      </c>
      <c r="E1516" t="s">
        <v>1875</v>
      </c>
      <c r="F1516" t="s">
        <v>420</v>
      </c>
      <c r="G1516" s="5">
        <v>45</v>
      </c>
      <c r="H1516" s="5">
        <v>49</v>
      </c>
      <c r="I1516" s="5">
        <v>49</v>
      </c>
      <c r="J1516" s="5">
        <v>0</v>
      </c>
      <c r="K1516" s="8">
        <f t="shared" ref="K1516:K1579" si="50">(H1516/G1516)*100</f>
        <v>108.88888888888889</v>
      </c>
      <c r="L1516" s="8">
        <f t="shared" ref="L1516:L1579" si="51">((H1516-I1516)/I1516)*100</f>
        <v>0</v>
      </c>
      <c r="M1516" t="s">
        <v>20</v>
      </c>
      <c r="N1516" t="s">
        <v>421</v>
      </c>
    </row>
    <row r="1517" spans="1:14" x14ac:dyDescent="0.3">
      <c r="A1517" t="s">
        <v>1876</v>
      </c>
      <c r="B1517" s="2">
        <v>46248</v>
      </c>
      <c r="C1517" s="2">
        <v>46251</v>
      </c>
      <c r="D1517" s="1" t="s">
        <v>898</v>
      </c>
      <c r="E1517" t="s">
        <v>1877</v>
      </c>
      <c r="F1517" t="s">
        <v>420</v>
      </c>
      <c r="G1517" s="5">
        <v>340</v>
      </c>
      <c r="H1517" s="5">
        <v>387</v>
      </c>
      <c r="I1517" s="5">
        <v>387</v>
      </c>
      <c r="J1517" s="5">
        <v>0</v>
      </c>
      <c r="K1517" s="8">
        <f t="shared" si="50"/>
        <v>113.8235294117647</v>
      </c>
      <c r="L1517" s="8">
        <f t="shared" si="51"/>
        <v>0</v>
      </c>
      <c r="M1517" t="s">
        <v>20</v>
      </c>
      <c r="N1517" t="s">
        <v>421</v>
      </c>
    </row>
    <row r="1518" spans="1:14" x14ac:dyDescent="0.3">
      <c r="A1518" t="s">
        <v>1878</v>
      </c>
      <c r="B1518" s="2">
        <v>46245</v>
      </c>
      <c r="C1518" s="2">
        <v>46246</v>
      </c>
      <c r="D1518" s="1" t="s">
        <v>908</v>
      </c>
      <c r="E1518" t="s">
        <v>909</v>
      </c>
      <c r="F1518" t="s">
        <v>532</v>
      </c>
      <c r="G1518" s="5">
        <v>425</v>
      </c>
      <c r="H1518" s="5">
        <v>406</v>
      </c>
      <c r="I1518" s="5">
        <v>405</v>
      </c>
      <c r="J1518" s="5">
        <v>1</v>
      </c>
      <c r="K1518" s="8">
        <f t="shared" si="50"/>
        <v>95.529411764705884</v>
      </c>
      <c r="L1518" s="8">
        <f t="shared" si="51"/>
        <v>0.24691358024691357</v>
      </c>
      <c r="M1518" t="s">
        <v>20</v>
      </c>
      <c r="N1518" t="s">
        <v>421</v>
      </c>
    </row>
    <row r="1519" spans="1:14" x14ac:dyDescent="0.3">
      <c r="A1519" t="s">
        <v>1879</v>
      </c>
      <c r="B1519" s="2">
        <v>46252</v>
      </c>
      <c r="C1519" s="2">
        <v>46254</v>
      </c>
      <c r="D1519" s="1" t="s">
        <v>912</v>
      </c>
      <c r="E1519" t="s">
        <v>913</v>
      </c>
      <c r="F1519" t="s">
        <v>677</v>
      </c>
      <c r="G1519" s="5">
        <v>1200</v>
      </c>
      <c r="H1519" s="5">
        <v>1230</v>
      </c>
      <c r="I1519" s="5">
        <v>1230</v>
      </c>
      <c r="J1519" s="5">
        <v>0</v>
      </c>
      <c r="K1519" s="8">
        <f t="shared" si="50"/>
        <v>102.49999999999999</v>
      </c>
      <c r="L1519" s="8">
        <f t="shared" si="51"/>
        <v>0</v>
      </c>
      <c r="M1519" t="s">
        <v>20</v>
      </c>
      <c r="N1519" t="s">
        <v>421</v>
      </c>
    </row>
    <row r="1520" spans="1:14" x14ac:dyDescent="0.3">
      <c r="A1520" t="s">
        <v>1880</v>
      </c>
      <c r="B1520" s="2">
        <v>46244</v>
      </c>
      <c r="C1520" s="2">
        <v>46245</v>
      </c>
      <c r="D1520" s="1" t="s">
        <v>933</v>
      </c>
      <c r="E1520" t="s">
        <v>934</v>
      </c>
      <c r="F1520" t="s">
        <v>420</v>
      </c>
      <c r="G1520" s="5">
        <v>80</v>
      </c>
      <c r="H1520" s="5">
        <v>80</v>
      </c>
      <c r="I1520" s="5">
        <v>80</v>
      </c>
      <c r="J1520" s="5">
        <v>0</v>
      </c>
      <c r="K1520" s="8">
        <f t="shared" si="50"/>
        <v>100</v>
      </c>
      <c r="L1520" s="8">
        <f t="shared" si="51"/>
        <v>0</v>
      </c>
      <c r="M1520" t="s">
        <v>20</v>
      </c>
      <c r="N1520" t="s">
        <v>421</v>
      </c>
    </row>
    <row r="1521" spans="1:14" x14ac:dyDescent="0.3">
      <c r="A1521" t="s">
        <v>1881</v>
      </c>
      <c r="B1521" s="2">
        <v>46245</v>
      </c>
      <c r="C1521" s="2">
        <v>46246</v>
      </c>
      <c r="D1521" s="1" t="s">
        <v>933</v>
      </c>
      <c r="E1521" t="s">
        <v>934</v>
      </c>
      <c r="F1521" t="s">
        <v>420</v>
      </c>
      <c r="G1521" s="5">
        <v>80</v>
      </c>
      <c r="H1521" s="5">
        <v>77</v>
      </c>
      <c r="I1521" s="5">
        <v>77</v>
      </c>
      <c r="J1521" s="5">
        <v>0</v>
      </c>
      <c r="K1521" s="8">
        <f t="shared" si="50"/>
        <v>96.25</v>
      </c>
      <c r="L1521" s="8">
        <f t="shared" si="51"/>
        <v>0</v>
      </c>
      <c r="M1521" t="s">
        <v>20</v>
      </c>
      <c r="N1521" t="s">
        <v>421</v>
      </c>
    </row>
    <row r="1522" spans="1:14" x14ac:dyDescent="0.3">
      <c r="A1522" t="s">
        <v>1882</v>
      </c>
      <c r="B1522" s="2">
        <v>46246</v>
      </c>
      <c r="C1522" s="2">
        <v>46247</v>
      </c>
      <c r="D1522" s="1" t="s">
        <v>933</v>
      </c>
      <c r="E1522" t="s">
        <v>934</v>
      </c>
      <c r="F1522" t="s">
        <v>420</v>
      </c>
      <c r="G1522" s="5">
        <v>80</v>
      </c>
      <c r="H1522" s="5">
        <v>72</v>
      </c>
      <c r="I1522" s="5">
        <v>72</v>
      </c>
      <c r="J1522" s="5">
        <v>0</v>
      </c>
      <c r="K1522" s="8">
        <f t="shared" si="50"/>
        <v>90</v>
      </c>
      <c r="L1522" s="8">
        <f t="shared" si="51"/>
        <v>0</v>
      </c>
      <c r="M1522" t="s">
        <v>20</v>
      </c>
      <c r="N1522" t="s">
        <v>421</v>
      </c>
    </row>
    <row r="1523" spans="1:14" x14ac:dyDescent="0.3">
      <c r="A1523" t="s">
        <v>1429</v>
      </c>
      <c r="B1523" s="2">
        <v>46238</v>
      </c>
      <c r="C1523" s="2">
        <v>46240</v>
      </c>
      <c r="D1523" s="1" t="s">
        <v>950</v>
      </c>
      <c r="E1523" t="s">
        <v>951</v>
      </c>
      <c r="F1523" t="s">
        <v>420</v>
      </c>
      <c r="G1523" s="5">
        <v>75</v>
      </c>
      <c r="H1523" s="5">
        <v>76</v>
      </c>
      <c r="I1523" s="5">
        <v>76</v>
      </c>
      <c r="J1523" s="5">
        <v>0</v>
      </c>
      <c r="K1523" s="8">
        <f t="shared" si="50"/>
        <v>101.33333333333334</v>
      </c>
      <c r="L1523" s="8">
        <f t="shared" si="51"/>
        <v>0</v>
      </c>
      <c r="M1523" t="s">
        <v>20</v>
      </c>
      <c r="N1523" t="s">
        <v>421</v>
      </c>
    </row>
    <row r="1524" spans="1:14" x14ac:dyDescent="0.3">
      <c r="A1524" t="s">
        <v>1883</v>
      </c>
      <c r="B1524" s="2">
        <v>46251</v>
      </c>
      <c r="C1524" s="2">
        <v>46251</v>
      </c>
      <c r="D1524" s="1" t="s">
        <v>950</v>
      </c>
      <c r="E1524" t="s">
        <v>951</v>
      </c>
      <c r="F1524" t="s">
        <v>420</v>
      </c>
      <c r="G1524" s="5">
        <v>75</v>
      </c>
      <c r="H1524" s="5">
        <v>80</v>
      </c>
      <c r="I1524" s="5">
        <v>80</v>
      </c>
      <c r="J1524" s="5">
        <v>0</v>
      </c>
      <c r="K1524" s="8">
        <f t="shared" si="50"/>
        <v>106.66666666666667</v>
      </c>
      <c r="L1524" s="8">
        <f t="shared" si="51"/>
        <v>0</v>
      </c>
      <c r="M1524" t="s">
        <v>20</v>
      </c>
      <c r="N1524" t="s">
        <v>421</v>
      </c>
    </row>
    <row r="1525" spans="1:14" x14ac:dyDescent="0.3">
      <c r="A1525" t="s">
        <v>1884</v>
      </c>
      <c r="B1525" s="2">
        <v>46252</v>
      </c>
      <c r="C1525" s="2">
        <v>46252</v>
      </c>
      <c r="D1525" s="1" t="s">
        <v>950</v>
      </c>
      <c r="E1525" t="s">
        <v>951</v>
      </c>
      <c r="F1525" t="s">
        <v>420</v>
      </c>
      <c r="G1525" s="5">
        <v>75</v>
      </c>
      <c r="H1525" s="5">
        <v>76</v>
      </c>
      <c r="I1525" s="5">
        <v>76</v>
      </c>
      <c r="J1525" s="5">
        <v>0</v>
      </c>
      <c r="K1525" s="8">
        <f t="shared" si="50"/>
        <v>101.33333333333334</v>
      </c>
      <c r="L1525" s="8">
        <f t="shared" si="51"/>
        <v>0</v>
      </c>
      <c r="M1525" t="s">
        <v>20</v>
      </c>
      <c r="N1525" t="s">
        <v>421</v>
      </c>
    </row>
    <row r="1526" spans="1:14" x14ac:dyDescent="0.3">
      <c r="A1526" t="s">
        <v>1885</v>
      </c>
      <c r="B1526" s="2">
        <v>46248</v>
      </c>
      <c r="C1526" s="2">
        <v>46251</v>
      </c>
      <c r="D1526" s="1" t="s">
        <v>955</v>
      </c>
      <c r="E1526" t="s">
        <v>1886</v>
      </c>
      <c r="F1526" t="s">
        <v>420</v>
      </c>
      <c r="G1526" s="5">
        <v>408</v>
      </c>
      <c r="H1526" s="5">
        <v>383</v>
      </c>
      <c r="I1526" s="5">
        <v>383</v>
      </c>
      <c r="J1526" s="5">
        <v>0</v>
      </c>
      <c r="K1526" s="8">
        <f t="shared" si="50"/>
        <v>93.872549019607845</v>
      </c>
      <c r="L1526" s="8">
        <f t="shared" si="51"/>
        <v>0</v>
      </c>
      <c r="M1526" t="s">
        <v>20</v>
      </c>
      <c r="N1526" t="s">
        <v>421</v>
      </c>
    </row>
    <row r="1527" spans="1:14" x14ac:dyDescent="0.3">
      <c r="A1527" t="s">
        <v>1433</v>
      </c>
      <c r="B1527" s="2">
        <v>46239</v>
      </c>
      <c r="C1527" s="2">
        <v>46240</v>
      </c>
      <c r="D1527" s="1" t="s">
        <v>958</v>
      </c>
      <c r="E1527" t="s">
        <v>959</v>
      </c>
      <c r="F1527" t="s">
        <v>420</v>
      </c>
      <c r="G1527" s="5">
        <v>66</v>
      </c>
      <c r="H1527" s="5">
        <v>66</v>
      </c>
      <c r="I1527" s="5">
        <v>66</v>
      </c>
      <c r="J1527" s="5">
        <v>0</v>
      </c>
      <c r="K1527" s="8">
        <f t="shared" si="50"/>
        <v>100</v>
      </c>
      <c r="L1527" s="8">
        <f t="shared" si="51"/>
        <v>0</v>
      </c>
      <c r="M1527" t="s">
        <v>20</v>
      </c>
      <c r="N1527" t="s">
        <v>421</v>
      </c>
    </row>
    <row r="1528" spans="1:14" x14ac:dyDescent="0.3">
      <c r="A1528" t="s">
        <v>1887</v>
      </c>
      <c r="B1528" s="2">
        <v>46245</v>
      </c>
      <c r="C1528" s="2">
        <v>46246</v>
      </c>
      <c r="D1528" s="1" t="s">
        <v>958</v>
      </c>
      <c r="E1528" t="s">
        <v>959</v>
      </c>
      <c r="F1528" t="s">
        <v>420</v>
      </c>
      <c r="G1528" s="5">
        <v>330</v>
      </c>
      <c r="H1528" s="5">
        <v>338</v>
      </c>
      <c r="I1528" s="5">
        <v>338</v>
      </c>
      <c r="J1528" s="5">
        <v>0</v>
      </c>
      <c r="K1528" s="8">
        <f t="shared" si="50"/>
        <v>102.42424242424242</v>
      </c>
      <c r="L1528" s="8">
        <f t="shared" si="51"/>
        <v>0</v>
      </c>
      <c r="M1528" t="s">
        <v>20</v>
      </c>
      <c r="N1528" t="s">
        <v>421</v>
      </c>
    </row>
    <row r="1529" spans="1:14" x14ac:dyDescent="0.3">
      <c r="A1529" t="s">
        <v>1888</v>
      </c>
      <c r="B1529" s="2">
        <v>46247</v>
      </c>
      <c r="C1529" s="2">
        <v>46248</v>
      </c>
      <c r="D1529" s="1" t="s">
        <v>958</v>
      </c>
      <c r="E1529" t="s">
        <v>959</v>
      </c>
      <c r="F1529" t="s">
        <v>420</v>
      </c>
      <c r="G1529" s="5">
        <v>330</v>
      </c>
      <c r="H1529" s="5">
        <v>347</v>
      </c>
      <c r="I1529" s="5">
        <v>347</v>
      </c>
      <c r="J1529" s="5">
        <v>0</v>
      </c>
      <c r="K1529" s="8">
        <f t="shared" si="50"/>
        <v>105.15151515151516</v>
      </c>
      <c r="L1529" s="8">
        <f t="shared" si="51"/>
        <v>0</v>
      </c>
      <c r="M1529" t="s">
        <v>20</v>
      </c>
      <c r="N1529" t="s">
        <v>421</v>
      </c>
    </row>
    <row r="1530" spans="1:14" x14ac:dyDescent="0.3">
      <c r="A1530" t="s">
        <v>1889</v>
      </c>
      <c r="B1530" s="2">
        <v>46252</v>
      </c>
      <c r="C1530" s="2">
        <v>46254</v>
      </c>
      <c r="D1530" s="1" t="s">
        <v>958</v>
      </c>
      <c r="E1530" t="s">
        <v>959</v>
      </c>
      <c r="F1530" t="s">
        <v>420</v>
      </c>
      <c r="G1530" s="5">
        <v>132</v>
      </c>
      <c r="H1530" s="5">
        <v>135</v>
      </c>
      <c r="I1530" s="5">
        <v>135</v>
      </c>
      <c r="J1530" s="5">
        <v>0</v>
      </c>
      <c r="K1530" s="8">
        <f t="shared" si="50"/>
        <v>102.27272727272727</v>
      </c>
      <c r="L1530" s="8">
        <f t="shared" si="51"/>
        <v>0</v>
      </c>
      <c r="M1530" t="s">
        <v>20</v>
      </c>
      <c r="N1530" t="s">
        <v>421</v>
      </c>
    </row>
    <row r="1531" spans="1:14" x14ac:dyDescent="0.3">
      <c r="A1531" t="s">
        <v>1890</v>
      </c>
      <c r="B1531" s="2">
        <v>46244</v>
      </c>
      <c r="C1531" s="2">
        <v>46246</v>
      </c>
      <c r="D1531" s="1" t="s">
        <v>974</v>
      </c>
      <c r="E1531" t="s">
        <v>975</v>
      </c>
      <c r="F1531" t="s">
        <v>420</v>
      </c>
      <c r="G1531" s="5">
        <v>130</v>
      </c>
      <c r="H1531" s="5">
        <v>131</v>
      </c>
      <c r="I1531" s="5">
        <v>131</v>
      </c>
      <c r="J1531" s="5">
        <v>0</v>
      </c>
      <c r="K1531" s="8">
        <f t="shared" si="50"/>
        <v>100.76923076923077</v>
      </c>
      <c r="L1531" s="8">
        <f t="shared" si="51"/>
        <v>0</v>
      </c>
      <c r="M1531" t="s">
        <v>20</v>
      </c>
      <c r="N1531" t="s">
        <v>421</v>
      </c>
    </row>
    <row r="1532" spans="1:14" x14ac:dyDescent="0.3">
      <c r="A1532" t="s">
        <v>1891</v>
      </c>
      <c r="B1532" s="2">
        <v>46245</v>
      </c>
      <c r="C1532" s="2">
        <v>46246</v>
      </c>
      <c r="D1532" s="1" t="s">
        <v>974</v>
      </c>
      <c r="E1532" t="s">
        <v>975</v>
      </c>
      <c r="F1532" t="s">
        <v>420</v>
      </c>
      <c r="G1532" s="5">
        <v>65</v>
      </c>
      <c r="H1532" s="5">
        <v>67</v>
      </c>
      <c r="I1532" s="5">
        <v>67</v>
      </c>
      <c r="J1532" s="5">
        <v>0</v>
      </c>
      <c r="K1532" s="8">
        <f t="shared" si="50"/>
        <v>103.07692307692307</v>
      </c>
      <c r="L1532" s="8">
        <f t="shared" si="51"/>
        <v>0</v>
      </c>
      <c r="M1532" t="s">
        <v>20</v>
      </c>
      <c r="N1532" t="s">
        <v>421</v>
      </c>
    </row>
    <row r="1533" spans="1:14" x14ac:dyDescent="0.3">
      <c r="A1533" t="s">
        <v>1892</v>
      </c>
      <c r="B1533" s="2">
        <v>46246</v>
      </c>
      <c r="C1533" s="2">
        <v>46247</v>
      </c>
      <c r="D1533" s="1" t="s">
        <v>974</v>
      </c>
      <c r="E1533" t="s">
        <v>975</v>
      </c>
      <c r="F1533" t="s">
        <v>420</v>
      </c>
      <c r="G1533" s="5">
        <v>65</v>
      </c>
      <c r="H1533" s="5">
        <v>65</v>
      </c>
      <c r="I1533" s="5">
        <v>65</v>
      </c>
      <c r="J1533" s="5">
        <v>0</v>
      </c>
      <c r="K1533" s="8">
        <f t="shared" si="50"/>
        <v>100</v>
      </c>
      <c r="L1533" s="8">
        <f t="shared" si="51"/>
        <v>0</v>
      </c>
      <c r="M1533" t="s">
        <v>20</v>
      </c>
      <c r="N1533" t="s">
        <v>421</v>
      </c>
    </row>
    <row r="1534" spans="1:14" x14ac:dyDescent="0.3">
      <c r="A1534" t="s">
        <v>1893</v>
      </c>
      <c r="B1534" s="2">
        <v>46241</v>
      </c>
      <c r="C1534" s="2">
        <v>46244</v>
      </c>
      <c r="D1534" s="1" t="s">
        <v>983</v>
      </c>
      <c r="E1534" t="s">
        <v>984</v>
      </c>
      <c r="F1534" t="s">
        <v>420</v>
      </c>
      <c r="G1534" s="5">
        <v>621</v>
      </c>
      <c r="H1534" s="5">
        <v>687</v>
      </c>
      <c r="I1534" s="5">
        <v>687</v>
      </c>
      <c r="J1534" s="5">
        <v>0</v>
      </c>
      <c r="K1534" s="8">
        <f t="shared" si="50"/>
        <v>110.6280193236715</v>
      </c>
      <c r="L1534" s="8">
        <f t="shared" si="51"/>
        <v>0</v>
      </c>
      <c r="M1534" t="s">
        <v>20</v>
      </c>
      <c r="N1534" t="s">
        <v>421</v>
      </c>
    </row>
    <row r="1535" spans="1:14" x14ac:dyDescent="0.3">
      <c r="A1535" t="s">
        <v>1894</v>
      </c>
      <c r="B1535" s="2">
        <v>46252</v>
      </c>
      <c r="C1535" s="2">
        <v>46252</v>
      </c>
      <c r="D1535" s="1" t="s">
        <v>983</v>
      </c>
      <c r="E1535" t="s">
        <v>984</v>
      </c>
      <c r="F1535" t="s">
        <v>420</v>
      </c>
      <c r="G1535" s="5">
        <v>621</v>
      </c>
      <c r="H1535" s="5">
        <v>695</v>
      </c>
      <c r="I1535" s="5">
        <v>695</v>
      </c>
      <c r="J1535" s="5">
        <v>0</v>
      </c>
      <c r="K1535" s="8">
        <f t="shared" si="50"/>
        <v>111.91626409017714</v>
      </c>
      <c r="L1535" s="8">
        <f t="shared" si="51"/>
        <v>0</v>
      </c>
      <c r="M1535" t="s">
        <v>20</v>
      </c>
      <c r="N1535" t="s">
        <v>421</v>
      </c>
    </row>
    <row r="1536" spans="1:14" x14ac:dyDescent="0.3">
      <c r="A1536" t="s">
        <v>1895</v>
      </c>
      <c r="B1536" s="2">
        <v>46244</v>
      </c>
      <c r="C1536" s="2">
        <v>46245</v>
      </c>
      <c r="D1536" s="1" t="s">
        <v>987</v>
      </c>
      <c r="E1536" t="s">
        <v>988</v>
      </c>
      <c r="F1536" t="s">
        <v>420</v>
      </c>
      <c r="G1536" s="5">
        <v>315</v>
      </c>
      <c r="H1536" s="5">
        <v>318</v>
      </c>
      <c r="I1536" s="5">
        <v>318</v>
      </c>
      <c r="J1536" s="5">
        <v>0</v>
      </c>
      <c r="K1536" s="8">
        <f t="shared" si="50"/>
        <v>100.95238095238095</v>
      </c>
      <c r="L1536" s="8">
        <f t="shared" si="51"/>
        <v>0</v>
      </c>
      <c r="M1536" t="s">
        <v>20</v>
      </c>
      <c r="N1536" t="s">
        <v>421</v>
      </c>
    </row>
    <row r="1537" spans="1:14" x14ac:dyDescent="0.3">
      <c r="A1537" t="s">
        <v>1896</v>
      </c>
      <c r="B1537" s="2">
        <v>46246</v>
      </c>
      <c r="C1537" s="2">
        <v>46247</v>
      </c>
      <c r="D1537" s="1" t="s">
        <v>987</v>
      </c>
      <c r="E1537" t="s">
        <v>988</v>
      </c>
      <c r="F1537" t="s">
        <v>420</v>
      </c>
      <c r="G1537" s="5">
        <v>315</v>
      </c>
      <c r="H1537" s="5">
        <v>317</v>
      </c>
      <c r="I1537" s="5">
        <v>317</v>
      </c>
      <c r="J1537" s="5">
        <v>0</v>
      </c>
      <c r="K1537" s="8">
        <f t="shared" si="50"/>
        <v>100.63492063492063</v>
      </c>
      <c r="L1537" s="8">
        <f t="shared" si="51"/>
        <v>0</v>
      </c>
      <c r="M1537" t="s">
        <v>20</v>
      </c>
      <c r="N1537" t="s">
        <v>421</v>
      </c>
    </row>
    <row r="1538" spans="1:14" x14ac:dyDescent="0.3">
      <c r="A1538" t="s">
        <v>1897</v>
      </c>
      <c r="B1538" s="2">
        <v>46251</v>
      </c>
      <c r="C1538" s="2">
        <v>46251</v>
      </c>
      <c r="D1538" s="1" t="s">
        <v>987</v>
      </c>
      <c r="E1538" t="s">
        <v>988</v>
      </c>
      <c r="F1538" t="s">
        <v>420</v>
      </c>
      <c r="G1538" s="5">
        <v>315</v>
      </c>
      <c r="H1538" s="5">
        <v>324</v>
      </c>
      <c r="I1538" s="5">
        <v>324</v>
      </c>
      <c r="J1538" s="5">
        <v>0</v>
      </c>
      <c r="K1538" s="8">
        <f t="shared" si="50"/>
        <v>102.85714285714285</v>
      </c>
      <c r="L1538" s="8">
        <f t="shared" si="51"/>
        <v>0</v>
      </c>
      <c r="M1538" t="s">
        <v>20</v>
      </c>
      <c r="N1538" t="s">
        <v>421</v>
      </c>
    </row>
    <row r="1539" spans="1:14" x14ac:dyDescent="0.3">
      <c r="A1539" t="s">
        <v>1898</v>
      </c>
      <c r="B1539" s="2">
        <v>46240</v>
      </c>
      <c r="C1539" s="2">
        <v>46241</v>
      </c>
      <c r="D1539" s="1" t="s">
        <v>1000</v>
      </c>
      <c r="E1539" t="s">
        <v>1001</v>
      </c>
      <c r="F1539" t="s">
        <v>425</v>
      </c>
      <c r="G1539" s="5">
        <v>2445</v>
      </c>
      <c r="H1539" s="5">
        <v>2388</v>
      </c>
      <c r="I1539" s="5">
        <v>2370</v>
      </c>
      <c r="J1539" s="5">
        <v>18</v>
      </c>
      <c r="K1539" s="8">
        <f t="shared" si="50"/>
        <v>97.668711656441715</v>
      </c>
      <c r="L1539" s="8">
        <f t="shared" si="51"/>
        <v>0.75949367088607589</v>
      </c>
      <c r="M1539" t="s">
        <v>20</v>
      </c>
      <c r="N1539" t="s">
        <v>421</v>
      </c>
    </row>
    <row r="1540" spans="1:14" x14ac:dyDescent="0.3">
      <c r="A1540" t="s">
        <v>1899</v>
      </c>
      <c r="B1540" s="2">
        <v>46241</v>
      </c>
      <c r="C1540" s="2">
        <v>46244</v>
      </c>
      <c r="D1540" s="1" t="s">
        <v>1000</v>
      </c>
      <c r="E1540" t="s">
        <v>1001</v>
      </c>
      <c r="F1540" t="s">
        <v>425</v>
      </c>
      <c r="G1540" s="5">
        <v>2445</v>
      </c>
      <c r="H1540" s="5">
        <v>2275</v>
      </c>
      <c r="I1540" s="5">
        <v>2088</v>
      </c>
      <c r="J1540" s="5">
        <v>187</v>
      </c>
      <c r="K1540" s="8">
        <f t="shared" si="50"/>
        <v>93.047034764826179</v>
      </c>
      <c r="L1540" s="8">
        <f t="shared" si="51"/>
        <v>8.9559386973180075</v>
      </c>
      <c r="M1540" t="s">
        <v>20</v>
      </c>
      <c r="N1540" t="s">
        <v>421</v>
      </c>
    </row>
    <row r="1541" spans="1:14" x14ac:dyDescent="0.3">
      <c r="A1541" t="s">
        <v>1900</v>
      </c>
      <c r="B1541" s="2">
        <v>46244</v>
      </c>
      <c r="C1541" s="2">
        <v>46245</v>
      </c>
      <c r="D1541" s="1" t="s">
        <v>1000</v>
      </c>
      <c r="E1541" t="s">
        <v>1001</v>
      </c>
      <c r="F1541" t="s">
        <v>425</v>
      </c>
      <c r="G1541" s="5">
        <v>2445</v>
      </c>
      <c r="H1541" s="5">
        <v>2336</v>
      </c>
      <c r="I1541" s="5">
        <v>2274</v>
      </c>
      <c r="J1541" s="5">
        <v>62</v>
      </c>
      <c r="K1541" s="8">
        <f t="shared" si="50"/>
        <v>95.541922290388541</v>
      </c>
      <c r="L1541" s="8">
        <f t="shared" si="51"/>
        <v>2.7264731750219875</v>
      </c>
      <c r="M1541" t="s">
        <v>20</v>
      </c>
      <c r="N1541" t="s">
        <v>421</v>
      </c>
    </row>
    <row r="1542" spans="1:14" x14ac:dyDescent="0.3">
      <c r="A1542" t="s">
        <v>1901</v>
      </c>
      <c r="B1542" s="2">
        <v>46245</v>
      </c>
      <c r="C1542" s="2">
        <v>46246</v>
      </c>
      <c r="D1542" s="1" t="s">
        <v>1000</v>
      </c>
      <c r="E1542" t="s">
        <v>1001</v>
      </c>
      <c r="F1542" t="s">
        <v>438</v>
      </c>
      <c r="G1542" s="5">
        <v>3260</v>
      </c>
      <c r="H1542" s="5">
        <v>3108</v>
      </c>
      <c r="I1542" s="5">
        <v>3084</v>
      </c>
      <c r="J1542" s="5">
        <v>24</v>
      </c>
      <c r="K1542" s="8">
        <f t="shared" si="50"/>
        <v>95.337423312883445</v>
      </c>
      <c r="L1542" s="8">
        <f t="shared" si="51"/>
        <v>0.77821011673151752</v>
      </c>
      <c r="M1542" t="s">
        <v>20</v>
      </c>
      <c r="N1542" t="s">
        <v>421</v>
      </c>
    </row>
    <row r="1543" spans="1:14" x14ac:dyDescent="0.3">
      <c r="A1543" t="s">
        <v>1902</v>
      </c>
      <c r="B1543" s="2">
        <v>46247</v>
      </c>
      <c r="C1543" s="2">
        <v>46248</v>
      </c>
      <c r="D1543" s="1" t="s">
        <v>1000</v>
      </c>
      <c r="E1543" t="s">
        <v>1001</v>
      </c>
      <c r="F1543" t="s">
        <v>425</v>
      </c>
      <c r="G1543" s="5">
        <v>2445</v>
      </c>
      <c r="H1543" s="5">
        <v>2144</v>
      </c>
      <c r="I1543" s="5">
        <v>2112</v>
      </c>
      <c r="J1543" s="5">
        <v>32</v>
      </c>
      <c r="K1543" s="8">
        <f t="shared" si="50"/>
        <v>87.689161554192225</v>
      </c>
      <c r="L1543" s="8">
        <f t="shared" si="51"/>
        <v>1.5151515151515151</v>
      </c>
      <c r="M1543" t="s">
        <v>20</v>
      </c>
      <c r="N1543" t="s">
        <v>421</v>
      </c>
    </row>
    <row r="1544" spans="1:14" x14ac:dyDescent="0.3">
      <c r="A1544" t="s">
        <v>1903</v>
      </c>
      <c r="B1544" s="2">
        <v>46248</v>
      </c>
      <c r="C1544" s="2">
        <v>46251</v>
      </c>
      <c r="D1544" s="1" t="s">
        <v>1000</v>
      </c>
      <c r="E1544" t="s">
        <v>1001</v>
      </c>
      <c r="F1544" t="s">
        <v>425</v>
      </c>
      <c r="G1544" s="5">
        <v>1630</v>
      </c>
      <c r="H1544" s="5">
        <v>1615</v>
      </c>
      <c r="I1544" s="5">
        <v>1602</v>
      </c>
      <c r="J1544" s="5">
        <v>13</v>
      </c>
      <c r="K1544" s="8">
        <f t="shared" si="50"/>
        <v>99.079754601226995</v>
      </c>
      <c r="L1544" s="8">
        <f t="shared" si="51"/>
        <v>0.8114856429463172</v>
      </c>
      <c r="M1544" t="s">
        <v>20</v>
      </c>
      <c r="N1544" t="s">
        <v>421</v>
      </c>
    </row>
    <row r="1545" spans="1:14" x14ac:dyDescent="0.3">
      <c r="A1545" t="s">
        <v>1904</v>
      </c>
      <c r="B1545" s="2">
        <v>46251</v>
      </c>
      <c r="C1545" s="2">
        <v>46253</v>
      </c>
      <c r="D1545" s="1" t="s">
        <v>1000</v>
      </c>
      <c r="E1545" t="s">
        <v>1001</v>
      </c>
      <c r="F1545" t="s">
        <v>425</v>
      </c>
      <c r="G1545" s="5">
        <v>1630</v>
      </c>
      <c r="H1545" s="5">
        <v>1636</v>
      </c>
      <c r="I1545" s="5">
        <v>1560</v>
      </c>
      <c r="J1545" s="5">
        <v>76</v>
      </c>
      <c r="K1545" s="8">
        <f t="shared" si="50"/>
        <v>100.3680981595092</v>
      </c>
      <c r="L1545" s="8">
        <f t="shared" si="51"/>
        <v>4.8717948717948723</v>
      </c>
      <c r="M1545" t="s">
        <v>20</v>
      </c>
      <c r="N1545" t="s">
        <v>421</v>
      </c>
    </row>
    <row r="1546" spans="1:14" x14ac:dyDescent="0.3">
      <c r="A1546" t="s">
        <v>1441</v>
      </c>
      <c r="B1546" s="2">
        <v>46239</v>
      </c>
      <c r="C1546" s="2">
        <v>46240</v>
      </c>
      <c r="D1546" s="1" t="s">
        <v>1011</v>
      </c>
      <c r="E1546" t="s">
        <v>1012</v>
      </c>
      <c r="F1546" t="s">
        <v>438</v>
      </c>
      <c r="G1546" s="5">
        <v>2010</v>
      </c>
      <c r="H1546" s="5">
        <v>2274</v>
      </c>
      <c r="I1546" s="5">
        <v>2256</v>
      </c>
      <c r="J1546" s="5">
        <v>18</v>
      </c>
      <c r="K1546" s="8">
        <f t="shared" si="50"/>
        <v>113.13432835820896</v>
      </c>
      <c r="L1546" s="8">
        <f t="shared" si="51"/>
        <v>0.7978723404255319</v>
      </c>
      <c r="M1546" t="s">
        <v>20</v>
      </c>
      <c r="N1546" t="s">
        <v>421</v>
      </c>
    </row>
    <row r="1547" spans="1:14" x14ac:dyDescent="0.3">
      <c r="A1547" t="s">
        <v>1905</v>
      </c>
      <c r="B1547" s="2">
        <v>46240</v>
      </c>
      <c r="C1547" s="2">
        <v>46241</v>
      </c>
      <c r="D1547" s="1" t="s">
        <v>1011</v>
      </c>
      <c r="E1547" t="s">
        <v>1012</v>
      </c>
      <c r="F1547" t="s">
        <v>438</v>
      </c>
      <c r="G1547" s="5">
        <v>4020</v>
      </c>
      <c r="H1547" s="5">
        <v>4496</v>
      </c>
      <c r="I1547" s="5">
        <v>4458</v>
      </c>
      <c r="J1547" s="5">
        <v>38</v>
      </c>
      <c r="K1547" s="8">
        <f t="shared" si="50"/>
        <v>111.84079601990049</v>
      </c>
      <c r="L1547" s="8">
        <f t="shared" si="51"/>
        <v>0.85240017945266944</v>
      </c>
      <c r="M1547" t="s">
        <v>20</v>
      </c>
      <c r="N1547" t="s">
        <v>421</v>
      </c>
    </row>
    <row r="1548" spans="1:14" x14ac:dyDescent="0.3">
      <c r="A1548" t="s">
        <v>1906</v>
      </c>
      <c r="B1548" s="2">
        <v>46244</v>
      </c>
      <c r="C1548" s="2">
        <v>46245</v>
      </c>
      <c r="D1548" s="1" t="s">
        <v>1011</v>
      </c>
      <c r="E1548" t="s">
        <v>1012</v>
      </c>
      <c r="F1548" t="s">
        <v>438</v>
      </c>
      <c r="G1548" s="5">
        <v>2680</v>
      </c>
      <c r="H1548" s="5">
        <v>3017</v>
      </c>
      <c r="I1548" s="5">
        <v>2904</v>
      </c>
      <c r="J1548" s="5">
        <v>113</v>
      </c>
      <c r="K1548" s="8">
        <f t="shared" si="50"/>
        <v>112.57462686567163</v>
      </c>
      <c r="L1548" s="8">
        <f t="shared" si="51"/>
        <v>3.8911845730027546</v>
      </c>
      <c r="M1548" t="s">
        <v>20</v>
      </c>
      <c r="N1548" t="s">
        <v>421</v>
      </c>
    </row>
    <row r="1549" spans="1:14" x14ac:dyDescent="0.3">
      <c r="A1549" t="s">
        <v>1907</v>
      </c>
      <c r="B1549" s="2">
        <v>46247</v>
      </c>
      <c r="C1549" s="2">
        <v>46248</v>
      </c>
      <c r="D1549" s="1" t="s">
        <v>1011</v>
      </c>
      <c r="E1549" t="s">
        <v>1012</v>
      </c>
      <c r="F1549" t="s">
        <v>438</v>
      </c>
      <c r="G1549" s="5">
        <v>4020</v>
      </c>
      <c r="H1549" s="5">
        <v>4602</v>
      </c>
      <c r="I1549" s="5">
        <v>4566</v>
      </c>
      <c r="J1549" s="5">
        <v>36</v>
      </c>
      <c r="K1549" s="8">
        <f t="shared" si="50"/>
        <v>114.4776119402985</v>
      </c>
      <c r="L1549" s="8">
        <f t="shared" si="51"/>
        <v>0.78843626806833111</v>
      </c>
      <c r="M1549" t="s">
        <v>20</v>
      </c>
      <c r="N1549" t="s">
        <v>421</v>
      </c>
    </row>
    <row r="1550" spans="1:14" x14ac:dyDescent="0.3">
      <c r="A1550" t="s">
        <v>1908</v>
      </c>
      <c r="B1550" s="2">
        <v>46248</v>
      </c>
      <c r="C1550" s="2">
        <v>46251</v>
      </c>
      <c r="D1550" s="1" t="s">
        <v>1011</v>
      </c>
      <c r="E1550" t="s">
        <v>1012</v>
      </c>
      <c r="F1550" t="s">
        <v>438</v>
      </c>
      <c r="G1550" s="5">
        <v>4690</v>
      </c>
      <c r="H1550" s="5">
        <v>5331</v>
      </c>
      <c r="I1550" s="5">
        <v>5280</v>
      </c>
      <c r="J1550" s="5">
        <v>51</v>
      </c>
      <c r="K1550" s="8">
        <f t="shared" si="50"/>
        <v>113.66737739872067</v>
      </c>
      <c r="L1550" s="8">
        <f t="shared" si="51"/>
        <v>0.96590909090909083</v>
      </c>
      <c r="M1550" t="s">
        <v>20</v>
      </c>
      <c r="N1550" t="s">
        <v>421</v>
      </c>
    </row>
    <row r="1551" spans="1:14" x14ac:dyDescent="0.3">
      <c r="A1551" t="s">
        <v>1909</v>
      </c>
      <c r="B1551" s="2">
        <v>46244</v>
      </c>
      <c r="C1551" s="2">
        <v>46245</v>
      </c>
      <c r="D1551" s="1" t="s">
        <v>1016</v>
      </c>
      <c r="E1551" t="s">
        <v>1017</v>
      </c>
      <c r="F1551" t="s">
        <v>425</v>
      </c>
      <c r="G1551" s="5">
        <v>815</v>
      </c>
      <c r="H1551" s="5">
        <v>771</v>
      </c>
      <c r="I1551" s="5">
        <v>756</v>
      </c>
      <c r="J1551" s="5">
        <v>15</v>
      </c>
      <c r="K1551" s="8">
        <f t="shared" si="50"/>
        <v>94.601226993865026</v>
      </c>
      <c r="L1551" s="8">
        <f t="shared" si="51"/>
        <v>1.984126984126984</v>
      </c>
      <c r="M1551" t="s">
        <v>20</v>
      </c>
      <c r="N1551" t="s">
        <v>421</v>
      </c>
    </row>
    <row r="1552" spans="1:14" x14ac:dyDescent="0.3">
      <c r="A1552" t="s">
        <v>1910</v>
      </c>
      <c r="B1552" s="2">
        <v>46247</v>
      </c>
      <c r="C1552" s="2">
        <v>46248</v>
      </c>
      <c r="D1552" s="1" t="s">
        <v>1016</v>
      </c>
      <c r="E1552" t="s">
        <v>1017</v>
      </c>
      <c r="F1552" t="s">
        <v>425</v>
      </c>
      <c r="G1552" s="5">
        <v>815</v>
      </c>
      <c r="H1552" s="5">
        <v>794</v>
      </c>
      <c r="I1552" s="5">
        <v>792</v>
      </c>
      <c r="J1552" s="5">
        <v>2</v>
      </c>
      <c r="K1552" s="8">
        <f t="shared" si="50"/>
        <v>97.423312883435585</v>
      </c>
      <c r="L1552" s="8">
        <f t="shared" si="51"/>
        <v>0.25252525252525254</v>
      </c>
      <c r="M1552" t="s">
        <v>20</v>
      </c>
      <c r="N1552" t="s">
        <v>421</v>
      </c>
    </row>
    <row r="1553" spans="1:14" x14ac:dyDescent="0.3">
      <c r="A1553" t="s">
        <v>1911</v>
      </c>
      <c r="B1553" s="2">
        <v>46244</v>
      </c>
      <c r="C1553" s="2">
        <v>46245</v>
      </c>
      <c r="D1553" s="1" t="s">
        <v>1022</v>
      </c>
      <c r="E1553" t="s">
        <v>1023</v>
      </c>
      <c r="F1553" t="s">
        <v>420</v>
      </c>
      <c r="G1553" s="5">
        <v>78</v>
      </c>
      <c r="H1553" s="5">
        <v>75</v>
      </c>
      <c r="I1553" s="5">
        <v>75</v>
      </c>
      <c r="J1553" s="5">
        <v>0</v>
      </c>
      <c r="K1553" s="8">
        <f t="shared" si="50"/>
        <v>96.15384615384616</v>
      </c>
      <c r="L1553" s="8">
        <f t="shared" si="51"/>
        <v>0</v>
      </c>
      <c r="M1553" t="s">
        <v>20</v>
      </c>
      <c r="N1553" t="s">
        <v>421</v>
      </c>
    </row>
    <row r="1554" spans="1:14" x14ac:dyDescent="0.3">
      <c r="A1554" t="s">
        <v>1445</v>
      </c>
      <c r="B1554" s="2">
        <v>46239</v>
      </c>
      <c r="C1554" s="2">
        <v>46240</v>
      </c>
      <c r="D1554" s="1" t="s">
        <v>1025</v>
      </c>
      <c r="E1554" t="s">
        <v>1026</v>
      </c>
      <c r="F1554" t="s">
        <v>420</v>
      </c>
      <c r="G1554" s="5">
        <v>120</v>
      </c>
      <c r="H1554" s="5">
        <v>130</v>
      </c>
      <c r="I1554" s="5">
        <v>130</v>
      </c>
      <c r="J1554" s="5">
        <v>0</v>
      </c>
      <c r="K1554" s="8">
        <f t="shared" si="50"/>
        <v>108.33333333333333</v>
      </c>
      <c r="L1554" s="8">
        <f t="shared" si="51"/>
        <v>0</v>
      </c>
      <c r="M1554" t="s">
        <v>20</v>
      </c>
      <c r="N1554" t="s">
        <v>421</v>
      </c>
    </row>
    <row r="1555" spans="1:14" x14ac:dyDescent="0.3">
      <c r="A1555" t="s">
        <v>1447</v>
      </c>
      <c r="B1555" s="2">
        <v>46238</v>
      </c>
      <c r="C1555" s="2">
        <v>46240</v>
      </c>
      <c r="D1555" s="1" t="s">
        <v>1033</v>
      </c>
      <c r="E1555" t="s">
        <v>1034</v>
      </c>
      <c r="F1555" t="s">
        <v>438</v>
      </c>
      <c r="G1555" s="5">
        <v>204</v>
      </c>
      <c r="H1555" s="5">
        <v>187</v>
      </c>
      <c r="I1555" s="5">
        <v>181</v>
      </c>
      <c r="J1555" s="5">
        <v>6</v>
      </c>
      <c r="K1555" s="8">
        <f t="shared" si="50"/>
        <v>91.666666666666657</v>
      </c>
      <c r="L1555" s="8">
        <f t="shared" si="51"/>
        <v>3.3149171270718232</v>
      </c>
      <c r="M1555" t="s">
        <v>20</v>
      </c>
      <c r="N1555" t="s">
        <v>421</v>
      </c>
    </row>
    <row r="1556" spans="1:14" x14ac:dyDescent="0.3">
      <c r="A1556" t="s">
        <v>1912</v>
      </c>
      <c r="B1556" s="2">
        <v>46244</v>
      </c>
      <c r="C1556" s="2">
        <v>46245</v>
      </c>
      <c r="D1556" s="1" t="s">
        <v>1033</v>
      </c>
      <c r="E1556" t="s">
        <v>1034</v>
      </c>
      <c r="F1556" t="s">
        <v>438</v>
      </c>
      <c r="G1556" s="5">
        <v>204</v>
      </c>
      <c r="H1556" s="5">
        <v>184</v>
      </c>
      <c r="I1556" s="5">
        <v>174</v>
      </c>
      <c r="J1556" s="5">
        <v>10</v>
      </c>
      <c r="K1556" s="8">
        <f t="shared" si="50"/>
        <v>90.196078431372555</v>
      </c>
      <c r="L1556" s="8">
        <f t="shared" si="51"/>
        <v>5.7471264367816088</v>
      </c>
      <c r="M1556" t="s">
        <v>20</v>
      </c>
      <c r="N1556" t="s">
        <v>421</v>
      </c>
    </row>
    <row r="1557" spans="1:14" x14ac:dyDescent="0.3">
      <c r="A1557" t="s">
        <v>1913</v>
      </c>
      <c r="B1557" s="2">
        <v>46245</v>
      </c>
      <c r="C1557" s="2">
        <v>46247</v>
      </c>
      <c r="D1557" s="1" t="s">
        <v>1033</v>
      </c>
      <c r="E1557" t="s">
        <v>1034</v>
      </c>
      <c r="F1557" t="s">
        <v>438</v>
      </c>
      <c r="G1557" s="5">
        <v>204</v>
      </c>
      <c r="H1557" s="5">
        <v>189</v>
      </c>
      <c r="I1557" s="5">
        <v>189</v>
      </c>
      <c r="J1557" s="5">
        <v>0</v>
      </c>
      <c r="K1557" s="8">
        <f t="shared" si="50"/>
        <v>92.64705882352942</v>
      </c>
      <c r="L1557" s="8">
        <f t="shared" si="51"/>
        <v>0</v>
      </c>
      <c r="M1557" t="s">
        <v>20</v>
      </c>
      <c r="N1557" t="s">
        <v>421</v>
      </c>
    </row>
    <row r="1558" spans="1:14" x14ac:dyDescent="0.3">
      <c r="A1558" t="s">
        <v>1914</v>
      </c>
      <c r="B1558" s="2">
        <v>46246</v>
      </c>
      <c r="C1558" s="2">
        <v>46247</v>
      </c>
      <c r="D1558" s="1" t="s">
        <v>1033</v>
      </c>
      <c r="E1558" t="s">
        <v>1034</v>
      </c>
      <c r="F1558" t="s">
        <v>438</v>
      </c>
      <c r="G1558" s="5">
        <v>204</v>
      </c>
      <c r="H1558" s="5">
        <v>195</v>
      </c>
      <c r="I1558" s="5">
        <v>191</v>
      </c>
      <c r="J1558" s="5">
        <v>4</v>
      </c>
      <c r="K1558" s="8">
        <f t="shared" si="50"/>
        <v>95.588235294117652</v>
      </c>
      <c r="L1558" s="8">
        <f t="shared" si="51"/>
        <v>2.0942408376963351</v>
      </c>
      <c r="M1558" t="s">
        <v>20</v>
      </c>
      <c r="N1558" t="s">
        <v>421</v>
      </c>
    </row>
    <row r="1559" spans="1:14" x14ac:dyDescent="0.3">
      <c r="A1559" t="s">
        <v>1915</v>
      </c>
      <c r="B1559" s="2">
        <v>46247</v>
      </c>
      <c r="C1559" s="2">
        <v>46251</v>
      </c>
      <c r="D1559" s="1" t="s">
        <v>1033</v>
      </c>
      <c r="E1559" t="s">
        <v>1034</v>
      </c>
      <c r="F1559" t="s">
        <v>438</v>
      </c>
      <c r="G1559" s="5">
        <v>204</v>
      </c>
      <c r="H1559" s="5">
        <v>192</v>
      </c>
      <c r="I1559" s="5">
        <v>185</v>
      </c>
      <c r="J1559" s="5">
        <v>7</v>
      </c>
      <c r="K1559" s="8">
        <f t="shared" si="50"/>
        <v>94.117647058823522</v>
      </c>
      <c r="L1559" s="8">
        <f t="shared" si="51"/>
        <v>3.7837837837837842</v>
      </c>
      <c r="M1559" t="s">
        <v>20</v>
      </c>
      <c r="N1559" t="s">
        <v>421</v>
      </c>
    </row>
    <row r="1560" spans="1:14" x14ac:dyDescent="0.3">
      <c r="A1560" t="s">
        <v>1448</v>
      </c>
      <c r="B1560" s="2">
        <v>46238</v>
      </c>
      <c r="C1560" s="2">
        <v>46240</v>
      </c>
      <c r="D1560" s="1" t="s">
        <v>1045</v>
      </c>
      <c r="E1560" t="s">
        <v>1046</v>
      </c>
      <c r="F1560" t="s">
        <v>438</v>
      </c>
      <c r="G1560" s="5">
        <v>204</v>
      </c>
      <c r="H1560" s="5">
        <v>204</v>
      </c>
      <c r="I1560" s="5">
        <v>202</v>
      </c>
      <c r="J1560" s="5">
        <v>2</v>
      </c>
      <c r="K1560" s="8">
        <f t="shared" si="50"/>
        <v>100</v>
      </c>
      <c r="L1560" s="8">
        <f t="shared" si="51"/>
        <v>0.99009900990099009</v>
      </c>
      <c r="M1560" t="s">
        <v>20</v>
      </c>
      <c r="N1560" t="s">
        <v>421</v>
      </c>
    </row>
    <row r="1561" spans="1:14" x14ac:dyDescent="0.3">
      <c r="A1561" t="s">
        <v>1916</v>
      </c>
      <c r="B1561" s="2">
        <v>46244</v>
      </c>
      <c r="C1561" s="2">
        <v>46245</v>
      </c>
      <c r="D1561" s="1" t="s">
        <v>1045</v>
      </c>
      <c r="E1561" t="s">
        <v>1046</v>
      </c>
      <c r="F1561" t="s">
        <v>438</v>
      </c>
      <c r="G1561" s="5">
        <v>204</v>
      </c>
      <c r="H1561" s="5">
        <v>207</v>
      </c>
      <c r="I1561" s="5">
        <v>204</v>
      </c>
      <c r="J1561" s="5">
        <v>3</v>
      </c>
      <c r="K1561" s="8">
        <f t="shared" si="50"/>
        <v>101.47058823529412</v>
      </c>
      <c r="L1561" s="8">
        <f t="shared" si="51"/>
        <v>1.4705882352941175</v>
      </c>
      <c r="M1561" t="s">
        <v>20</v>
      </c>
      <c r="N1561" t="s">
        <v>421</v>
      </c>
    </row>
    <row r="1562" spans="1:14" x14ac:dyDescent="0.3">
      <c r="A1562" t="s">
        <v>1917</v>
      </c>
      <c r="B1562" s="2">
        <v>46247</v>
      </c>
      <c r="C1562" s="2">
        <v>46251</v>
      </c>
      <c r="D1562" s="1" t="s">
        <v>1045</v>
      </c>
      <c r="E1562" t="s">
        <v>1046</v>
      </c>
      <c r="F1562" t="s">
        <v>438</v>
      </c>
      <c r="G1562" s="5">
        <v>204</v>
      </c>
      <c r="H1562" s="5">
        <v>204</v>
      </c>
      <c r="I1562" s="5">
        <v>200</v>
      </c>
      <c r="J1562" s="5">
        <v>4</v>
      </c>
      <c r="K1562" s="8">
        <f t="shared" si="50"/>
        <v>100</v>
      </c>
      <c r="L1562" s="8">
        <f t="shared" si="51"/>
        <v>2</v>
      </c>
      <c r="M1562" t="s">
        <v>20</v>
      </c>
      <c r="N1562" t="s">
        <v>421</v>
      </c>
    </row>
    <row r="1563" spans="1:14" x14ac:dyDescent="0.3">
      <c r="A1563" t="s">
        <v>1918</v>
      </c>
      <c r="B1563" s="2">
        <v>46244</v>
      </c>
      <c r="C1563" s="2">
        <v>46245</v>
      </c>
      <c r="D1563" s="1" t="s">
        <v>1050</v>
      </c>
      <c r="E1563" t="s">
        <v>1051</v>
      </c>
      <c r="F1563" t="s">
        <v>438</v>
      </c>
      <c r="G1563" s="5">
        <v>85</v>
      </c>
      <c r="H1563" s="5">
        <v>82</v>
      </c>
      <c r="I1563" s="5">
        <v>79</v>
      </c>
      <c r="J1563" s="5">
        <v>3</v>
      </c>
      <c r="K1563" s="8">
        <f t="shared" si="50"/>
        <v>96.470588235294116</v>
      </c>
      <c r="L1563" s="8">
        <f t="shared" si="51"/>
        <v>3.79746835443038</v>
      </c>
      <c r="M1563" t="s">
        <v>20</v>
      </c>
      <c r="N1563" t="s">
        <v>421</v>
      </c>
    </row>
    <row r="1564" spans="1:14" x14ac:dyDescent="0.3">
      <c r="A1564" t="s">
        <v>1919</v>
      </c>
      <c r="B1564" s="2">
        <v>46245</v>
      </c>
      <c r="C1564" s="2">
        <v>46247</v>
      </c>
      <c r="D1564" s="1" t="s">
        <v>1050</v>
      </c>
      <c r="E1564" t="s">
        <v>1051</v>
      </c>
      <c r="F1564" t="s">
        <v>438</v>
      </c>
      <c r="G1564" s="5">
        <v>170</v>
      </c>
      <c r="H1564" s="5">
        <v>163</v>
      </c>
      <c r="I1564" s="5">
        <v>162</v>
      </c>
      <c r="J1564" s="5">
        <v>1</v>
      </c>
      <c r="K1564" s="8">
        <f t="shared" si="50"/>
        <v>95.882352941176478</v>
      </c>
      <c r="L1564" s="8">
        <f t="shared" si="51"/>
        <v>0.61728395061728392</v>
      </c>
      <c r="M1564" t="s">
        <v>20</v>
      </c>
      <c r="N1564" t="s">
        <v>421</v>
      </c>
    </row>
    <row r="1565" spans="1:14" x14ac:dyDescent="0.3">
      <c r="A1565" t="s">
        <v>1920</v>
      </c>
      <c r="B1565" s="2">
        <v>46246</v>
      </c>
      <c r="C1565" s="2">
        <v>46247</v>
      </c>
      <c r="D1565" s="1" t="s">
        <v>1050</v>
      </c>
      <c r="E1565" t="s">
        <v>1051</v>
      </c>
      <c r="F1565" t="s">
        <v>438</v>
      </c>
      <c r="G1565" s="5">
        <v>170</v>
      </c>
      <c r="H1565" s="5">
        <v>167</v>
      </c>
      <c r="I1565" s="5">
        <v>164</v>
      </c>
      <c r="J1565" s="5">
        <v>3</v>
      </c>
      <c r="K1565" s="8">
        <f t="shared" si="50"/>
        <v>98.235294117647058</v>
      </c>
      <c r="L1565" s="8">
        <f t="shared" si="51"/>
        <v>1.8292682926829267</v>
      </c>
      <c r="M1565" t="s">
        <v>20</v>
      </c>
      <c r="N1565" t="s">
        <v>421</v>
      </c>
    </row>
    <row r="1566" spans="1:14" x14ac:dyDescent="0.3">
      <c r="A1566" t="s">
        <v>1921</v>
      </c>
      <c r="B1566" s="2">
        <v>46247</v>
      </c>
      <c r="C1566" s="2">
        <v>46251</v>
      </c>
      <c r="D1566" s="1" t="s">
        <v>1050</v>
      </c>
      <c r="E1566" t="s">
        <v>1051</v>
      </c>
      <c r="F1566" t="s">
        <v>438</v>
      </c>
      <c r="G1566" s="5">
        <v>170</v>
      </c>
      <c r="H1566" s="5">
        <v>165</v>
      </c>
      <c r="I1566" s="5">
        <v>159</v>
      </c>
      <c r="J1566" s="5">
        <v>6</v>
      </c>
      <c r="K1566" s="8">
        <f t="shared" si="50"/>
        <v>97.058823529411768</v>
      </c>
      <c r="L1566" s="8">
        <f t="shared" si="51"/>
        <v>3.7735849056603774</v>
      </c>
      <c r="M1566" t="s">
        <v>20</v>
      </c>
      <c r="N1566" t="s">
        <v>421</v>
      </c>
    </row>
    <row r="1567" spans="1:14" x14ac:dyDescent="0.3">
      <c r="A1567" t="s">
        <v>1922</v>
      </c>
      <c r="B1567" s="2">
        <v>46244</v>
      </c>
      <c r="C1567" s="2">
        <v>46245</v>
      </c>
      <c r="D1567" s="1" t="s">
        <v>1059</v>
      </c>
      <c r="E1567" t="s">
        <v>1060</v>
      </c>
      <c r="F1567" t="s">
        <v>438</v>
      </c>
      <c r="G1567" s="5">
        <v>137</v>
      </c>
      <c r="H1567" s="5">
        <v>171</v>
      </c>
      <c r="I1567" s="5">
        <v>165</v>
      </c>
      <c r="J1567" s="5">
        <v>6</v>
      </c>
      <c r="K1567" s="8">
        <f t="shared" si="50"/>
        <v>124.81751824817518</v>
      </c>
      <c r="L1567" s="8">
        <f t="shared" si="51"/>
        <v>3.6363636363636362</v>
      </c>
      <c r="M1567" t="s">
        <v>20</v>
      </c>
      <c r="N1567" t="s">
        <v>421</v>
      </c>
    </row>
    <row r="1568" spans="1:14" x14ac:dyDescent="0.3">
      <c r="A1568" t="s">
        <v>1923</v>
      </c>
      <c r="B1568" s="2">
        <v>46246</v>
      </c>
      <c r="C1568" s="2">
        <v>46247</v>
      </c>
      <c r="D1568" s="1" t="s">
        <v>1059</v>
      </c>
      <c r="E1568" t="s">
        <v>1060</v>
      </c>
      <c r="F1568" t="s">
        <v>438</v>
      </c>
      <c r="G1568" s="5">
        <v>137</v>
      </c>
      <c r="H1568" s="5">
        <v>160</v>
      </c>
      <c r="I1568" s="5">
        <v>148</v>
      </c>
      <c r="J1568" s="5">
        <v>12</v>
      </c>
      <c r="K1568" s="8">
        <f t="shared" si="50"/>
        <v>116.7883211678832</v>
      </c>
      <c r="L1568" s="8">
        <f t="shared" si="51"/>
        <v>8.1081081081081088</v>
      </c>
      <c r="M1568" t="s">
        <v>20</v>
      </c>
      <c r="N1568" t="s">
        <v>421</v>
      </c>
    </row>
    <row r="1569" spans="1:14" x14ac:dyDescent="0.3">
      <c r="A1569" t="s">
        <v>1924</v>
      </c>
      <c r="B1569" s="2">
        <v>46241</v>
      </c>
      <c r="C1569" s="2">
        <v>46244</v>
      </c>
      <c r="D1569" s="1" t="s">
        <v>1073</v>
      </c>
      <c r="E1569" t="s">
        <v>1074</v>
      </c>
      <c r="F1569" t="s">
        <v>677</v>
      </c>
      <c r="G1569" s="5">
        <v>6000</v>
      </c>
      <c r="H1569" s="5">
        <v>5990</v>
      </c>
      <c r="I1569" s="5">
        <v>5970</v>
      </c>
      <c r="J1569" s="5">
        <v>20</v>
      </c>
      <c r="K1569" s="8">
        <f t="shared" si="50"/>
        <v>99.833333333333329</v>
      </c>
      <c r="L1569" s="8">
        <f t="shared" si="51"/>
        <v>0.33500837520938026</v>
      </c>
      <c r="M1569" t="s">
        <v>20</v>
      </c>
      <c r="N1569" t="s">
        <v>421</v>
      </c>
    </row>
    <row r="1570" spans="1:14" x14ac:dyDescent="0.3">
      <c r="A1570" t="s">
        <v>1925</v>
      </c>
      <c r="B1570" s="2">
        <v>46244</v>
      </c>
      <c r="C1570" s="2">
        <v>46245</v>
      </c>
      <c r="D1570" s="1" t="s">
        <v>1073</v>
      </c>
      <c r="E1570" t="s">
        <v>1074</v>
      </c>
      <c r="F1570" t="s">
        <v>677</v>
      </c>
      <c r="G1570" s="5">
        <v>3600</v>
      </c>
      <c r="H1570" s="5">
        <v>4111</v>
      </c>
      <c r="I1570" s="5">
        <v>4110</v>
      </c>
      <c r="J1570" s="5">
        <v>1</v>
      </c>
      <c r="K1570" s="8">
        <f t="shared" si="50"/>
        <v>114.19444444444444</v>
      </c>
      <c r="L1570" s="8">
        <f t="shared" si="51"/>
        <v>2.4330900243309004E-2</v>
      </c>
      <c r="M1570" t="s">
        <v>20</v>
      </c>
      <c r="N1570" t="s">
        <v>421</v>
      </c>
    </row>
    <row r="1571" spans="1:14" x14ac:dyDescent="0.3">
      <c r="A1571" t="s">
        <v>1926</v>
      </c>
      <c r="B1571" s="2">
        <v>46244</v>
      </c>
      <c r="C1571" s="2">
        <v>46245</v>
      </c>
      <c r="D1571" s="1" t="s">
        <v>1081</v>
      </c>
      <c r="E1571" t="s">
        <v>1453</v>
      </c>
      <c r="F1571" t="s">
        <v>677</v>
      </c>
      <c r="G1571" s="5">
        <v>4000</v>
      </c>
      <c r="H1571" s="5">
        <v>3780</v>
      </c>
      <c r="I1571" s="5">
        <v>3780</v>
      </c>
      <c r="J1571" s="5">
        <v>0</v>
      </c>
      <c r="K1571" s="8">
        <f t="shared" si="50"/>
        <v>94.5</v>
      </c>
      <c r="L1571" s="8">
        <f t="shared" si="51"/>
        <v>0</v>
      </c>
      <c r="M1571" t="s">
        <v>20</v>
      </c>
      <c r="N1571" t="s">
        <v>421</v>
      </c>
    </row>
    <row r="1572" spans="1:14" x14ac:dyDescent="0.3">
      <c r="A1572" t="s">
        <v>1456</v>
      </c>
      <c r="B1572" s="2">
        <v>46239</v>
      </c>
      <c r="C1572" s="2">
        <v>46240</v>
      </c>
      <c r="D1572" s="1" t="s">
        <v>1085</v>
      </c>
      <c r="E1572" t="s">
        <v>1086</v>
      </c>
      <c r="F1572" t="s">
        <v>438</v>
      </c>
      <c r="G1572" s="5">
        <v>600</v>
      </c>
      <c r="H1572" s="5">
        <v>564</v>
      </c>
      <c r="I1572" s="5">
        <v>564</v>
      </c>
      <c r="J1572" s="5">
        <v>0</v>
      </c>
      <c r="K1572" s="8">
        <f t="shared" si="50"/>
        <v>94</v>
      </c>
      <c r="L1572" s="8">
        <f t="shared" si="51"/>
        <v>0</v>
      </c>
      <c r="M1572" t="s">
        <v>20</v>
      </c>
      <c r="N1572" t="s">
        <v>421</v>
      </c>
    </row>
    <row r="1573" spans="1:14" x14ac:dyDescent="0.3">
      <c r="A1573" t="s">
        <v>1927</v>
      </c>
      <c r="B1573" s="2">
        <v>46251</v>
      </c>
      <c r="C1573" s="2">
        <v>46253</v>
      </c>
      <c r="D1573" s="1" t="s">
        <v>1085</v>
      </c>
      <c r="E1573" t="s">
        <v>1086</v>
      </c>
      <c r="F1573" t="s">
        <v>438</v>
      </c>
      <c r="G1573" s="5">
        <v>600</v>
      </c>
      <c r="H1573" s="5">
        <v>565</v>
      </c>
      <c r="I1573" s="5">
        <v>556</v>
      </c>
      <c r="J1573" s="5">
        <v>9</v>
      </c>
      <c r="K1573" s="8">
        <f t="shared" si="50"/>
        <v>94.166666666666671</v>
      </c>
      <c r="L1573" s="8">
        <f t="shared" si="51"/>
        <v>1.6187050359712229</v>
      </c>
      <c r="M1573" t="s">
        <v>20</v>
      </c>
      <c r="N1573" t="s">
        <v>421</v>
      </c>
    </row>
    <row r="1574" spans="1:14" x14ac:dyDescent="0.3">
      <c r="A1574" t="s">
        <v>1928</v>
      </c>
      <c r="B1574" s="2">
        <v>46252</v>
      </c>
      <c r="C1574" s="2">
        <v>46254</v>
      </c>
      <c r="D1574" s="1" t="s">
        <v>1085</v>
      </c>
      <c r="E1574" t="s">
        <v>1086</v>
      </c>
      <c r="F1574" t="s">
        <v>438</v>
      </c>
      <c r="G1574" s="5">
        <v>600</v>
      </c>
      <c r="H1574" s="5">
        <v>599</v>
      </c>
      <c r="I1574" s="5">
        <v>592</v>
      </c>
      <c r="J1574" s="5">
        <v>7</v>
      </c>
      <c r="K1574" s="8">
        <f t="shared" si="50"/>
        <v>99.833333333333329</v>
      </c>
      <c r="L1574" s="8">
        <f t="shared" si="51"/>
        <v>1.1824324324324325</v>
      </c>
      <c r="M1574" t="s">
        <v>20</v>
      </c>
      <c r="N1574" t="s">
        <v>421</v>
      </c>
    </row>
    <row r="1575" spans="1:14" x14ac:dyDescent="0.3">
      <c r="A1575" t="s">
        <v>1929</v>
      </c>
      <c r="B1575" s="2">
        <v>46245</v>
      </c>
      <c r="C1575" s="2">
        <v>46246</v>
      </c>
      <c r="D1575" s="1" t="s">
        <v>1930</v>
      </c>
      <c r="E1575" t="s">
        <v>1931</v>
      </c>
      <c r="F1575" t="s">
        <v>438</v>
      </c>
      <c r="G1575" s="5">
        <v>580</v>
      </c>
      <c r="H1575" s="5">
        <v>680</v>
      </c>
      <c r="I1575" s="5">
        <v>620</v>
      </c>
      <c r="J1575" s="5">
        <v>60</v>
      </c>
      <c r="K1575" s="8">
        <f t="shared" si="50"/>
        <v>117.24137931034481</v>
      </c>
      <c r="L1575" s="8">
        <f t="shared" si="51"/>
        <v>9.67741935483871</v>
      </c>
      <c r="M1575" t="s">
        <v>20</v>
      </c>
      <c r="N1575" t="s">
        <v>421</v>
      </c>
    </row>
    <row r="1576" spans="1:14" x14ac:dyDescent="0.3">
      <c r="A1576" t="s">
        <v>1458</v>
      </c>
      <c r="B1576" s="2">
        <v>46239</v>
      </c>
      <c r="C1576" s="2">
        <v>46240</v>
      </c>
      <c r="D1576" s="1" t="s">
        <v>1098</v>
      </c>
      <c r="E1576" t="s">
        <v>1099</v>
      </c>
      <c r="F1576" t="s">
        <v>438</v>
      </c>
      <c r="G1576" s="5">
        <v>1200</v>
      </c>
      <c r="H1576" s="5">
        <v>1315</v>
      </c>
      <c r="I1576" s="5">
        <v>1280</v>
      </c>
      <c r="J1576" s="5">
        <v>35</v>
      </c>
      <c r="K1576" s="8">
        <f t="shared" si="50"/>
        <v>109.58333333333334</v>
      </c>
      <c r="L1576" s="8">
        <f t="shared" si="51"/>
        <v>2.734375</v>
      </c>
      <c r="M1576" t="s">
        <v>20</v>
      </c>
      <c r="N1576" t="s">
        <v>421</v>
      </c>
    </row>
    <row r="1577" spans="1:14" x14ac:dyDescent="0.3">
      <c r="A1577" t="s">
        <v>1932</v>
      </c>
      <c r="B1577" s="2">
        <v>46240</v>
      </c>
      <c r="C1577" s="2">
        <v>46241</v>
      </c>
      <c r="D1577" s="1" t="s">
        <v>1098</v>
      </c>
      <c r="E1577" t="s">
        <v>1099</v>
      </c>
      <c r="F1577" t="s">
        <v>438</v>
      </c>
      <c r="G1577" s="5">
        <v>1200</v>
      </c>
      <c r="H1577" s="5">
        <v>1300</v>
      </c>
      <c r="I1577" s="5">
        <v>1260</v>
      </c>
      <c r="J1577" s="5">
        <v>40</v>
      </c>
      <c r="K1577" s="8">
        <f t="shared" si="50"/>
        <v>108.33333333333333</v>
      </c>
      <c r="L1577" s="8">
        <f t="shared" si="51"/>
        <v>3.1746031746031744</v>
      </c>
      <c r="M1577" t="s">
        <v>20</v>
      </c>
      <c r="N1577" t="s">
        <v>421</v>
      </c>
    </row>
    <row r="1578" spans="1:14" x14ac:dyDescent="0.3">
      <c r="A1578" t="s">
        <v>1933</v>
      </c>
      <c r="B1578" s="2">
        <v>46245</v>
      </c>
      <c r="C1578" s="2">
        <v>46251</v>
      </c>
      <c r="D1578" s="1" t="s">
        <v>1106</v>
      </c>
      <c r="E1578" t="s">
        <v>1107</v>
      </c>
      <c r="F1578" t="s">
        <v>425</v>
      </c>
      <c r="G1578" s="5">
        <v>1605</v>
      </c>
      <c r="H1578" s="5">
        <v>1322</v>
      </c>
      <c r="I1578" s="5">
        <v>1305</v>
      </c>
      <c r="J1578" s="5">
        <v>17</v>
      </c>
      <c r="K1578" s="8">
        <f t="shared" si="50"/>
        <v>82.36760124610592</v>
      </c>
      <c r="L1578" s="8">
        <f t="shared" si="51"/>
        <v>1.3026819923371646</v>
      </c>
      <c r="M1578" t="s">
        <v>20</v>
      </c>
      <c r="N1578" t="s">
        <v>421</v>
      </c>
    </row>
    <row r="1579" spans="1:14" x14ac:dyDescent="0.3">
      <c r="A1579" t="s">
        <v>1463</v>
      </c>
      <c r="B1579" s="2">
        <v>46239</v>
      </c>
      <c r="C1579" s="2">
        <v>46240</v>
      </c>
      <c r="D1579" s="1" t="s">
        <v>1110</v>
      </c>
      <c r="E1579" t="s">
        <v>1111</v>
      </c>
      <c r="F1579" t="s">
        <v>677</v>
      </c>
      <c r="G1579" s="5">
        <v>2000</v>
      </c>
      <c r="H1579" s="5">
        <v>1995</v>
      </c>
      <c r="I1579" s="5">
        <v>1995</v>
      </c>
      <c r="J1579" s="5">
        <v>0</v>
      </c>
      <c r="K1579" s="8">
        <f t="shared" si="50"/>
        <v>99.75</v>
      </c>
      <c r="L1579" s="8">
        <f t="shared" si="51"/>
        <v>0</v>
      </c>
      <c r="M1579" t="s">
        <v>20</v>
      </c>
      <c r="N1579" t="s">
        <v>421</v>
      </c>
    </row>
    <row r="1580" spans="1:14" x14ac:dyDescent="0.3">
      <c r="A1580" t="s">
        <v>1934</v>
      </c>
      <c r="B1580" s="2">
        <v>46240</v>
      </c>
      <c r="C1580" s="2">
        <v>46241</v>
      </c>
      <c r="D1580" s="1" t="s">
        <v>1110</v>
      </c>
      <c r="E1580" t="s">
        <v>1111</v>
      </c>
      <c r="F1580" t="s">
        <v>677</v>
      </c>
      <c r="G1580" s="5">
        <v>1000</v>
      </c>
      <c r="H1580" s="5">
        <v>1006</v>
      </c>
      <c r="I1580" s="5">
        <v>1005</v>
      </c>
      <c r="J1580" s="5">
        <v>1</v>
      </c>
      <c r="K1580" s="8">
        <f t="shared" ref="K1580:K1595" si="52">(H1580/G1580)*100</f>
        <v>100.6</v>
      </c>
      <c r="L1580" s="8">
        <f t="shared" ref="L1580:L1595" si="53">((H1580-I1580)/I1580)*100</f>
        <v>9.9502487562189046E-2</v>
      </c>
      <c r="M1580" t="s">
        <v>20</v>
      </c>
      <c r="N1580" t="s">
        <v>421</v>
      </c>
    </row>
    <row r="1581" spans="1:14" x14ac:dyDescent="0.3">
      <c r="A1581" t="s">
        <v>1935</v>
      </c>
      <c r="B1581" s="2">
        <v>46246</v>
      </c>
      <c r="C1581" s="2">
        <v>46247</v>
      </c>
      <c r="D1581" s="1" t="s">
        <v>1110</v>
      </c>
      <c r="E1581" t="s">
        <v>1111</v>
      </c>
      <c r="F1581" t="s">
        <v>677</v>
      </c>
      <c r="G1581" s="5">
        <v>5000</v>
      </c>
      <c r="H1581" s="5">
        <v>4995</v>
      </c>
      <c r="I1581" s="5">
        <v>4995</v>
      </c>
      <c r="J1581" s="5">
        <v>0</v>
      </c>
      <c r="K1581" s="8">
        <f t="shared" si="52"/>
        <v>99.9</v>
      </c>
      <c r="L1581" s="8">
        <f t="shared" si="53"/>
        <v>0</v>
      </c>
      <c r="M1581" t="s">
        <v>20</v>
      </c>
      <c r="N1581" t="s">
        <v>421</v>
      </c>
    </row>
    <row r="1582" spans="1:14" x14ac:dyDescent="0.3">
      <c r="A1582" t="s">
        <v>1936</v>
      </c>
      <c r="B1582" s="2">
        <v>46248</v>
      </c>
      <c r="C1582" s="2">
        <v>46251</v>
      </c>
      <c r="D1582" s="1" t="s">
        <v>1110</v>
      </c>
      <c r="E1582" t="s">
        <v>1111</v>
      </c>
      <c r="F1582" t="s">
        <v>677</v>
      </c>
      <c r="G1582" s="5">
        <v>5000</v>
      </c>
      <c r="H1582" s="5">
        <v>5000</v>
      </c>
      <c r="I1582" s="5">
        <v>4995</v>
      </c>
      <c r="J1582" s="5">
        <v>5</v>
      </c>
      <c r="K1582" s="8">
        <f t="shared" si="52"/>
        <v>100</v>
      </c>
      <c r="L1582" s="8">
        <f t="shared" si="53"/>
        <v>0.10010010010010009</v>
      </c>
      <c r="M1582" t="s">
        <v>20</v>
      </c>
      <c r="N1582" t="s">
        <v>421</v>
      </c>
    </row>
    <row r="1583" spans="1:14" x14ac:dyDescent="0.3">
      <c r="A1583" t="s">
        <v>1937</v>
      </c>
      <c r="B1583" s="2">
        <v>46245</v>
      </c>
      <c r="C1583" s="2">
        <v>46246</v>
      </c>
      <c r="D1583" s="1" t="s">
        <v>1115</v>
      </c>
      <c r="E1583" t="s">
        <v>1116</v>
      </c>
      <c r="F1583" t="s">
        <v>677</v>
      </c>
      <c r="G1583" s="5">
        <v>5000</v>
      </c>
      <c r="H1583" s="5">
        <v>4995</v>
      </c>
      <c r="I1583" s="5">
        <v>4995</v>
      </c>
      <c r="J1583" s="5">
        <v>0</v>
      </c>
      <c r="K1583" s="8">
        <f t="shared" si="52"/>
        <v>99.9</v>
      </c>
      <c r="L1583" s="8">
        <f t="shared" si="53"/>
        <v>0</v>
      </c>
      <c r="M1583" t="s">
        <v>20</v>
      </c>
      <c r="N1583" t="s">
        <v>421</v>
      </c>
    </row>
    <row r="1584" spans="1:14" x14ac:dyDescent="0.3">
      <c r="A1584" t="s">
        <v>1938</v>
      </c>
      <c r="B1584" s="2">
        <v>46247</v>
      </c>
      <c r="C1584" s="2">
        <v>46248</v>
      </c>
      <c r="D1584" s="1" t="s">
        <v>1115</v>
      </c>
      <c r="E1584" t="s">
        <v>1116</v>
      </c>
      <c r="F1584" t="s">
        <v>677</v>
      </c>
      <c r="G1584" s="5">
        <v>5000</v>
      </c>
      <c r="H1584" s="5">
        <v>4984</v>
      </c>
      <c r="I1584" s="5">
        <v>4980</v>
      </c>
      <c r="J1584" s="5">
        <v>4</v>
      </c>
      <c r="K1584" s="8">
        <f t="shared" si="52"/>
        <v>99.68</v>
      </c>
      <c r="L1584" s="8">
        <f t="shared" si="53"/>
        <v>8.0321285140562249E-2</v>
      </c>
      <c r="M1584" t="s">
        <v>20</v>
      </c>
      <c r="N1584" t="s">
        <v>421</v>
      </c>
    </row>
    <row r="1585" spans="1:14" x14ac:dyDescent="0.3">
      <c r="A1585" t="s">
        <v>1939</v>
      </c>
      <c r="B1585" s="2">
        <v>46252</v>
      </c>
      <c r="C1585" s="2">
        <v>46254</v>
      </c>
      <c r="D1585" s="1" t="s">
        <v>1115</v>
      </c>
      <c r="E1585" t="s">
        <v>1116</v>
      </c>
      <c r="F1585" t="s">
        <v>677</v>
      </c>
      <c r="G1585" s="5">
        <v>5000</v>
      </c>
      <c r="H1585" s="5">
        <v>5013</v>
      </c>
      <c r="I1585" s="5">
        <v>5010</v>
      </c>
      <c r="J1585" s="5">
        <v>3</v>
      </c>
      <c r="K1585" s="8">
        <f t="shared" si="52"/>
        <v>100.25999999999999</v>
      </c>
      <c r="L1585" s="8">
        <f t="shared" si="53"/>
        <v>5.9880239520958084E-2</v>
      </c>
      <c r="M1585" t="s">
        <v>20</v>
      </c>
      <c r="N1585" t="s">
        <v>421</v>
      </c>
    </row>
    <row r="1586" spans="1:14" x14ac:dyDescent="0.3">
      <c r="A1586" t="s">
        <v>1940</v>
      </c>
      <c r="B1586" s="2">
        <v>46244</v>
      </c>
      <c r="C1586" s="2">
        <v>46244</v>
      </c>
      <c r="D1586" s="1" t="s">
        <v>1120</v>
      </c>
      <c r="E1586" t="s">
        <v>1121</v>
      </c>
      <c r="F1586" t="s">
        <v>425</v>
      </c>
      <c r="G1586" s="5">
        <v>690</v>
      </c>
      <c r="H1586" s="5">
        <v>665</v>
      </c>
      <c r="I1586" s="5">
        <v>660</v>
      </c>
      <c r="J1586" s="5">
        <v>5</v>
      </c>
      <c r="K1586" s="8">
        <f t="shared" si="52"/>
        <v>96.376811594202891</v>
      </c>
      <c r="L1586" s="8">
        <f t="shared" si="53"/>
        <v>0.75757575757575757</v>
      </c>
      <c r="M1586" t="s">
        <v>20</v>
      </c>
      <c r="N1586" t="s">
        <v>421</v>
      </c>
    </row>
    <row r="1587" spans="1:14" x14ac:dyDescent="0.3">
      <c r="A1587" t="s">
        <v>1941</v>
      </c>
      <c r="B1587" s="2">
        <v>46246</v>
      </c>
      <c r="C1587" s="2">
        <v>46247</v>
      </c>
      <c r="D1587" s="1" t="s">
        <v>1120</v>
      </c>
      <c r="E1587" t="s">
        <v>1121</v>
      </c>
      <c r="F1587" t="s">
        <v>425</v>
      </c>
      <c r="G1587" s="5">
        <v>690</v>
      </c>
      <c r="H1587" s="5">
        <v>619</v>
      </c>
      <c r="I1587" s="5">
        <v>600</v>
      </c>
      <c r="J1587" s="5">
        <v>19</v>
      </c>
      <c r="K1587" s="8">
        <f t="shared" si="52"/>
        <v>89.710144927536234</v>
      </c>
      <c r="L1587" s="8">
        <f t="shared" si="53"/>
        <v>3.166666666666667</v>
      </c>
      <c r="M1587" t="s">
        <v>20</v>
      </c>
      <c r="N1587" t="s">
        <v>421</v>
      </c>
    </row>
    <row r="1588" spans="1:14" x14ac:dyDescent="0.3">
      <c r="A1588" t="s">
        <v>1942</v>
      </c>
      <c r="B1588" s="2">
        <v>46244</v>
      </c>
      <c r="C1588" s="2">
        <v>46245</v>
      </c>
      <c r="D1588" s="1" t="s">
        <v>1943</v>
      </c>
      <c r="E1588" t="s">
        <v>1944</v>
      </c>
      <c r="F1588" t="s">
        <v>425</v>
      </c>
      <c r="G1588" s="5">
        <v>720</v>
      </c>
      <c r="H1588" s="5">
        <v>645</v>
      </c>
      <c r="I1588" s="5">
        <v>630</v>
      </c>
      <c r="J1588" s="5">
        <v>15</v>
      </c>
      <c r="K1588" s="8">
        <f t="shared" si="52"/>
        <v>89.583333333333343</v>
      </c>
      <c r="L1588" s="8">
        <f t="shared" si="53"/>
        <v>2.3809523809523809</v>
      </c>
      <c r="M1588" t="s">
        <v>20</v>
      </c>
      <c r="N1588" t="s">
        <v>421</v>
      </c>
    </row>
    <row r="1589" spans="1:14" x14ac:dyDescent="0.3">
      <c r="A1589" t="s">
        <v>1945</v>
      </c>
      <c r="B1589" s="2">
        <v>46245</v>
      </c>
      <c r="C1589" s="2">
        <v>46246</v>
      </c>
      <c r="D1589" s="1" t="s">
        <v>1943</v>
      </c>
      <c r="E1589" t="s">
        <v>1944</v>
      </c>
      <c r="F1589" t="s">
        <v>425</v>
      </c>
      <c r="G1589" s="5">
        <v>720</v>
      </c>
      <c r="H1589" s="5">
        <v>600</v>
      </c>
      <c r="I1589" s="5">
        <v>585</v>
      </c>
      <c r="J1589" s="5">
        <v>15</v>
      </c>
      <c r="K1589" s="8">
        <f t="shared" si="52"/>
        <v>83.333333333333343</v>
      </c>
      <c r="L1589" s="8">
        <f t="shared" si="53"/>
        <v>2.5641025641025639</v>
      </c>
      <c r="M1589" t="s">
        <v>20</v>
      </c>
      <c r="N1589" t="s">
        <v>421</v>
      </c>
    </row>
    <row r="1590" spans="1:14" x14ac:dyDescent="0.3">
      <c r="A1590" t="s">
        <v>1946</v>
      </c>
      <c r="B1590" s="2">
        <v>46246</v>
      </c>
      <c r="C1590" s="2">
        <v>46247</v>
      </c>
      <c r="D1590" s="1" t="s">
        <v>1129</v>
      </c>
      <c r="E1590" t="s">
        <v>1130</v>
      </c>
      <c r="F1590" t="s">
        <v>438</v>
      </c>
      <c r="G1590" s="5">
        <v>1360</v>
      </c>
      <c r="H1590" s="5">
        <v>1342</v>
      </c>
      <c r="I1590" s="5">
        <v>1320</v>
      </c>
      <c r="J1590" s="5">
        <v>22</v>
      </c>
      <c r="K1590" s="8">
        <f t="shared" si="52"/>
        <v>98.676470588235304</v>
      </c>
      <c r="L1590" s="8">
        <f t="shared" si="53"/>
        <v>1.6666666666666667</v>
      </c>
      <c r="M1590" t="s">
        <v>20</v>
      </c>
      <c r="N1590" t="s">
        <v>421</v>
      </c>
    </row>
    <row r="1591" spans="1:14" x14ac:dyDescent="0.3">
      <c r="A1591" t="s">
        <v>1947</v>
      </c>
      <c r="B1591" s="2">
        <v>46241</v>
      </c>
      <c r="C1591" s="2">
        <v>46244</v>
      </c>
      <c r="D1591" s="1" t="s">
        <v>1134</v>
      </c>
      <c r="E1591" t="s">
        <v>1135</v>
      </c>
      <c r="F1591" t="s">
        <v>438</v>
      </c>
      <c r="G1591" s="5">
        <v>6192</v>
      </c>
      <c r="H1591" s="5">
        <v>6383</v>
      </c>
      <c r="I1591" s="5">
        <v>6270</v>
      </c>
      <c r="J1591" s="5">
        <v>113</v>
      </c>
      <c r="K1591" s="8">
        <f t="shared" si="52"/>
        <v>103.08462532299743</v>
      </c>
      <c r="L1591" s="8">
        <f t="shared" si="53"/>
        <v>1.802232854864434</v>
      </c>
      <c r="M1591" t="s">
        <v>20</v>
      </c>
      <c r="N1591" t="s">
        <v>421</v>
      </c>
    </row>
    <row r="1592" spans="1:14" x14ac:dyDescent="0.3">
      <c r="A1592" t="s">
        <v>1948</v>
      </c>
      <c r="B1592" s="2">
        <v>46247</v>
      </c>
      <c r="C1592" s="2">
        <v>46248</v>
      </c>
      <c r="D1592" s="1" t="s">
        <v>1134</v>
      </c>
      <c r="E1592" t="s">
        <v>1135</v>
      </c>
      <c r="F1592" t="s">
        <v>438</v>
      </c>
      <c r="G1592" s="5">
        <v>3096</v>
      </c>
      <c r="H1592" s="5">
        <v>3270</v>
      </c>
      <c r="I1592" s="5">
        <v>3240</v>
      </c>
      <c r="J1592" s="5">
        <v>30</v>
      </c>
      <c r="K1592" s="8">
        <f t="shared" si="52"/>
        <v>105.62015503875971</v>
      </c>
      <c r="L1592" s="8">
        <f t="shared" si="53"/>
        <v>0.92592592592592582</v>
      </c>
      <c r="M1592" t="s">
        <v>20</v>
      </c>
      <c r="N1592" t="s">
        <v>421</v>
      </c>
    </row>
    <row r="1593" spans="1:14" x14ac:dyDescent="0.3">
      <c r="A1593" t="s">
        <v>1949</v>
      </c>
      <c r="B1593" s="2">
        <v>46248</v>
      </c>
      <c r="C1593" s="2">
        <v>46251</v>
      </c>
      <c r="D1593" s="1" t="s">
        <v>1134</v>
      </c>
      <c r="E1593" t="s">
        <v>1135</v>
      </c>
      <c r="F1593" t="s">
        <v>438</v>
      </c>
      <c r="G1593" s="5">
        <v>3096</v>
      </c>
      <c r="H1593" s="5">
        <v>3150</v>
      </c>
      <c r="I1593" s="5">
        <v>3120</v>
      </c>
      <c r="J1593" s="5">
        <v>30</v>
      </c>
      <c r="K1593" s="8">
        <f t="shared" si="52"/>
        <v>101.74418604651163</v>
      </c>
      <c r="L1593" s="8">
        <f t="shared" si="53"/>
        <v>0.96153846153846156</v>
      </c>
      <c r="M1593" t="s">
        <v>20</v>
      </c>
      <c r="N1593" t="s">
        <v>421</v>
      </c>
    </row>
    <row r="1594" spans="1:14" x14ac:dyDescent="0.3">
      <c r="A1594" t="s">
        <v>1950</v>
      </c>
      <c r="B1594" s="2">
        <v>46240</v>
      </c>
      <c r="C1594" s="2">
        <v>46241</v>
      </c>
      <c r="D1594" s="1" t="s">
        <v>1951</v>
      </c>
      <c r="E1594" t="s">
        <v>1952</v>
      </c>
      <c r="F1594" t="s">
        <v>495</v>
      </c>
      <c r="G1594" s="5">
        <v>640</v>
      </c>
      <c r="H1594" s="5">
        <v>660</v>
      </c>
      <c r="I1594" s="5">
        <v>651</v>
      </c>
      <c r="J1594" s="5">
        <v>9</v>
      </c>
      <c r="K1594" s="8">
        <f t="shared" si="52"/>
        <v>103.125</v>
      </c>
      <c r="L1594" s="8">
        <f t="shared" si="53"/>
        <v>1.3824884792626728</v>
      </c>
      <c r="M1594" t="s">
        <v>20</v>
      </c>
      <c r="N1594" t="s">
        <v>421</v>
      </c>
    </row>
    <row r="1595" spans="1:14" x14ac:dyDescent="0.3">
      <c r="A1595" t="s">
        <v>1953</v>
      </c>
      <c r="B1595" s="2">
        <v>46244</v>
      </c>
      <c r="C1595" s="2">
        <v>46245</v>
      </c>
      <c r="D1595" s="1" t="s">
        <v>1951</v>
      </c>
      <c r="E1595" t="s">
        <v>1952</v>
      </c>
      <c r="F1595" t="s">
        <v>495</v>
      </c>
      <c r="G1595" s="5">
        <v>128</v>
      </c>
      <c r="H1595" s="5">
        <v>134</v>
      </c>
      <c r="I1595" s="5">
        <v>132</v>
      </c>
      <c r="J1595" s="5">
        <v>2</v>
      </c>
      <c r="K1595" s="8">
        <f t="shared" si="52"/>
        <v>104.6875</v>
      </c>
      <c r="L1595" s="8">
        <f t="shared" si="53"/>
        <v>1.5151515151515151</v>
      </c>
      <c r="M1595" t="s">
        <v>20</v>
      </c>
      <c r="N1595" t="s">
        <v>421</v>
      </c>
    </row>
  </sheetData>
  <autoFilter ref="A3:N3" xr:uid="{5AEEEB34-984A-4963-BC89-10442EA8FBF7}">
    <sortState xmlns:xlrd2="http://schemas.microsoft.com/office/spreadsheetml/2017/richdata2" ref="A4:N289">
      <sortCondition ref="C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C1AA3-C7C1-47D9-BE4E-3766F5BDA903}">
  <dimension ref="A1:N290"/>
  <sheetViews>
    <sheetView workbookViewId="0">
      <selection activeCell="L4" sqref="L4"/>
    </sheetView>
  </sheetViews>
  <sheetFormatPr baseColWidth="10" defaultRowHeight="14.4" x14ac:dyDescent="0.3"/>
  <cols>
    <col min="4" max="4" width="9.88671875" customWidth="1"/>
    <col min="5" max="5" width="46.5546875" bestFit="1" customWidth="1"/>
    <col min="6" max="8" width="11.5546875" customWidth="1"/>
    <col min="9" max="12" width="11.5546875" style="5"/>
    <col min="13" max="13" width="0" hidden="1" customWidth="1"/>
  </cols>
  <sheetData>
    <row r="1" spans="1:14" x14ac:dyDescent="0.3">
      <c r="A1" t="s">
        <v>0</v>
      </c>
    </row>
    <row r="2" spans="1:14" x14ac:dyDescent="0.3">
      <c r="A2" t="s">
        <v>1</v>
      </c>
    </row>
    <row r="3" spans="1:14" x14ac:dyDescent="0.3">
      <c r="A3" s="3" t="s">
        <v>2</v>
      </c>
      <c r="B3" s="3" t="s">
        <v>3</v>
      </c>
      <c r="C3" s="3" t="s">
        <v>4</v>
      </c>
      <c r="D3" s="4" t="s">
        <v>5</v>
      </c>
      <c r="E3" s="3" t="s">
        <v>6</v>
      </c>
      <c r="F3" s="3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3" t="s">
        <v>14</v>
      </c>
      <c r="N3" s="3" t="s">
        <v>15</v>
      </c>
    </row>
    <row r="4" spans="1:14" x14ac:dyDescent="0.3">
      <c r="A4" t="s">
        <v>1253</v>
      </c>
      <c r="B4" s="2">
        <v>46225</v>
      </c>
      <c r="C4" s="2">
        <v>46237</v>
      </c>
      <c r="D4" s="1" t="s">
        <v>1254</v>
      </c>
      <c r="E4" t="s">
        <v>1255</v>
      </c>
      <c r="F4" t="s">
        <v>97</v>
      </c>
      <c r="G4">
        <v>48</v>
      </c>
      <c r="H4">
        <v>35</v>
      </c>
      <c r="I4" s="5">
        <v>35</v>
      </c>
      <c r="J4" s="5">
        <v>0</v>
      </c>
      <c r="K4" s="5">
        <v>73</v>
      </c>
      <c r="L4" s="5">
        <v>0</v>
      </c>
      <c r="M4" t="s">
        <v>20</v>
      </c>
      <c r="N4" t="s">
        <v>21</v>
      </c>
    </row>
    <row r="5" spans="1:14" x14ac:dyDescent="0.3">
      <c r="A5" t="s">
        <v>1252</v>
      </c>
      <c r="B5" s="2">
        <v>46230</v>
      </c>
      <c r="C5" s="2">
        <v>46235</v>
      </c>
      <c r="D5" s="1" t="s">
        <v>352</v>
      </c>
      <c r="E5" t="s">
        <v>353</v>
      </c>
      <c r="F5" t="s">
        <v>19</v>
      </c>
      <c r="G5">
        <v>125</v>
      </c>
      <c r="H5">
        <v>125</v>
      </c>
      <c r="I5" s="5">
        <v>125</v>
      </c>
      <c r="J5" s="5">
        <v>0</v>
      </c>
      <c r="K5" s="5">
        <v>100</v>
      </c>
      <c r="L5" s="5">
        <v>0</v>
      </c>
      <c r="M5" t="s">
        <v>20</v>
      </c>
      <c r="N5" t="s">
        <v>21</v>
      </c>
    </row>
    <row r="6" spans="1:14" x14ac:dyDescent="0.3">
      <c r="A6" t="s">
        <v>1209</v>
      </c>
      <c r="B6" s="2">
        <v>46231</v>
      </c>
      <c r="C6" s="2">
        <v>46233</v>
      </c>
      <c r="D6" s="1" t="s">
        <v>48</v>
      </c>
      <c r="E6" t="s">
        <v>49</v>
      </c>
      <c r="F6" t="s">
        <v>39</v>
      </c>
      <c r="G6">
        <v>280</v>
      </c>
      <c r="H6">
        <v>236</v>
      </c>
      <c r="I6" s="5">
        <v>221</v>
      </c>
      <c r="J6" s="5">
        <v>15</v>
      </c>
      <c r="K6" s="5">
        <v>84</v>
      </c>
      <c r="L6" s="5">
        <v>6</v>
      </c>
      <c r="M6" t="s">
        <v>20</v>
      </c>
      <c r="N6" t="s">
        <v>21</v>
      </c>
    </row>
    <row r="7" spans="1:14" x14ac:dyDescent="0.3">
      <c r="A7" t="s">
        <v>1256</v>
      </c>
      <c r="B7" s="2">
        <v>46231</v>
      </c>
      <c r="C7" s="2">
        <v>46237</v>
      </c>
      <c r="D7" s="1" t="s">
        <v>272</v>
      </c>
      <c r="E7" t="s">
        <v>273</v>
      </c>
      <c r="F7" t="s">
        <v>61</v>
      </c>
      <c r="G7">
        <v>1729</v>
      </c>
      <c r="H7">
        <v>1734</v>
      </c>
      <c r="I7" s="5">
        <v>1729</v>
      </c>
      <c r="J7" s="5">
        <v>5</v>
      </c>
      <c r="K7" s="5">
        <v>100</v>
      </c>
      <c r="L7" s="5">
        <v>0</v>
      </c>
      <c r="M7" t="s">
        <v>20</v>
      </c>
      <c r="N7" t="s">
        <v>21</v>
      </c>
    </row>
    <row r="8" spans="1:14" x14ac:dyDescent="0.3">
      <c r="A8" t="s">
        <v>1219</v>
      </c>
      <c r="B8" s="2">
        <v>46232</v>
      </c>
      <c r="C8" s="2">
        <v>46234</v>
      </c>
      <c r="D8" s="1" t="s">
        <v>1220</v>
      </c>
      <c r="E8" t="s">
        <v>1221</v>
      </c>
      <c r="F8" t="s">
        <v>97</v>
      </c>
      <c r="G8">
        <v>546</v>
      </c>
      <c r="H8">
        <v>546</v>
      </c>
      <c r="I8" s="5">
        <v>427</v>
      </c>
      <c r="J8" s="5">
        <v>119</v>
      </c>
      <c r="K8" s="5">
        <v>100</v>
      </c>
      <c r="L8" s="5">
        <v>22</v>
      </c>
      <c r="M8" t="s">
        <v>20</v>
      </c>
      <c r="N8" t="s">
        <v>21</v>
      </c>
    </row>
    <row r="9" spans="1:14" x14ac:dyDescent="0.3">
      <c r="A9" t="s">
        <v>1218</v>
      </c>
      <c r="B9" s="2">
        <v>46232</v>
      </c>
      <c r="C9" s="2">
        <v>46234</v>
      </c>
      <c r="D9" s="1" t="s">
        <v>355</v>
      </c>
      <c r="E9" t="s">
        <v>356</v>
      </c>
      <c r="F9" t="s">
        <v>97</v>
      </c>
      <c r="G9">
        <v>33</v>
      </c>
      <c r="H9">
        <v>33</v>
      </c>
      <c r="I9" s="5">
        <v>29</v>
      </c>
      <c r="J9" s="5">
        <v>4</v>
      </c>
      <c r="K9" s="5">
        <v>100</v>
      </c>
      <c r="L9" s="5">
        <v>12</v>
      </c>
      <c r="M9" t="s">
        <v>20</v>
      </c>
      <c r="N9" t="s">
        <v>21</v>
      </c>
    </row>
    <row r="10" spans="1:14" x14ac:dyDescent="0.3">
      <c r="A10" t="s">
        <v>378</v>
      </c>
      <c r="B10" s="2">
        <v>46232</v>
      </c>
      <c r="C10" s="2">
        <v>46233</v>
      </c>
      <c r="D10" s="1" t="s">
        <v>376</v>
      </c>
      <c r="E10" t="s">
        <v>377</v>
      </c>
      <c r="F10" t="s">
        <v>39</v>
      </c>
      <c r="G10">
        <v>310</v>
      </c>
      <c r="H10">
        <v>336</v>
      </c>
      <c r="I10" s="5">
        <v>311</v>
      </c>
      <c r="J10" s="5">
        <v>25</v>
      </c>
      <c r="K10" s="5">
        <v>108</v>
      </c>
      <c r="L10" s="5">
        <v>7</v>
      </c>
      <c r="M10" t="s">
        <v>20</v>
      </c>
      <c r="N10" t="s">
        <v>21</v>
      </c>
    </row>
    <row r="11" spans="1:14" x14ac:dyDescent="0.3">
      <c r="A11" t="s">
        <v>57</v>
      </c>
      <c r="B11" s="2">
        <v>46232</v>
      </c>
      <c r="C11" s="2">
        <v>46233</v>
      </c>
      <c r="D11" s="1" t="s">
        <v>54</v>
      </c>
      <c r="E11" t="s">
        <v>55</v>
      </c>
      <c r="F11" t="s">
        <v>39</v>
      </c>
      <c r="G11">
        <v>414</v>
      </c>
      <c r="H11">
        <v>409</v>
      </c>
      <c r="I11" s="5">
        <v>404</v>
      </c>
      <c r="J11" s="5">
        <v>5</v>
      </c>
      <c r="K11" s="5">
        <v>99</v>
      </c>
      <c r="L11" s="5">
        <v>1</v>
      </c>
      <c r="M11" t="s">
        <v>20</v>
      </c>
      <c r="N11" t="s">
        <v>21</v>
      </c>
    </row>
    <row r="12" spans="1:14" x14ac:dyDescent="0.3">
      <c r="A12" t="s">
        <v>176</v>
      </c>
      <c r="B12" s="2">
        <v>46232</v>
      </c>
      <c r="C12" s="2">
        <v>46233</v>
      </c>
      <c r="D12" s="1" t="s">
        <v>171</v>
      </c>
      <c r="E12" t="s">
        <v>172</v>
      </c>
      <c r="F12" t="s">
        <v>97</v>
      </c>
      <c r="G12">
        <v>225</v>
      </c>
      <c r="H12">
        <v>231</v>
      </c>
      <c r="I12" s="5">
        <v>229</v>
      </c>
      <c r="J12" s="5">
        <v>2</v>
      </c>
      <c r="K12" s="5">
        <v>103</v>
      </c>
      <c r="L12" s="5">
        <v>1</v>
      </c>
      <c r="M12" t="s">
        <v>20</v>
      </c>
      <c r="N12" t="s">
        <v>21</v>
      </c>
    </row>
    <row r="13" spans="1:14" x14ac:dyDescent="0.3">
      <c r="A13" t="s">
        <v>196</v>
      </c>
      <c r="B13" s="2">
        <v>46232</v>
      </c>
      <c r="C13" s="2">
        <v>46233</v>
      </c>
      <c r="D13" s="1" t="s">
        <v>189</v>
      </c>
      <c r="E13" t="s">
        <v>190</v>
      </c>
      <c r="F13" t="s">
        <v>97</v>
      </c>
      <c r="G13">
        <v>150</v>
      </c>
      <c r="H13">
        <v>170</v>
      </c>
      <c r="I13" s="5">
        <v>170</v>
      </c>
      <c r="J13" s="5">
        <v>0</v>
      </c>
      <c r="K13" s="5">
        <v>113</v>
      </c>
      <c r="L13" s="5">
        <v>0</v>
      </c>
      <c r="M13" t="s">
        <v>20</v>
      </c>
      <c r="N13" t="s">
        <v>21</v>
      </c>
    </row>
    <row r="14" spans="1:14" x14ac:dyDescent="0.3">
      <c r="A14" t="s">
        <v>181</v>
      </c>
      <c r="B14" s="2">
        <v>46232</v>
      </c>
      <c r="C14" s="2">
        <v>46233</v>
      </c>
      <c r="D14" s="1" t="s">
        <v>178</v>
      </c>
      <c r="E14" t="s">
        <v>179</v>
      </c>
      <c r="F14" t="s">
        <v>97</v>
      </c>
      <c r="G14">
        <v>150</v>
      </c>
      <c r="H14">
        <v>153</v>
      </c>
      <c r="I14" s="5">
        <v>153</v>
      </c>
      <c r="J14" s="5">
        <v>0</v>
      </c>
      <c r="K14" s="5">
        <v>102</v>
      </c>
      <c r="L14" s="5">
        <v>0</v>
      </c>
      <c r="M14" t="s">
        <v>20</v>
      </c>
      <c r="N14" t="s">
        <v>21</v>
      </c>
    </row>
    <row r="15" spans="1:14" x14ac:dyDescent="0.3">
      <c r="A15" t="s">
        <v>346</v>
      </c>
      <c r="B15" s="2">
        <v>46232</v>
      </c>
      <c r="C15" s="2">
        <v>46233</v>
      </c>
      <c r="D15" s="1" t="s">
        <v>333</v>
      </c>
      <c r="E15" t="s">
        <v>334</v>
      </c>
      <c r="F15" t="s">
        <v>61</v>
      </c>
      <c r="G15">
        <v>300</v>
      </c>
      <c r="H15">
        <v>306</v>
      </c>
      <c r="I15" s="5">
        <v>306</v>
      </c>
      <c r="J15" s="5">
        <v>0</v>
      </c>
      <c r="K15" s="5">
        <v>102</v>
      </c>
      <c r="L15" s="5">
        <v>0</v>
      </c>
      <c r="M15" t="s">
        <v>20</v>
      </c>
      <c r="N15" t="s">
        <v>21</v>
      </c>
    </row>
    <row r="16" spans="1:14" x14ac:dyDescent="0.3">
      <c r="A16" t="s">
        <v>127</v>
      </c>
      <c r="B16" s="2">
        <v>46232</v>
      </c>
      <c r="C16" s="2">
        <v>46233</v>
      </c>
      <c r="D16" s="1" t="s">
        <v>102</v>
      </c>
      <c r="E16" t="s">
        <v>103</v>
      </c>
      <c r="F16" t="s">
        <v>61</v>
      </c>
      <c r="G16">
        <v>396</v>
      </c>
      <c r="H16">
        <v>420</v>
      </c>
      <c r="I16" s="5">
        <v>420</v>
      </c>
      <c r="J16" s="5">
        <v>0</v>
      </c>
      <c r="K16" s="5">
        <v>106</v>
      </c>
      <c r="L16" s="5">
        <v>0</v>
      </c>
      <c r="M16" t="s">
        <v>20</v>
      </c>
      <c r="N16" t="s">
        <v>21</v>
      </c>
    </row>
    <row r="17" spans="1:14" x14ac:dyDescent="0.3">
      <c r="A17" t="s">
        <v>350</v>
      </c>
      <c r="B17" s="2">
        <v>46232</v>
      </c>
      <c r="C17" s="2">
        <v>46233</v>
      </c>
      <c r="D17" s="1" t="s">
        <v>348</v>
      </c>
      <c r="E17" t="s">
        <v>349</v>
      </c>
      <c r="F17" t="s">
        <v>61</v>
      </c>
      <c r="G17">
        <v>600</v>
      </c>
      <c r="H17">
        <v>613</v>
      </c>
      <c r="I17" s="5">
        <v>612</v>
      </c>
      <c r="J17" s="5">
        <v>1</v>
      </c>
      <c r="K17" s="5">
        <v>102</v>
      </c>
      <c r="L17" s="5">
        <v>0</v>
      </c>
      <c r="M17" t="s">
        <v>20</v>
      </c>
      <c r="N17" t="s">
        <v>21</v>
      </c>
    </row>
    <row r="18" spans="1:14" x14ac:dyDescent="0.3">
      <c r="A18" t="s">
        <v>79</v>
      </c>
      <c r="B18" s="2">
        <v>46232</v>
      </c>
      <c r="C18" s="2">
        <v>46233</v>
      </c>
      <c r="D18" s="1" t="s">
        <v>66</v>
      </c>
      <c r="E18" t="s">
        <v>67</v>
      </c>
      <c r="F18" t="s">
        <v>61</v>
      </c>
      <c r="G18">
        <v>300</v>
      </c>
      <c r="H18">
        <v>312</v>
      </c>
      <c r="I18" s="5">
        <v>312</v>
      </c>
      <c r="J18" s="5">
        <v>0</v>
      </c>
      <c r="K18" s="5">
        <v>104</v>
      </c>
      <c r="L18" s="5">
        <v>0</v>
      </c>
      <c r="M18" t="s">
        <v>20</v>
      </c>
      <c r="N18" t="s">
        <v>21</v>
      </c>
    </row>
    <row r="19" spans="1:14" x14ac:dyDescent="0.3">
      <c r="A19" t="s">
        <v>270</v>
      </c>
      <c r="B19" s="2">
        <v>46232</v>
      </c>
      <c r="C19" s="2">
        <v>46233</v>
      </c>
      <c r="D19" s="1" t="s">
        <v>266</v>
      </c>
      <c r="E19" t="s">
        <v>267</v>
      </c>
      <c r="F19" t="s">
        <v>19</v>
      </c>
      <c r="G19">
        <v>150</v>
      </c>
      <c r="H19">
        <v>150</v>
      </c>
      <c r="I19" s="5">
        <v>150</v>
      </c>
      <c r="J19" s="5">
        <v>0</v>
      </c>
      <c r="K19" s="5">
        <v>100</v>
      </c>
      <c r="L19" s="5">
        <v>0</v>
      </c>
      <c r="M19" t="s">
        <v>20</v>
      </c>
      <c r="N19" t="s">
        <v>21</v>
      </c>
    </row>
    <row r="20" spans="1:14" x14ac:dyDescent="0.3">
      <c r="A20" t="s">
        <v>1222</v>
      </c>
      <c r="B20" s="2">
        <v>46232</v>
      </c>
      <c r="C20" s="2">
        <v>46234</v>
      </c>
      <c r="D20" s="1" t="s">
        <v>316</v>
      </c>
      <c r="E20" t="s">
        <v>317</v>
      </c>
      <c r="F20" t="s">
        <v>97</v>
      </c>
      <c r="G20">
        <v>100</v>
      </c>
      <c r="H20">
        <v>108</v>
      </c>
      <c r="I20" s="5">
        <v>108</v>
      </c>
      <c r="J20" s="5">
        <v>0</v>
      </c>
      <c r="K20" s="5">
        <v>108</v>
      </c>
      <c r="L20" s="5">
        <v>0</v>
      </c>
      <c r="M20" t="s">
        <v>20</v>
      </c>
      <c r="N20" t="s">
        <v>21</v>
      </c>
    </row>
    <row r="21" spans="1:14" x14ac:dyDescent="0.3">
      <c r="A21" t="s">
        <v>1223</v>
      </c>
      <c r="B21" s="2">
        <v>46233</v>
      </c>
      <c r="C21" s="2">
        <v>46235</v>
      </c>
      <c r="D21" s="1" t="s">
        <v>48</v>
      </c>
      <c r="E21" t="s">
        <v>49</v>
      </c>
      <c r="F21" t="s">
        <v>39</v>
      </c>
      <c r="G21">
        <v>280</v>
      </c>
      <c r="H21">
        <v>257</v>
      </c>
      <c r="I21" s="5">
        <v>251</v>
      </c>
      <c r="J21" s="5">
        <v>6</v>
      </c>
      <c r="K21" s="5">
        <v>92</v>
      </c>
      <c r="L21" s="5">
        <v>2</v>
      </c>
      <c r="M21" t="s">
        <v>20</v>
      </c>
      <c r="N21" t="s">
        <v>21</v>
      </c>
    </row>
    <row r="22" spans="1:14" x14ac:dyDescent="0.3">
      <c r="A22" t="s">
        <v>1210</v>
      </c>
      <c r="B22" s="2">
        <v>46233</v>
      </c>
      <c r="C22" s="2">
        <v>46233</v>
      </c>
      <c r="D22" s="1" t="s">
        <v>295</v>
      </c>
      <c r="E22" t="s">
        <v>296</v>
      </c>
      <c r="F22" t="s">
        <v>39</v>
      </c>
      <c r="G22">
        <v>200</v>
      </c>
      <c r="H22">
        <v>235</v>
      </c>
      <c r="I22" s="5">
        <v>233</v>
      </c>
      <c r="J22" s="5">
        <v>2</v>
      </c>
      <c r="K22" s="5">
        <v>118</v>
      </c>
      <c r="L22" s="5">
        <v>1</v>
      </c>
      <c r="M22" t="s">
        <v>20</v>
      </c>
      <c r="N22" t="s">
        <v>21</v>
      </c>
    </row>
    <row r="23" spans="1:14" x14ac:dyDescent="0.3">
      <c r="A23" t="s">
        <v>1224</v>
      </c>
      <c r="B23" s="2">
        <v>46233</v>
      </c>
      <c r="C23" s="2">
        <v>46235</v>
      </c>
      <c r="D23" s="1" t="s">
        <v>54</v>
      </c>
      <c r="E23" t="s">
        <v>55</v>
      </c>
      <c r="F23" t="s">
        <v>39</v>
      </c>
      <c r="G23">
        <v>621</v>
      </c>
      <c r="H23">
        <v>615</v>
      </c>
      <c r="I23" s="5">
        <v>610</v>
      </c>
      <c r="J23" s="5">
        <v>5</v>
      </c>
      <c r="K23" s="5">
        <v>99</v>
      </c>
      <c r="L23" s="5">
        <v>1</v>
      </c>
      <c r="M23" t="s">
        <v>20</v>
      </c>
      <c r="N23" t="s">
        <v>21</v>
      </c>
    </row>
    <row r="24" spans="1:14" x14ac:dyDescent="0.3">
      <c r="A24" t="s">
        <v>1231</v>
      </c>
      <c r="B24" s="2">
        <v>46233</v>
      </c>
      <c r="C24" s="2">
        <v>46235</v>
      </c>
      <c r="D24" s="1" t="s">
        <v>129</v>
      </c>
      <c r="E24" t="s">
        <v>130</v>
      </c>
      <c r="F24" t="s">
        <v>61</v>
      </c>
      <c r="G24">
        <v>360</v>
      </c>
      <c r="H24">
        <v>362</v>
      </c>
      <c r="I24" s="5">
        <v>360</v>
      </c>
      <c r="J24" s="5">
        <v>2</v>
      </c>
      <c r="K24" s="5">
        <v>101</v>
      </c>
      <c r="L24" s="5">
        <v>1</v>
      </c>
      <c r="M24" t="s">
        <v>20</v>
      </c>
      <c r="N24" t="s">
        <v>21</v>
      </c>
    </row>
    <row r="25" spans="1:14" x14ac:dyDescent="0.3">
      <c r="A25" t="s">
        <v>1208</v>
      </c>
      <c r="B25" s="2">
        <v>46233</v>
      </c>
      <c r="C25" s="2">
        <v>46233</v>
      </c>
      <c r="D25" s="1" t="s">
        <v>333</v>
      </c>
      <c r="E25" t="s">
        <v>334</v>
      </c>
      <c r="F25" t="s">
        <v>61</v>
      </c>
      <c r="G25">
        <v>125</v>
      </c>
      <c r="H25">
        <v>125</v>
      </c>
      <c r="I25" s="5">
        <v>125</v>
      </c>
      <c r="J25" s="5">
        <v>0</v>
      </c>
      <c r="K25" s="5">
        <v>100</v>
      </c>
      <c r="L25" s="5">
        <v>0</v>
      </c>
      <c r="M25" t="s">
        <v>20</v>
      </c>
      <c r="N25" t="s">
        <v>21</v>
      </c>
    </row>
    <row r="26" spans="1:14" x14ac:dyDescent="0.3">
      <c r="A26" t="s">
        <v>1211</v>
      </c>
      <c r="B26" s="2">
        <v>46233</v>
      </c>
      <c r="C26" s="2">
        <v>46233</v>
      </c>
      <c r="D26" s="1" t="s">
        <v>333</v>
      </c>
      <c r="E26" t="s">
        <v>334</v>
      </c>
      <c r="F26" t="s">
        <v>61</v>
      </c>
      <c r="G26">
        <v>276</v>
      </c>
      <c r="H26">
        <v>282</v>
      </c>
      <c r="I26" s="5">
        <v>282</v>
      </c>
      <c r="J26" s="5">
        <v>0</v>
      </c>
      <c r="K26" s="5">
        <v>102</v>
      </c>
      <c r="L26" s="5">
        <v>0</v>
      </c>
      <c r="M26" t="s">
        <v>20</v>
      </c>
      <c r="N26" t="s">
        <v>21</v>
      </c>
    </row>
    <row r="27" spans="1:14" x14ac:dyDescent="0.3">
      <c r="A27" t="s">
        <v>1212</v>
      </c>
      <c r="B27" s="2">
        <v>46233</v>
      </c>
      <c r="C27" s="2">
        <v>46233</v>
      </c>
      <c r="D27" s="1" t="s">
        <v>102</v>
      </c>
      <c r="E27" t="s">
        <v>103</v>
      </c>
      <c r="F27" t="s">
        <v>61</v>
      </c>
      <c r="G27">
        <v>134</v>
      </c>
      <c r="H27">
        <v>134</v>
      </c>
      <c r="I27" s="5">
        <v>134</v>
      </c>
      <c r="J27" s="5">
        <v>0</v>
      </c>
      <c r="K27" s="5">
        <v>100</v>
      </c>
      <c r="L27" s="5">
        <v>0</v>
      </c>
      <c r="M27" t="s">
        <v>20</v>
      </c>
      <c r="N27" t="s">
        <v>21</v>
      </c>
    </row>
    <row r="28" spans="1:14" x14ac:dyDescent="0.3">
      <c r="A28" t="s">
        <v>1213</v>
      </c>
      <c r="B28" s="2">
        <v>46233</v>
      </c>
      <c r="C28" s="2">
        <v>46233</v>
      </c>
      <c r="D28" s="1" t="s">
        <v>102</v>
      </c>
      <c r="E28" t="s">
        <v>103</v>
      </c>
      <c r="F28" t="s">
        <v>61</v>
      </c>
      <c r="G28">
        <v>268</v>
      </c>
      <c r="H28">
        <v>280</v>
      </c>
      <c r="I28" s="5">
        <v>280</v>
      </c>
      <c r="J28" s="5">
        <v>0</v>
      </c>
      <c r="K28" s="5">
        <v>104</v>
      </c>
      <c r="L28" s="5">
        <v>0</v>
      </c>
      <c r="M28" t="s">
        <v>20</v>
      </c>
      <c r="N28" t="s">
        <v>21</v>
      </c>
    </row>
    <row r="29" spans="1:14" x14ac:dyDescent="0.3">
      <c r="A29" t="s">
        <v>1214</v>
      </c>
      <c r="B29" s="2">
        <v>46233</v>
      </c>
      <c r="C29" s="2">
        <v>46233</v>
      </c>
      <c r="D29" s="1" t="s">
        <v>198</v>
      </c>
      <c r="E29" t="s">
        <v>199</v>
      </c>
      <c r="F29" t="s">
        <v>19</v>
      </c>
      <c r="G29">
        <v>56</v>
      </c>
      <c r="H29">
        <v>56</v>
      </c>
      <c r="I29" s="5">
        <v>56</v>
      </c>
      <c r="J29" s="5">
        <v>0</v>
      </c>
      <c r="K29" s="5">
        <v>100</v>
      </c>
      <c r="L29" s="5">
        <v>0</v>
      </c>
      <c r="M29" t="s">
        <v>20</v>
      </c>
      <c r="N29" t="s">
        <v>21</v>
      </c>
    </row>
    <row r="30" spans="1:14" x14ac:dyDescent="0.3">
      <c r="A30" t="s">
        <v>1215</v>
      </c>
      <c r="B30" s="2">
        <v>46233</v>
      </c>
      <c r="C30" s="2">
        <v>46233</v>
      </c>
      <c r="D30" s="1" t="s">
        <v>198</v>
      </c>
      <c r="E30" t="s">
        <v>199</v>
      </c>
      <c r="F30" t="s">
        <v>19</v>
      </c>
      <c r="G30">
        <v>32</v>
      </c>
      <c r="H30">
        <v>32</v>
      </c>
      <c r="I30" s="5">
        <v>32</v>
      </c>
      <c r="J30" s="5">
        <v>0</v>
      </c>
      <c r="K30" s="5">
        <v>100</v>
      </c>
      <c r="L30" s="5">
        <v>0</v>
      </c>
      <c r="M30" t="s">
        <v>20</v>
      </c>
      <c r="N30" t="s">
        <v>21</v>
      </c>
    </row>
    <row r="31" spans="1:14" x14ac:dyDescent="0.3">
      <c r="A31" t="s">
        <v>1216</v>
      </c>
      <c r="B31" s="2">
        <v>46233</v>
      </c>
      <c r="C31" s="2">
        <v>46233</v>
      </c>
      <c r="D31" s="1" t="s">
        <v>232</v>
      </c>
      <c r="E31" t="s">
        <v>233</v>
      </c>
      <c r="F31" t="s">
        <v>19</v>
      </c>
      <c r="G31">
        <v>40</v>
      </c>
      <c r="H31">
        <v>40</v>
      </c>
      <c r="I31" s="5">
        <v>40</v>
      </c>
      <c r="J31" s="5">
        <v>0</v>
      </c>
      <c r="K31" s="5">
        <v>100</v>
      </c>
      <c r="L31" s="5">
        <v>0</v>
      </c>
      <c r="M31" t="s">
        <v>20</v>
      </c>
      <c r="N31" t="s">
        <v>21</v>
      </c>
    </row>
    <row r="32" spans="1:14" x14ac:dyDescent="0.3">
      <c r="A32" t="s">
        <v>1217</v>
      </c>
      <c r="B32" s="2">
        <v>46233</v>
      </c>
      <c r="C32" s="2">
        <v>46233</v>
      </c>
      <c r="D32" s="1" t="s">
        <v>81</v>
      </c>
      <c r="E32" t="s">
        <v>82</v>
      </c>
      <c r="F32" t="s">
        <v>19</v>
      </c>
      <c r="G32">
        <v>2000</v>
      </c>
      <c r="H32">
        <v>2000</v>
      </c>
      <c r="I32" s="5">
        <v>2000</v>
      </c>
      <c r="J32" s="5">
        <v>0</v>
      </c>
      <c r="K32" s="5">
        <v>100</v>
      </c>
      <c r="L32" s="5">
        <v>0</v>
      </c>
      <c r="M32" t="s">
        <v>20</v>
      </c>
      <c r="N32" t="s">
        <v>21</v>
      </c>
    </row>
    <row r="33" spans="1:14" x14ac:dyDescent="0.3">
      <c r="A33" t="s">
        <v>1225</v>
      </c>
      <c r="B33" s="2">
        <v>46233</v>
      </c>
      <c r="C33" s="2">
        <v>46235</v>
      </c>
      <c r="D33" s="1" t="s">
        <v>95</v>
      </c>
      <c r="E33" t="s">
        <v>96</v>
      </c>
      <c r="F33" t="s">
        <v>97</v>
      </c>
      <c r="G33">
        <v>910</v>
      </c>
      <c r="H33">
        <v>945</v>
      </c>
      <c r="I33" s="5">
        <v>944</v>
      </c>
      <c r="J33" s="5">
        <v>1</v>
      </c>
      <c r="K33" s="5">
        <v>104</v>
      </c>
      <c r="L33" s="5">
        <v>0</v>
      </c>
      <c r="M33" t="s">
        <v>20</v>
      </c>
      <c r="N33" t="s">
        <v>21</v>
      </c>
    </row>
    <row r="34" spans="1:14" x14ac:dyDescent="0.3">
      <c r="A34" t="s">
        <v>1226</v>
      </c>
      <c r="B34" s="2">
        <v>46233</v>
      </c>
      <c r="C34" s="2">
        <v>46235</v>
      </c>
      <c r="D34" s="1" t="s">
        <v>289</v>
      </c>
      <c r="E34" t="s">
        <v>290</v>
      </c>
      <c r="F34" t="s">
        <v>97</v>
      </c>
      <c r="G34">
        <v>624</v>
      </c>
      <c r="H34">
        <v>648</v>
      </c>
      <c r="I34" s="5">
        <v>646</v>
      </c>
      <c r="J34" s="5">
        <v>2</v>
      </c>
      <c r="K34" s="5">
        <v>104</v>
      </c>
      <c r="L34" s="5">
        <v>0</v>
      </c>
      <c r="M34" t="s">
        <v>20</v>
      </c>
      <c r="N34" t="s">
        <v>21</v>
      </c>
    </row>
    <row r="35" spans="1:14" x14ac:dyDescent="0.3">
      <c r="A35" t="s">
        <v>1227</v>
      </c>
      <c r="B35" s="2">
        <v>46233</v>
      </c>
      <c r="C35" s="2">
        <v>46235</v>
      </c>
      <c r="D35" s="1" t="s">
        <v>284</v>
      </c>
      <c r="E35" t="s">
        <v>285</v>
      </c>
      <c r="F35" t="s">
        <v>97</v>
      </c>
      <c r="G35">
        <v>385</v>
      </c>
      <c r="H35">
        <v>420</v>
      </c>
      <c r="I35" s="5">
        <v>420</v>
      </c>
      <c r="J35" s="5">
        <v>0</v>
      </c>
      <c r="K35" s="5">
        <v>109</v>
      </c>
      <c r="L35" s="5">
        <v>0</v>
      </c>
      <c r="M35" t="s">
        <v>20</v>
      </c>
      <c r="N35" t="s">
        <v>21</v>
      </c>
    </row>
    <row r="36" spans="1:14" x14ac:dyDescent="0.3">
      <c r="A36" t="s">
        <v>1228</v>
      </c>
      <c r="B36" s="2">
        <v>46233</v>
      </c>
      <c r="C36" s="2">
        <v>46235</v>
      </c>
      <c r="D36" s="1" t="s">
        <v>412</v>
      </c>
      <c r="E36" t="s">
        <v>413</v>
      </c>
      <c r="F36" t="s">
        <v>97</v>
      </c>
      <c r="G36">
        <v>600</v>
      </c>
      <c r="H36">
        <v>624</v>
      </c>
      <c r="I36" s="5">
        <v>624</v>
      </c>
      <c r="J36" s="5">
        <v>0</v>
      </c>
      <c r="K36" s="5">
        <v>104</v>
      </c>
      <c r="L36" s="5">
        <v>0</v>
      </c>
      <c r="M36" t="s">
        <v>20</v>
      </c>
      <c r="N36" t="s">
        <v>21</v>
      </c>
    </row>
    <row r="37" spans="1:14" x14ac:dyDescent="0.3">
      <c r="A37" t="s">
        <v>1229</v>
      </c>
      <c r="B37" s="2">
        <v>46233</v>
      </c>
      <c r="C37" s="2">
        <v>46235</v>
      </c>
      <c r="D37" s="1" t="s">
        <v>367</v>
      </c>
      <c r="E37" t="s">
        <v>368</v>
      </c>
      <c r="F37" t="s">
        <v>97</v>
      </c>
      <c r="G37">
        <v>23</v>
      </c>
      <c r="H37">
        <v>25</v>
      </c>
      <c r="I37" s="5">
        <v>25</v>
      </c>
      <c r="J37" s="5">
        <v>0</v>
      </c>
      <c r="K37" s="5">
        <v>107</v>
      </c>
      <c r="L37" s="5">
        <v>0</v>
      </c>
      <c r="M37" t="s">
        <v>20</v>
      </c>
      <c r="N37" t="s">
        <v>21</v>
      </c>
    </row>
    <row r="38" spans="1:14" x14ac:dyDescent="0.3">
      <c r="A38" t="s">
        <v>1230</v>
      </c>
      <c r="B38" s="2">
        <v>46233</v>
      </c>
      <c r="C38" s="2">
        <v>46235</v>
      </c>
      <c r="D38" s="1" t="s">
        <v>66</v>
      </c>
      <c r="E38" t="s">
        <v>67</v>
      </c>
      <c r="F38" t="s">
        <v>61</v>
      </c>
      <c r="G38">
        <v>300</v>
      </c>
      <c r="H38">
        <v>312</v>
      </c>
      <c r="I38" s="5">
        <v>312</v>
      </c>
      <c r="J38" s="5">
        <v>0</v>
      </c>
      <c r="K38" s="5">
        <v>104</v>
      </c>
      <c r="L38" s="5">
        <v>0</v>
      </c>
      <c r="M38" t="s">
        <v>20</v>
      </c>
      <c r="N38" t="s">
        <v>21</v>
      </c>
    </row>
    <row r="39" spans="1:14" x14ac:dyDescent="0.3">
      <c r="A39" t="s">
        <v>1232</v>
      </c>
      <c r="B39" s="2">
        <v>46233</v>
      </c>
      <c r="C39" s="2">
        <v>46235</v>
      </c>
      <c r="D39" s="1" t="s">
        <v>386</v>
      </c>
      <c r="E39" t="s">
        <v>387</v>
      </c>
      <c r="F39" t="s">
        <v>61</v>
      </c>
      <c r="G39">
        <v>300</v>
      </c>
      <c r="H39">
        <v>300</v>
      </c>
      <c r="I39" s="5">
        <v>300</v>
      </c>
      <c r="J39" s="5">
        <v>0</v>
      </c>
      <c r="K39" s="5">
        <v>100</v>
      </c>
      <c r="L39" s="5">
        <v>0</v>
      </c>
      <c r="M39" t="s">
        <v>20</v>
      </c>
      <c r="N39" t="s">
        <v>21</v>
      </c>
    </row>
    <row r="40" spans="1:14" x14ac:dyDescent="0.3">
      <c r="A40" t="s">
        <v>1257</v>
      </c>
      <c r="B40" s="2">
        <v>46233</v>
      </c>
      <c r="C40" s="2">
        <v>46237</v>
      </c>
      <c r="D40" s="1" t="s">
        <v>272</v>
      </c>
      <c r="E40" t="s">
        <v>273</v>
      </c>
      <c r="F40" t="s">
        <v>61</v>
      </c>
      <c r="G40">
        <v>2086</v>
      </c>
      <c r="H40">
        <v>2157</v>
      </c>
      <c r="I40" s="5">
        <v>2149</v>
      </c>
      <c r="J40" s="5">
        <v>8</v>
      </c>
      <c r="K40" s="5">
        <v>103</v>
      </c>
      <c r="L40" s="5">
        <v>0</v>
      </c>
      <c r="M40" t="s">
        <v>20</v>
      </c>
      <c r="N40" t="s">
        <v>21</v>
      </c>
    </row>
    <row r="41" spans="1:14" x14ac:dyDescent="0.3">
      <c r="A41" t="s">
        <v>1259</v>
      </c>
      <c r="B41" s="2">
        <v>46234</v>
      </c>
      <c r="C41" s="2">
        <v>46237</v>
      </c>
      <c r="D41" s="1" t="s">
        <v>370</v>
      </c>
      <c r="E41" t="s">
        <v>371</v>
      </c>
      <c r="F41" t="s">
        <v>97</v>
      </c>
      <c r="G41">
        <v>22</v>
      </c>
      <c r="H41">
        <v>22</v>
      </c>
      <c r="I41" s="5">
        <v>21</v>
      </c>
      <c r="J41" s="5">
        <v>1</v>
      </c>
      <c r="K41" s="5">
        <v>100</v>
      </c>
      <c r="L41" s="5">
        <v>5</v>
      </c>
      <c r="M41" t="s">
        <v>20</v>
      </c>
      <c r="N41" t="s">
        <v>21</v>
      </c>
    </row>
    <row r="42" spans="1:14" x14ac:dyDescent="0.3">
      <c r="A42" t="s">
        <v>1258</v>
      </c>
      <c r="B42" s="2">
        <v>46234</v>
      </c>
      <c r="C42" s="2">
        <v>46237</v>
      </c>
      <c r="D42" s="1" t="s">
        <v>54</v>
      </c>
      <c r="E42" t="s">
        <v>55</v>
      </c>
      <c r="F42" t="s">
        <v>39</v>
      </c>
      <c r="G42">
        <v>621</v>
      </c>
      <c r="H42">
        <v>573</v>
      </c>
      <c r="I42" s="5">
        <v>558</v>
      </c>
      <c r="J42" s="5">
        <v>15</v>
      </c>
      <c r="K42" s="5">
        <v>92</v>
      </c>
      <c r="L42" s="5">
        <v>3</v>
      </c>
      <c r="M42" t="s">
        <v>20</v>
      </c>
      <c r="N42" t="s">
        <v>21</v>
      </c>
    </row>
    <row r="43" spans="1:14" x14ac:dyDescent="0.3">
      <c r="A43" t="s">
        <v>1237</v>
      </c>
      <c r="B43" s="2">
        <v>46234</v>
      </c>
      <c r="C43" s="2">
        <v>46235</v>
      </c>
      <c r="D43" s="1" t="s">
        <v>178</v>
      </c>
      <c r="E43" t="s">
        <v>179</v>
      </c>
      <c r="F43" t="s">
        <v>97</v>
      </c>
      <c r="G43">
        <v>150</v>
      </c>
      <c r="H43">
        <v>155</v>
      </c>
      <c r="I43" s="5">
        <v>154</v>
      </c>
      <c r="J43" s="5">
        <v>1</v>
      </c>
      <c r="K43" s="5">
        <v>103</v>
      </c>
      <c r="L43" s="5">
        <v>1</v>
      </c>
      <c r="M43" t="s">
        <v>20</v>
      </c>
      <c r="N43" t="s">
        <v>21</v>
      </c>
    </row>
    <row r="44" spans="1:14" x14ac:dyDescent="0.3">
      <c r="A44" t="s">
        <v>1242</v>
      </c>
      <c r="B44" s="2">
        <v>46234</v>
      </c>
      <c r="C44" s="2">
        <v>46235</v>
      </c>
      <c r="D44" s="1" t="s">
        <v>129</v>
      </c>
      <c r="E44" t="s">
        <v>130</v>
      </c>
      <c r="F44" t="s">
        <v>61</v>
      </c>
      <c r="G44">
        <v>306</v>
      </c>
      <c r="H44">
        <v>326</v>
      </c>
      <c r="I44" s="5">
        <v>324</v>
      </c>
      <c r="J44" s="5">
        <v>2</v>
      </c>
      <c r="K44" s="5">
        <v>107</v>
      </c>
      <c r="L44" s="5">
        <v>1</v>
      </c>
      <c r="M44" t="s">
        <v>20</v>
      </c>
      <c r="N44" t="s">
        <v>21</v>
      </c>
    </row>
    <row r="45" spans="1:14" x14ac:dyDescent="0.3">
      <c r="A45" t="s">
        <v>1243</v>
      </c>
      <c r="B45" s="2">
        <v>46234</v>
      </c>
      <c r="C45" s="2">
        <v>46235</v>
      </c>
      <c r="D45" s="1" t="s">
        <v>44</v>
      </c>
      <c r="E45" t="s">
        <v>45</v>
      </c>
      <c r="F45" t="s">
        <v>46</v>
      </c>
      <c r="G45">
        <v>78</v>
      </c>
      <c r="H45">
        <v>78</v>
      </c>
      <c r="I45" s="5">
        <v>77</v>
      </c>
      <c r="J45" s="5">
        <v>1</v>
      </c>
      <c r="K45" s="5">
        <v>100</v>
      </c>
      <c r="L45" s="5">
        <v>1</v>
      </c>
      <c r="M45" t="s">
        <v>20</v>
      </c>
      <c r="N45" t="s">
        <v>21</v>
      </c>
    </row>
    <row r="46" spans="1:14" x14ac:dyDescent="0.3">
      <c r="A46" t="s">
        <v>1233</v>
      </c>
      <c r="B46" s="2">
        <v>46234</v>
      </c>
      <c r="C46" s="2">
        <v>46235</v>
      </c>
      <c r="D46" s="1" t="s">
        <v>189</v>
      </c>
      <c r="E46" t="s">
        <v>190</v>
      </c>
      <c r="F46" t="s">
        <v>97</v>
      </c>
      <c r="G46">
        <v>150</v>
      </c>
      <c r="H46">
        <v>169</v>
      </c>
      <c r="I46" s="5">
        <v>169</v>
      </c>
      <c r="J46" s="5">
        <v>0</v>
      </c>
      <c r="K46" s="5">
        <v>113</v>
      </c>
      <c r="L46" s="5">
        <v>0</v>
      </c>
      <c r="M46" t="s">
        <v>20</v>
      </c>
      <c r="N46" t="s">
        <v>21</v>
      </c>
    </row>
    <row r="47" spans="1:14" x14ac:dyDescent="0.3">
      <c r="A47" t="s">
        <v>1234</v>
      </c>
      <c r="B47" s="2">
        <v>46234</v>
      </c>
      <c r="C47" s="2">
        <v>46235</v>
      </c>
      <c r="D47" s="1" t="s">
        <v>171</v>
      </c>
      <c r="E47" t="s">
        <v>172</v>
      </c>
      <c r="F47" t="s">
        <v>97</v>
      </c>
      <c r="G47">
        <v>150</v>
      </c>
      <c r="H47">
        <v>153</v>
      </c>
      <c r="I47" s="5">
        <v>153</v>
      </c>
      <c r="J47" s="5">
        <v>0</v>
      </c>
      <c r="K47" s="5">
        <v>102</v>
      </c>
      <c r="L47" s="5">
        <v>0</v>
      </c>
      <c r="M47" t="s">
        <v>20</v>
      </c>
      <c r="N47" t="s">
        <v>21</v>
      </c>
    </row>
    <row r="48" spans="1:14" x14ac:dyDescent="0.3">
      <c r="A48" t="s">
        <v>1235</v>
      </c>
      <c r="B48" s="2">
        <v>46234</v>
      </c>
      <c r="C48" s="2">
        <v>46235</v>
      </c>
      <c r="D48" s="1" t="s">
        <v>183</v>
      </c>
      <c r="E48" t="s">
        <v>184</v>
      </c>
      <c r="F48" t="s">
        <v>97</v>
      </c>
      <c r="G48">
        <v>150</v>
      </c>
      <c r="H48">
        <v>154</v>
      </c>
      <c r="I48" s="5">
        <v>154</v>
      </c>
      <c r="J48" s="5">
        <v>0</v>
      </c>
      <c r="K48" s="5">
        <v>103</v>
      </c>
      <c r="L48" s="5">
        <v>0</v>
      </c>
      <c r="M48" t="s">
        <v>20</v>
      </c>
      <c r="N48" t="s">
        <v>21</v>
      </c>
    </row>
    <row r="49" spans="1:14" x14ac:dyDescent="0.3">
      <c r="A49" t="s">
        <v>1236</v>
      </c>
      <c r="B49" s="2">
        <v>46234</v>
      </c>
      <c r="C49" s="2">
        <v>46235</v>
      </c>
      <c r="D49" s="1" t="s">
        <v>164</v>
      </c>
      <c r="E49" t="s">
        <v>165</v>
      </c>
      <c r="F49" t="s">
        <v>97</v>
      </c>
      <c r="G49">
        <v>225</v>
      </c>
      <c r="H49">
        <v>233</v>
      </c>
      <c r="I49" s="5">
        <v>233</v>
      </c>
      <c r="J49" s="5">
        <v>0</v>
      </c>
      <c r="K49" s="5">
        <v>104</v>
      </c>
      <c r="L49" s="5">
        <v>0</v>
      </c>
      <c r="M49" t="s">
        <v>20</v>
      </c>
      <c r="N49" t="s">
        <v>21</v>
      </c>
    </row>
    <row r="50" spans="1:14" x14ac:dyDescent="0.3">
      <c r="A50" t="s">
        <v>1238</v>
      </c>
      <c r="B50" s="2">
        <v>46234</v>
      </c>
      <c r="C50" s="2">
        <v>46235</v>
      </c>
      <c r="D50" s="1" t="s">
        <v>1239</v>
      </c>
      <c r="E50" t="s">
        <v>1240</v>
      </c>
      <c r="F50" t="s">
        <v>97</v>
      </c>
      <c r="G50">
        <v>100</v>
      </c>
      <c r="H50">
        <v>100</v>
      </c>
      <c r="I50" s="5">
        <v>100</v>
      </c>
      <c r="J50" s="5">
        <v>0</v>
      </c>
      <c r="K50" s="5">
        <v>100</v>
      </c>
      <c r="L50" s="5">
        <v>0</v>
      </c>
      <c r="M50" t="s">
        <v>20</v>
      </c>
      <c r="N50" t="s">
        <v>21</v>
      </c>
    </row>
    <row r="51" spans="1:14" x14ac:dyDescent="0.3">
      <c r="A51" t="s">
        <v>1241</v>
      </c>
      <c r="B51" s="2">
        <v>46234</v>
      </c>
      <c r="C51" s="2">
        <v>46235</v>
      </c>
      <c r="D51" s="1" t="s">
        <v>66</v>
      </c>
      <c r="E51" t="s">
        <v>67</v>
      </c>
      <c r="F51" t="s">
        <v>61</v>
      </c>
      <c r="G51">
        <v>300</v>
      </c>
      <c r="H51">
        <v>304</v>
      </c>
      <c r="I51" s="5">
        <v>304</v>
      </c>
      <c r="J51" s="5">
        <v>0</v>
      </c>
      <c r="K51" s="5">
        <v>101</v>
      </c>
      <c r="L51" s="5">
        <v>0</v>
      </c>
      <c r="M51" t="s">
        <v>20</v>
      </c>
      <c r="N51" t="s">
        <v>21</v>
      </c>
    </row>
    <row r="52" spans="1:14" x14ac:dyDescent="0.3">
      <c r="A52" t="s">
        <v>1244</v>
      </c>
      <c r="B52" s="2">
        <v>46234</v>
      </c>
      <c r="C52" s="2">
        <v>46235</v>
      </c>
      <c r="D52" s="1" t="s">
        <v>1245</v>
      </c>
      <c r="E52" t="s">
        <v>1246</v>
      </c>
      <c r="F52" t="s">
        <v>46</v>
      </c>
      <c r="G52">
        <v>150</v>
      </c>
      <c r="H52">
        <v>151</v>
      </c>
      <c r="I52" s="5">
        <v>151</v>
      </c>
      <c r="J52" s="5">
        <v>0</v>
      </c>
      <c r="K52" s="5">
        <v>101</v>
      </c>
      <c r="L52" s="5">
        <v>0</v>
      </c>
      <c r="M52" t="s">
        <v>20</v>
      </c>
      <c r="N52" t="s">
        <v>21</v>
      </c>
    </row>
    <row r="53" spans="1:14" x14ac:dyDescent="0.3">
      <c r="A53" t="s">
        <v>1247</v>
      </c>
      <c r="B53" s="2">
        <v>46234</v>
      </c>
      <c r="C53" s="2">
        <v>46235</v>
      </c>
      <c r="D53" s="1" t="s">
        <v>85</v>
      </c>
      <c r="E53" t="s">
        <v>86</v>
      </c>
      <c r="F53" t="s">
        <v>19</v>
      </c>
      <c r="G53">
        <v>95</v>
      </c>
      <c r="H53">
        <v>95</v>
      </c>
      <c r="I53" s="5">
        <v>95</v>
      </c>
      <c r="J53" s="5">
        <v>0</v>
      </c>
      <c r="K53" s="5">
        <v>100</v>
      </c>
      <c r="L53" s="5">
        <v>0</v>
      </c>
      <c r="M53" t="s">
        <v>20</v>
      </c>
      <c r="N53" t="s">
        <v>21</v>
      </c>
    </row>
    <row r="54" spans="1:14" x14ac:dyDescent="0.3">
      <c r="A54" t="s">
        <v>1248</v>
      </c>
      <c r="B54" s="2">
        <v>46234</v>
      </c>
      <c r="C54" s="2">
        <v>46235</v>
      </c>
      <c r="D54" s="1" t="s">
        <v>198</v>
      </c>
      <c r="E54" t="s">
        <v>199</v>
      </c>
      <c r="F54" t="s">
        <v>19</v>
      </c>
      <c r="G54">
        <v>39</v>
      </c>
      <c r="H54">
        <v>39</v>
      </c>
      <c r="I54" s="5">
        <v>39</v>
      </c>
      <c r="J54" s="5">
        <v>0</v>
      </c>
      <c r="K54" s="5">
        <v>100</v>
      </c>
      <c r="L54" s="5">
        <v>0</v>
      </c>
      <c r="M54" t="s">
        <v>20</v>
      </c>
      <c r="N54" t="s">
        <v>21</v>
      </c>
    </row>
    <row r="55" spans="1:14" x14ac:dyDescent="0.3">
      <c r="A55" t="s">
        <v>1249</v>
      </c>
      <c r="B55" s="2">
        <v>46234</v>
      </c>
      <c r="C55" s="2">
        <v>46235</v>
      </c>
      <c r="D55" s="1" t="s">
        <v>198</v>
      </c>
      <c r="E55" t="s">
        <v>199</v>
      </c>
      <c r="F55" t="s">
        <v>19</v>
      </c>
      <c r="G55">
        <v>28</v>
      </c>
      <c r="H55">
        <v>28</v>
      </c>
      <c r="I55" s="5">
        <v>28</v>
      </c>
      <c r="J55" s="5">
        <v>0</v>
      </c>
      <c r="K55" s="5">
        <v>100</v>
      </c>
      <c r="L55" s="5">
        <v>0</v>
      </c>
      <c r="M55" t="s">
        <v>20</v>
      </c>
      <c r="N55" t="s">
        <v>21</v>
      </c>
    </row>
    <row r="56" spans="1:14" x14ac:dyDescent="0.3">
      <c r="A56" t="s">
        <v>1250</v>
      </c>
      <c r="B56" s="2">
        <v>46234</v>
      </c>
      <c r="C56" s="2">
        <v>46235</v>
      </c>
      <c r="D56" s="1" t="s">
        <v>256</v>
      </c>
      <c r="E56" t="s">
        <v>257</v>
      </c>
      <c r="F56" t="s">
        <v>19</v>
      </c>
      <c r="G56">
        <v>330</v>
      </c>
      <c r="H56">
        <v>330</v>
      </c>
      <c r="I56" s="5">
        <v>330</v>
      </c>
      <c r="J56" s="5">
        <v>0</v>
      </c>
      <c r="K56" s="5">
        <v>100</v>
      </c>
      <c r="L56" s="5">
        <v>0</v>
      </c>
      <c r="M56" t="s">
        <v>20</v>
      </c>
      <c r="N56" t="s">
        <v>21</v>
      </c>
    </row>
    <row r="57" spans="1:14" x14ac:dyDescent="0.3">
      <c r="A57" t="s">
        <v>1251</v>
      </c>
      <c r="B57" s="2">
        <v>46234</v>
      </c>
      <c r="C57" s="2">
        <v>46235</v>
      </c>
      <c r="D57" s="1" t="s">
        <v>27</v>
      </c>
      <c r="E57" t="s">
        <v>28</v>
      </c>
      <c r="F57" t="s">
        <v>19</v>
      </c>
      <c r="G57">
        <v>700</v>
      </c>
      <c r="H57">
        <v>700</v>
      </c>
      <c r="I57" s="5">
        <v>700</v>
      </c>
      <c r="J57" s="5">
        <v>0</v>
      </c>
      <c r="K57" s="5">
        <v>100</v>
      </c>
      <c r="L57" s="5">
        <v>0</v>
      </c>
      <c r="M57" t="s">
        <v>20</v>
      </c>
      <c r="N57" t="s">
        <v>21</v>
      </c>
    </row>
    <row r="58" spans="1:14" x14ac:dyDescent="0.3">
      <c r="A58" t="s">
        <v>1260</v>
      </c>
      <c r="B58" s="2">
        <v>46234</v>
      </c>
      <c r="C58" s="2">
        <v>46237</v>
      </c>
      <c r="D58" s="1" t="s">
        <v>281</v>
      </c>
      <c r="E58" t="s">
        <v>282</v>
      </c>
      <c r="F58" t="s">
        <v>97</v>
      </c>
      <c r="G58">
        <v>576</v>
      </c>
      <c r="H58">
        <v>624</v>
      </c>
      <c r="I58" s="5">
        <v>624</v>
      </c>
      <c r="J58" s="5">
        <v>0</v>
      </c>
      <c r="K58" s="5">
        <v>108</v>
      </c>
      <c r="L58" s="5">
        <v>0</v>
      </c>
      <c r="M58" t="s">
        <v>20</v>
      </c>
      <c r="N58" t="s">
        <v>21</v>
      </c>
    </row>
    <row r="59" spans="1:14" x14ac:dyDescent="0.3">
      <c r="A59" t="s">
        <v>1261</v>
      </c>
      <c r="B59" s="2">
        <v>46235</v>
      </c>
      <c r="C59" s="2">
        <v>46240</v>
      </c>
      <c r="D59" s="1" t="s">
        <v>272</v>
      </c>
      <c r="E59" t="s">
        <v>273</v>
      </c>
      <c r="F59" t="s">
        <v>61</v>
      </c>
      <c r="G59">
        <v>1820</v>
      </c>
      <c r="H59">
        <v>1830</v>
      </c>
      <c r="I59" s="5">
        <v>1820</v>
      </c>
      <c r="J59" s="5">
        <v>10</v>
      </c>
      <c r="K59" s="5">
        <v>101</v>
      </c>
      <c r="L59" s="5">
        <v>1</v>
      </c>
      <c r="M59" t="s">
        <v>20</v>
      </c>
      <c r="N59" t="s">
        <v>21</v>
      </c>
    </row>
    <row r="60" spans="1:14" x14ac:dyDescent="0.3">
      <c r="A60" t="s">
        <v>1273</v>
      </c>
      <c r="B60" s="2">
        <v>46235</v>
      </c>
      <c r="C60" s="2">
        <v>46240</v>
      </c>
      <c r="D60" s="1" t="s">
        <v>129</v>
      </c>
      <c r="E60" t="s">
        <v>130</v>
      </c>
      <c r="F60" t="s">
        <v>61</v>
      </c>
      <c r="G60">
        <v>300</v>
      </c>
      <c r="H60">
        <v>318</v>
      </c>
      <c r="I60" s="5">
        <v>318</v>
      </c>
      <c r="J60" s="5">
        <v>0</v>
      </c>
      <c r="K60" s="5">
        <v>106</v>
      </c>
      <c r="L60" s="5">
        <v>0</v>
      </c>
      <c r="M60" t="s">
        <v>20</v>
      </c>
      <c r="N60" t="s">
        <v>21</v>
      </c>
    </row>
    <row r="61" spans="1:14" x14ac:dyDescent="0.3">
      <c r="A61" t="s">
        <v>1267</v>
      </c>
      <c r="B61" s="2">
        <v>46237</v>
      </c>
      <c r="C61" s="2">
        <v>46240</v>
      </c>
      <c r="D61" s="1" t="s">
        <v>355</v>
      </c>
      <c r="E61" t="s">
        <v>356</v>
      </c>
      <c r="F61" t="s">
        <v>97</v>
      </c>
      <c r="G61">
        <v>33</v>
      </c>
      <c r="H61">
        <v>33</v>
      </c>
      <c r="I61" s="5">
        <v>28</v>
      </c>
      <c r="J61" s="5">
        <v>5</v>
      </c>
      <c r="K61" s="5">
        <v>100</v>
      </c>
      <c r="L61" s="5">
        <v>15</v>
      </c>
      <c r="M61" t="s">
        <v>20</v>
      </c>
      <c r="N61" t="s">
        <v>21</v>
      </c>
    </row>
    <row r="62" spans="1:14" x14ac:dyDescent="0.3">
      <c r="A62" t="s">
        <v>1263</v>
      </c>
      <c r="B62" s="2">
        <v>46237</v>
      </c>
      <c r="C62" s="2">
        <v>46240</v>
      </c>
      <c r="D62" s="1" t="s">
        <v>189</v>
      </c>
      <c r="E62" t="s">
        <v>190</v>
      </c>
      <c r="F62" t="s">
        <v>97</v>
      </c>
      <c r="G62">
        <v>150</v>
      </c>
      <c r="H62">
        <v>168</v>
      </c>
      <c r="I62" s="5">
        <v>164</v>
      </c>
      <c r="J62" s="5">
        <v>4</v>
      </c>
      <c r="K62" s="5">
        <v>112</v>
      </c>
      <c r="L62" s="5">
        <v>2</v>
      </c>
      <c r="M62" t="s">
        <v>20</v>
      </c>
      <c r="N62" t="s">
        <v>21</v>
      </c>
    </row>
    <row r="63" spans="1:14" x14ac:dyDescent="0.3">
      <c r="A63" t="s">
        <v>1262</v>
      </c>
      <c r="B63" s="2">
        <v>46237</v>
      </c>
      <c r="C63" s="2">
        <v>46240</v>
      </c>
      <c r="D63" s="1" t="s">
        <v>152</v>
      </c>
      <c r="E63" t="s">
        <v>153</v>
      </c>
      <c r="F63" t="s">
        <v>39</v>
      </c>
      <c r="G63">
        <v>142</v>
      </c>
      <c r="H63">
        <v>153</v>
      </c>
      <c r="I63" s="5">
        <v>152</v>
      </c>
      <c r="J63" s="5">
        <v>1</v>
      </c>
      <c r="K63" s="5">
        <v>108</v>
      </c>
      <c r="L63" s="5">
        <v>1</v>
      </c>
      <c r="M63" t="s">
        <v>20</v>
      </c>
      <c r="N63" t="s">
        <v>21</v>
      </c>
    </row>
    <row r="64" spans="1:14" x14ac:dyDescent="0.3">
      <c r="A64" t="s">
        <v>1265</v>
      </c>
      <c r="B64" s="2">
        <v>46237</v>
      </c>
      <c r="C64" s="2">
        <v>46240</v>
      </c>
      <c r="D64" s="1" t="s">
        <v>183</v>
      </c>
      <c r="E64" t="s">
        <v>184</v>
      </c>
      <c r="F64" t="s">
        <v>97</v>
      </c>
      <c r="G64">
        <v>150</v>
      </c>
      <c r="H64">
        <v>154</v>
      </c>
      <c r="I64" s="5">
        <v>153</v>
      </c>
      <c r="J64" s="5">
        <v>1</v>
      </c>
      <c r="K64" s="5">
        <v>103</v>
      </c>
      <c r="L64" s="5">
        <v>1</v>
      </c>
      <c r="M64" t="s">
        <v>20</v>
      </c>
      <c r="N64" t="s">
        <v>21</v>
      </c>
    </row>
    <row r="65" spans="1:14" x14ac:dyDescent="0.3">
      <c r="A65" t="s">
        <v>1269</v>
      </c>
      <c r="B65" s="2">
        <v>46237</v>
      </c>
      <c r="C65" s="2">
        <v>46240</v>
      </c>
      <c r="D65" s="1" t="s">
        <v>129</v>
      </c>
      <c r="E65" t="s">
        <v>130</v>
      </c>
      <c r="F65" t="s">
        <v>61</v>
      </c>
      <c r="G65">
        <v>300</v>
      </c>
      <c r="H65">
        <v>304</v>
      </c>
      <c r="I65" s="5">
        <v>300</v>
      </c>
      <c r="J65" s="5">
        <v>4</v>
      </c>
      <c r="K65" s="5">
        <v>101</v>
      </c>
      <c r="L65" s="5">
        <v>1</v>
      </c>
      <c r="M65" t="s">
        <v>20</v>
      </c>
      <c r="N65" t="s">
        <v>21</v>
      </c>
    </row>
    <row r="66" spans="1:14" x14ac:dyDescent="0.3">
      <c r="A66" t="s">
        <v>1264</v>
      </c>
      <c r="B66" s="2">
        <v>46237</v>
      </c>
      <c r="C66" s="2">
        <v>46240</v>
      </c>
      <c r="D66" s="1" t="s">
        <v>171</v>
      </c>
      <c r="E66" t="s">
        <v>172</v>
      </c>
      <c r="F66" t="s">
        <v>97</v>
      </c>
      <c r="G66">
        <v>150</v>
      </c>
      <c r="H66">
        <v>155</v>
      </c>
      <c r="I66" s="5">
        <v>155</v>
      </c>
      <c r="J66" s="5">
        <v>0</v>
      </c>
      <c r="K66" s="5">
        <v>103</v>
      </c>
      <c r="L66" s="5">
        <v>0</v>
      </c>
      <c r="M66" t="s">
        <v>20</v>
      </c>
      <c r="N66" t="s">
        <v>21</v>
      </c>
    </row>
    <row r="67" spans="1:14" x14ac:dyDescent="0.3">
      <c r="A67" t="s">
        <v>1266</v>
      </c>
      <c r="B67" s="2">
        <v>46237</v>
      </c>
      <c r="C67" s="2">
        <v>46240</v>
      </c>
      <c r="D67" s="1" t="s">
        <v>164</v>
      </c>
      <c r="E67" t="s">
        <v>165</v>
      </c>
      <c r="F67" t="s">
        <v>97</v>
      </c>
      <c r="G67">
        <v>150</v>
      </c>
      <c r="H67">
        <v>156</v>
      </c>
      <c r="I67" s="5">
        <v>156</v>
      </c>
      <c r="J67" s="5">
        <v>0</v>
      </c>
      <c r="K67" s="5">
        <v>104</v>
      </c>
      <c r="L67" s="5">
        <v>0</v>
      </c>
      <c r="M67" t="s">
        <v>20</v>
      </c>
      <c r="N67" t="s">
        <v>21</v>
      </c>
    </row>
    <row r="68" spans="1:14" x14ac:dyDescent="0.3">
      <c r="A68" t="s">
        <v>1268</v>
      </c>
      <c r="B68" s="2">
        <v>46237</v>
      </c>
      <c r="C68" s="2">
        <v>46240</v>
      </c>
      <c r="D68" s="1" t="s">
        <v>66</v>
      </c>
      <c r="E68" t="s">
        <v>67</v>
      </c>
      <c r="F68" t="s">
        <v>61</v>
      </c>
      <c r="G68">
        <v>300</v>
      </c>
      <c r="H68">
        <v>312</v>
      </c>
      <c r="I68" s="5">
        <v>312</v>
      </c>
      <c r="J68" s="5">
        <v>0</v>
      </c>
      <c r="K68" s="5">
        <v>104</v>
      </c>
      <c r="L68" s="5">
        <v>0</v>
      </c>
      <c r="M68" t="s">
        <v>20</v>
      </c>
      <c r="N68" t="s">
        <v>21</v>
      </c>
    </row>
    <row r="69" spans="1:14" x14ac:dyDescent="0.3">
      <c r="A69" t="s">
        <v>1270</v>
      </c>
      <c r="B69" s="2">
        <v>46237</v>
      </c>
      <c r="C69" s="2">
        <v>46240</v>
      </c>
      <c r="D69" s="1" t="s">
        <v>386</v>
      </c>
      <c r="E69" t="s">
        <v>387</v>
      </c>
      <c r="F69" t="s">
        <v>61</v>
      </c>
      <c r="G69">
        <v>200</v>
      </c>
      <c r="H69">
        <v>204</v>
      </c>
      <c r="I69" s="5">
        <v>204</v>
      </c>
      <c r="J69" s="5">
        <v>0</v>
      </c>
      <c r="K69" s="5">
        <v>102</v>
      </c>
      <c r="L69" s="5">
        <v>0</v>
      </c>
      <c r="M69" t="s">
        <v>20</v>
      </c>
      <c r="N69" t="s">
        <v>21</v>
      </c>
    </row>
    <row r="70" spans="1:14" x14ac:dyDescent="0.3">
      <c r="A70" t="s">
        <v>1271</v>
      </c>
      <c r="B70" s="2">
        <v>46237</v>
      </c>
      <c r="C70" s="2">
        <v>46240</v>
      </c>
      <c r="D70" s="1" t="s">
        <v>316</v>
      </c>
      <c r="E70" t="s">
        <v>317</v>
      </c>
      <c r="F70" t="s">
        <v>97</v>
      </c>
      <c r="G70">
        <v>100</v>
      </c>
      <c r="H70">
        <v>106</v>
      </c>
      <c r="I70" s="5">
        <v>106</v>
      </c>
      <c r="J70" s="5">
        <v>0</v>
      </c>
      <c r="K70" s="5">
        <v>106</v>
      </c>
      <c r="L70" s="5">
        <v>0</v>
      </c>
      <c r="M70" t="s">
        <v>20</v>
      </c>
      <c r="N70" t="s">
        <v>21</v>
      </c>
    </row>
    <row r="71" spans="1:14" x14ac:dyDescent="0.3">
      <c r="A71" t="s">
        <v>1272</v>
      </c>
      <c r="B71" s="2">
        <v>46237</v>
      </c>
      <c r="C71" s="2">
        <v>46240</v>
      </c>
      <c r="D71" s="1" t="s">
        <v>316</v>
      </c>
      <c r="E71" t="s">
        <v>317</v>
      </c>
      <c r="F71" t="s">
        <v>97</v>
      </c>
      <c r="G71">
        <v>100</v>
      </c>
      <c r="H71">
        <v>101</v>
      </c>
      <c r="I71" s="5">
        <v>101</v>
      </c>
      <c r="J71" s="5">
        <v>0</v>
      </c>
      <c r="K71" s="5">
        <v>101</v>
      </c>
      <c r="L71" s="5">
        <v>0</v>
      </c>
      <c r="M71" t="s">
        <v>20</v>
      </c>
      <c r="N71" t="s">
        <v>21</v>
      </c>
    </row>
    <row r="72" spans="1:14" x14ac:dyDescent="0.3">
      <c r="A72" t="s">
        <v>1306</v>
      </c>
      <c r="B72" s="2">
        <v>46237</v>
      </c>
      <c r="C72" s="2">
        <v>46240</v>
      </c>
      <c r="D72" s="1" t="s">
        <v>85</v>
      </c>
      <c r="E72" t="s">
        <v>86</v>
      </c>
      <c r="F72" t="s">
        <v>19</v>
      </c>
      <c r="G72">
        <v>94</v>
      </c>
      <c r="H72">
        <v>94</v>
      </c>
      <c r="I72" s="5">
        <v>94</v>
      </c>
      <c r="J72" s="5">
        <v>0</v>
      </c>
      <c r="K72" s="5">
        <v>100</v>
      </c>
      <c r="L72" s="5">
        <v>0</v>
      </c>
      <c r="M72" t="s">
        <v>20</v>
      </c>
      <c r="N72" t="s">
        <v>21</v>
      </c>
    </row>
    <row r="73" spans="1:14" x14ac:dyDescent="0.3">
      <c r="A73" t="s">
        <v>1307</v>
      </c>
      <c r="B73" s="2">
        <v>46237</v>
      </c>
      <c r="C73" s="2">
        <v>46240</v>
      </c>
      <c r="D73" s="1" t="s">
        <v>198</v>
      </c>
      <c r="E73" t="s">
        <v>199</v>
      </c>
      <c r="F73" t="s">
        <v>19</v>
      </c>
      <c r="G73">
        <v>32</v>
      </c>
      <c r="H73">
        <v>32</v>
      </c>
      <c r="I73" s="5">
        <v>32</v>
      </c>
      <c r="J73" s="5">
        <v>0</v>
      </c>
      <c r="K73" s="5">
        <v>100</v>
      </c>
      <c r="L73" s="5">
        <v>0</v>
      </c>
      <c r="M73" t="s">
        <v>20</v>
      </c>
      <c r="N73" t="s">
        <v>21</v>
      </c>
    </row>
    <row r="74" spans="1:14" x14ac:dyDescent="0.3">
      <c r="A74" t="s">
        <v>1308</v>
      </c>
      <c r="B74" s="2">
        <v>46237</v>
      </c>
      <c r="C74" s="2">
        <v>46240</v>
      </c>
      <c r="D74" s="1" t="s">
        <v>198</v>
      </c>
      <c r="E74" t="s">
        <v>199</v>
      </c>
      <c r="F74" t="s">
        <v>19</v>
      </c>
      <c r="G74">
        <v>27</v>
      </c>
      <c r="H74">
        <v>27</v>
      </c>
      <c r="I74" s="5">
        <v>27</v>
      </c>
      <c r="J74" s="5">
        <v>0</v>
      </c>
      <c r="K74" s="5">
        <v>100</v>
      </c>
      <c r="L74" s="5">
        <v>0</v>
      </c>
      <c r="M74" t="s">
        <v>20</v>
      </c>
      <c r="N74" t="s">
        <v>21</v>
      </c>
    </row>
    <row r="75" spans="1:14" x14ac:dyDescent="0.3">
      <c r="A75" t="s">
        <v>1311</v>
      </c>
      <c r="B75" s="2">
        <v>46237</v>
      </c>
      <c r="C75" s="2">
        <v>46240</v>
      </c>
      <c r="D75" s="1" t="s">
        <v>1312</v>
      </c>
      <c r="E75" t="s">
        <v>1313</v>
      </c>
      <c r="F75" t="s">
        <v>19</v>
      </c>
      <c r="G75">
        <v>240</v>
      </c>
      <c r="H75">
        <v>240</v>
      </c>
      <c r="I75" s="5">
        <v>240</v>
      </c>
      <c r="J75" s="5">
        <v>0</v>
      </c>
      <c r="K75" s="5">
        <v>100</v>
      </c>
      <c r="L75" s="5">
        <v>0</v>
      </c>
      <c r="M75" t="s">
        <v>20</v>
      </c>
      <c r="N75" t="s">
        <v>21</v>
      </c>
    </row>
    <row r="76" spans="1:14" x14ac:dyDescent="0.3">
      <c r="A76" t="s">
        <v>1314</v>
      </c>
      <c r="B76" s="2">
        <v>46237</v>
      </c>
      <c r="C76" s="2">
        <v>46240</v>
      </c>
      <c r="D76" s="1" t="s">
        <v>256</v>
      </c>
      <c r="E76" t="s">
        <v>257</v>
      </c>
      <c r="F76" t="s">
        <v>19</v>
      </c>
      <c r="G76">
        <v>315</v>
      </c>
      <c r="H76">
        <v>315</v>
      </c>
      <c r="I76" s="5">
        <v>315</v>
      </c>
      <c r="J76" s="5">
        <v>0</v>
      </c>
      <c r="K76" s="5">
        <v>100</v>
      </c>
      <c r="L76" s="5">
        <v>0</v>
      </c>
      <c r="M76" t="s">
        <v>20</v>
      </c>
      <c r="N76" t="s">
        <v>21</v>
      </c>
    </row>
    <row r="77" spans="1:14" x14ac:dyDescent="0.3">
      <c r="A77" t="s">
        <v>1279</v>
      </c>
      <c r="B77" s="2">
        <v>46238</v>
      </c>
      <c r="C77" s="2">
        <v>46240</v>
      </c>
      <c r="D77" s="1" t="s">
        <v>355</v>
      </c>
      <c r="E77" t="s">
        <v>356</v>
      </c>
      <c r="F77" t="s">
        <v>97</v>
      </c>
      <c r="G77">
        <v>33</v>
      </c>
      <c r="H77">
        <v>33</v>
      </c>
      <c r="I77" s="5">
        <v>28</v>
      </c>
      <c r="J77" s="5">
        <v>5</v>
      </c>
      <c r="K77" s="5">
        <v>100</v>
      </c>
      <c r="L77" s="5">
        <v>15</v>
      </c>
      <c r="M77" t="s">
        <v>20</v>
      </c>
      <c r="N77" t="s">
        <v>21</v>
      </c>
    </row>
    <row r="78" spans="1:14" x14ac:dyDescent="0.3">
      <c r="A78" t="s">
        <v>1280</v>
      </c>
      <c r="B78" s="2">
        <v>46238</v>
      </c>
      <c r="C78" s="2">
        <v>46240</v>
      </c>
      <c r="D78" s="1" t="s">
        <v>370</v>
      </c>
      <c r="E78" t="s">
        <v>371</v>
      </c>
      <c r="F78" t="s">
        <v>97</v>
      </c>
      <c r="G78">
        <v>22</v>
      </c>
      <c r="H78">
        <v>22</v>
      </c>
      <c r="I78" s="5">
        <v>20</v>
      </c>
      <c r="J78" s="5">
        <v>2</v>
      </c>
      <c r="K78" s="5">
        <v>100</v>
      </c>
      <c r="L78" s="5">
        <v>9</v>
      </c>
      <c r="M78" t="s">
        <v>20</v>
      </c>
      <c r="N78" t="s">
        <v>21</v>
      </c>
    </row>
    <row r="79" spans="1:14" x14ac:dyDescent="0.3">
      <c r="A79" t="s">
        <v>1286</v>
      </c>
      <c r="B79" s="2">
        <v>46238</v>
      </c>
      <c r="C79" s="2">
        <v>46240</v>
      </c>
      <c r="D79" s="1" t="s">
        <v>311</v>
      </c>
      <c r="E79" t="s">
        <v>312</v>
      </c>
      <c r="F79" t="s">
        <v>61</v>
      </c>
      <c r="G79">
        <v>150</v>
      </c>
      <c r="H79">
        <v>189</v>
      </c>
      <c r="I79" s="5">
        <v>184</v>
      </c>
      <c r="J79" s="5">
        <v>5</v>
      </c>
      <c r="K79" s="5">
        <v>126</v>
      </c>
      <c r="L79" s="5">
        <v>3</v>
      </c>
      <c r="M79" t="s">
        <v>20</v>
      </c>
      <c r="N79" t="s">
        <v>21</v>
      </c>
    </row>
    <row r="80" spans="1:14" x14ac:dyDescent="0.3">
      <c r="A80" t="s">
        <v>1274</v>
      </c>
      <c r="B80" s="2">
        <v>46238</v>
      </c>
      <c r="C80" s="2">
        <v>46240</v>
      </c>
      <c r="D80" s="1" t="s">
        <v>48</v>
      </c>
      <c r="E80" t="s">
        <v>49</v>
      </c>
      <c r="F80" t="s">
        <v>39</v>
      </c>
      <c r="G80">
        <v>280</v>
      </c>
      <c r="H80">
        <v>220</v>
      </c>
      <c r="I80" s="5">
        <v>218</v>
      </c>
      <c r="J80" s="5">
        <v>2</v>
      </c>
      <c r="K80" s="5">
        <v>79</v>
      </c>
      <c r="L80" s="5">
        <v>1</v>
      </c>
      <c r="M80" t="s">
        <v>20</v>
      </c>
      <c r="N80" t="s">
        <v>21</v>
      </c>
    </row>
    <row r="81" spans="1:14" x14ac:dyDescent="0.3">
      <c r="A81" t="s">
        <v>1276</v>
      </c>
      <c r="B81" s="2">
        <v>46238</v>
      </c>
      <c r="C81" s="2">
        <v>46240</v>
      </c>
      <c r="D81" s="1" t="s">
        <v>289</v>
      </c>
      <c r="E81" t="s">
        <v>290</v>
      </c>
      <c r="F81" t="s">
        <v>97</v>
      </c>
      <c r="G81">
        <v>624</v>
      </c>
      <c r="H81">
        <v>624</v>
      </c>
      <c r="I81" s="5">
        <v>620</v>
      </c>
      <c r="J81" s="5">
        <v>4</v>
      </c>
      <c r="K81" s="5">
        <v>100</v>
      </c>
      <c r="L81" s="5">
        <v>1</v>
      </c>
      <c r="M81" t="s">
        <v>20</v>
      </c>
      <c r="N81" t="s">
        <v>21</v>
      </c>
    </row>
    <row r="82" spans="1:14" x14ac:dyDescent="0.3">
      <c r="A82" t="s">
        <v>1282</v>
      </c>
      <c r="B82" s="2">
        <v>46238</v>
      </c>
      <c r="C82" s="2">
        <v>46240</v>
      </c>
      <c r="D82" s="1" t="s">
        <v>281</v>
      </c>
      <c r="E82" t="s">
        <v>282</v>
      </c>
      <c r="F82" t="s">
        <v>97</v>
      </c>
      <c r="G82">
        <v>528</v>
      </c>
      <c r="H82">
        <v>583</v>
      </c>
      <c r="I82" s="5">
        <v>580</v>
      </c>
      <c r="J82" s="5">
        <v>3</v>
      </c>
      <c r="K82" s="5">
        <v>110</v>
      </c>
      <c r="L82" s="5">
        <v>1</v>
      </c>
      <c r="M82" t="s">
        <v>20</v>
      </c>
      <c r="N82" t="s">
        <v>21</v>
      </c>
    </row>
    <row r="83" spans="1:14" x14ac:dyDescent="0.3">
      <c r="A83" t="s">
        <v>1275</v>
      </c>
      <c r="B83" s="2">
        <v>46238</v>
      </c>
      <c r="C83" s="2">
        <v>46240</v>
      </c>
      <c r="D83" s="1" t="s">
        <v>95</v>
      </c>
      <c r="E83" t="s">
        <v>96</v>
      </c>
      <c r="F83" t="s">
        <v>97</v>
      </c>
      <c r="G83">
        <v>910</v>
      </c>
      <c r="H83">
        <v>980</v>
      </c>
      <c r="I83" s="5">
        <v>976</v>
      </c>
      <c r="J83" s="5">
        <v>4</v>
      </c>
      <c r="K83" s="5">
        <v>108</v>
      </c>
      <c r="L83" s="5">
        <v>0</v>
      </c>
      <c r="M83" t="s">
        <v>20</v>
      </c>
      <c r="N83" t="s">
        <v>21</v>
      </c>
    </row>
    <row r="84" spans="1:14" x14ac:dyDescent="0.3">
      <c r="A84" t="s">
        <v>1277</v>
      </c>
      <c r="B84" s="2">
        <v>46238</v>
      </c>
      <c r="C84" s="2">
        <v>46240</v>
      </c>
      <c r="D84" s="1" t="s">
        <v>284</v>
      </c>
      <c r="E84" t="s">
        <v>285</v>
      </c>
      <c r="F84" t="s">
        <v>97</v>
      </c>
      <c r="G84">
        <v>385</v>
      </c>
      <c r="H84">
        <v>419</v>
      </c>
      <c r="I84" s="5">
        <v>419</v>
      </c>
      <c r="J84" s="5">
        <v>0</v>
      </c>
      <c r="K84" s="5">
        <v>109</v>
      </c>
      <c r="L84" s="5">
        <v>0</v>
      </c>
      <c r="M84" t="s">
        <v>20</v>
      </c>
      <c r="N84" t="s">
        <v>21</v>
      </c>
    </row>
    <row r="85" spans="1:14" x14ac:dyDescent="0.3">
      <c r="A85" t="s">
        <v>1278</v>
      </c>
      <c r="B85" s="2">
        <v>46238</v>
      </c>
      <c r="C85" s="2">
        <v>46240</v>
      </c>
      <c r="D85" s="1" t="s">
        <v>412</v>
      </c>
      <c r="E85" t="s">
        <v>413</v>
      </c>
      <c r="F85" t="s">
        <v>97</v>
      </c>
      <c r="G85">
        <v>600</v>
      </c>
      <c r="H85">
        <v>626</v>
      </c>
      <c r="I85" s="5">
        <v>624</v>
      </c>
      <c r="J85" s="5">
        <v>2</v>
      </c>
      <c r="K85" s="5">
        <v>104</v>
      </c>
      <c r="L85" s="5">
        <v>0</v>
      </c>
      <c r="M85" t="s">
        <v>20</v>
      </c>
      <c r="N85" t="s">
        <v>21</v>
      </c>
    </row>
    <row r="86" spans="1:14" x14ac:dyDescent="0.3">
      <c r="A86" t="s">
        <v>1281</v>
      </c>
      <c r="B86" s="2">
        <v>46238</v>
      </c>
      <c r="C86" s="2">
        <v>46240</v>
      </c>
      <c r="D86" s="1" t="s">
        <v>367</v>
      </c>
      <c r="E86" t="s">
        <v>368</v>
      </c>
      <c r="F86" t="s">
        <v>97</v>
      </c>
      <c r="G86">
        <v>23</v>
      </c>
      <c r="H86">
        <v>25</v>
      </c>
      <c r="I86" s="5">
        <v>25</v>
      </c>
      <c r="J86" s="5">
        <v>0</v>
      </c>
      <c r="K86" s="5">
        <v>107</v>
      </c>
      <c r="L86" s="5">
        <v>0</v>
      </c>
      <c r="M86" t="s">
        <v>20</v>
      </c>
      <c r="N86" t="s">
        <v>21</v>
      </c>
    </row>
    <row r="87" spans="1:14" x14ac:dyDescent="0.3">
      <c r="A87" t="s">
        <v>1283</v>
      </c>
      <c r="B87" s="2">
        <v>46238</v>
      </c>
      <c r="C87" s="2">
        <v>46240</v>
      </c>
      <c r="D87" s="1" t="s">
        <v>316</v>
      </c>
      <c r="E87" t="s">
        <v>317</v>
      </c>
      <c r="F87" t="s">
        <v>97</v>
      </c>
      <c r="G87">
        <v>100</v>
      </c>
      <c r="H87">
        <v>101</v>
      </c>
      <c r="I87" s="5">
        <v>101</v>
      </c>
      <c r="J87" s="5">
        <v>0</v>
      </c>
      <c r="K87" s="5">
        <v>101</v>
      </c>
      <c r="L87" s="5">
        <v>0</v>
      </c>
      <c r="M87" t="s">
        <v>20</v>
      </c>
      <c r="N87" t="s">
        <v>21</v>
      </c>
    </row>
    <row r="88" spans="1:14" x14ac:dyDescent="0.3">
      <c r="A88" t="s">
        <v>1284</v>
      </c>
      <c r="B88" s="2">
        <v>46238</v>
      </c>
      <c r="C88" s="2">
        <v>46240</v>
      </c>
      <c r="D88" s="1" t="s">
        <v>66</v>
      </c>
      <c r="E88" t="s">
        <v>67</v>
      </c>
      <c r="F88" t="s">
        <v>61</v>
      </c>
      <c r="G88">
        <v>300</v>
      </c>
      <c r="H88">
        <v>320</v>
      </c>
      <c r="I88" s="5">
        <v>320</v>
      </c>
      <c r="J88" s="5">
        <v>0</v>
      </c>
      <c r="K88" s="5">
        <v>107</v>
      </c>
      <c r="L88" s="5">
        <v>0</v>
      </c>
      <c r="M88" t="s">
        <v>20</v>
      </c>
      <c r="N88" t="s">
        <v>21</v>
      </c>
    </row>
    <row r="89" spans="1:14" x14ac:dyDescent="0.3">
      <c r="A89" t="s">
        <v>1285</v>
      </c>
      <c r="B89" s="2">
        <v>46238</v>
      </c>
      <c r="C89" s="2">
        <v>46240</v>
      </c>
      <c r="D89" s="1" t="s">
        <v>129</v>
      </c>
      <c r="E89" t="s">
        <v>130</v>
      </c>
      <c r="F89" t="s">
        <v>61</v>
      </c>
      <c r="G89">
        <v>318</v>
      </c>
      <c r="H89">
        <v>318</v>
      </c>
      <c r="I89" s="5">
        <v>318</v>
      </c>
      <c r="J89" s="5">
        <v>0</v>
      </c>
      <c r="K89" s="5">
        <v>100</v>
      </c>
      <c r="L89" s="5">
        <v>0</v>
      </c>
      <c r="M89" t="s">
        <v>20</v>
      </c>
      <c r="N89" t="s">
        <v>21</v>
      </c>
    </row>
    <row r="90" spans="1:14" x14ac:dyDescent="0.3">
      <c r="A90" t="s">
        <v>1305</v>
      </c>
      <c r="B90" s="2">
        <v>46238</v>
      </c>
      <c r="C90" s="2">
        <v>46240</v>
      </c>
      <c r="D90" s="1" t="s">
        <v>1302</v>
      </c>
      <c r="E90" t="s">
        <v>1303</v>
      </c>
      <c r="F90" t="s">
        <v>1304</v>
      </c>
      <c r="G90">
        <v>1559</v>
      </c>
      <c r="H90">
        <v>1559</v>
      </c>
      <c r="I90" s="5">
        <v>1559</v>
      </c>
      <c r="J90" s="5">
        <v>0</v>
      </c>
      <c r="K90" s="5">
        <v>100</v>
      </c>
      <c r="L90" s="5">
        <v>0</v>
      </c>
      <c r="M90" t="s">
        <v>20</v>
      </c>
      <c r="N90" t="s">
        <v>21</v>
      </c>
    </row>
    <row r="91" spans="1:14" x14ac:dyDescent="0.3">
      <c r="A91" t="s">
        <v>1309</v>
      </c>
      <c r="B91" s="2">
        <v>46238</v>
      </c>
      <c r="C91" s="2">
        <v>46240</v>
      </c>
      <c r="D91" s="1" t="s">
        <v>198</v>
      </c>
      <c r="E91" t="s">
        <v>199</v>
      </c>
      <c r="F91" t="s">
        <v>19</v>
      </c>
      <c r="G91">
        <v>28</v>
      </c>
      <c r="H91">
        <v>28</v>
      </c>
      <c r="I91" s="5">
        <v>28</v>
      </c>
      <c r="J91" s="5">
        <v>0</v>
      </c>
      <c r="K91" s="5">
        <v>100</v>
      </c>
      <c r="L91" s="5">
        <v>0</v>
      </c>
      <c r="M91" t="s">
        <v>20</v>
      </c>
      <c r="N91" t="s">
        <v>21</v>
      </c>
    </row>
    <row r="92" spans="1:14" x14ac:dyDescent="0.3">
      <c r="A92" t="s">
        <v>1289</v>
      </c>
      <c r="B92" s="2">
        <v>46239</v>
      </c>
      <c r="C92" s="2">
        <v>46240</v>
      </c>
      <c r="D92" s="1" t="s">
        <v>178</v>
      </c>
      <c r="E92" t="s">
        <v>179</v>
      </c>
      <c r="F92" t="s">
        <v>97</v>
      </c>
      <c r="G92">
        <v>150</v>
      </c>
      <c r="H92">
        <v>155</v>
      </c>
      <c r="I92" s="5">
        <v>153</v>
      </c>
      <c r="J92" s="5">
        <v>2</v>
      </c>
      <c r="K92" s="5">
        <v>103</v>
      </c>
      <c r="L92" s="5">
        <v>1</v>
      </c>
      <c r="M92" t="s">
        <v>20</v>
      </c>
      <c r="N92" t="s">
        <v>21</v>
      </c>
    </row>
    <row r="93" spans="1:14" x14ac:dyDescent="0.3">
      <c r="A93" t="s">
        <v>1292</v>
      </c>
      <c r="B93" s="2">
        <v>46239</v>
      </c>
      <c r="C93" s="2">
        <v>46240</v>
      </c>
      <c r="D93" s="1" t="s">
        <v>1293</v>
      </c>
      <c r="E93" t="s">
        <v>1294</v>
      </c>
      <c r="F93" t="s">
        <v>61</v>
      </c>
      <c r="G93">
        <v>500</v>
      </c>
      <c r="H93">
        <v>475</v>
      </c>
      <c r="I93" s="5">
        <v>471</v>
      </c>
      <c r="J93" s="5">
        <v>4</v>
      </c>
      <c r="K93" s="5">
        <v>95</v>
      </c>
      <c r="L93" s="5">
        <v>1</v>
      </c>
      <c r="M93" t="s">
        <v>20</v>
      </c>
      <c r="N93" t="s">
        <v>21</v>
      </c>
    </row>
    <row r="94" spans="1:14" x14ac:dyDescent="0.3">
      <c r="A94" t="s">
        <v>1299</v>
      </c>
      <c r="B94" s="2">
        <v>46239</v>
      </c>
      <c r="C94" s="2">
        <v>46240</v>
      </c>
      <c r="D94" s="1" t="s">
        <v>158</v>
      </c>
      <c r="E94" t="s">
        <v>159</v>
      </c>
      <c r="F94" t="s">
        <v>39</v>
      </c>
      <c r="G94">
        <v>180</v>
      </c>
      <c r="H94">
        <v>182</v>
      </c>
      <c r="I94" s="5">
        <v>181</v>
      </c>
      <c r="J94" s="5">
        <v>1</v>
      </c>
      <c r="K94" s="5">
        <v>101</v>
      </c>
      <c r="L94" s="5">
        <v>1</v>
      </c>
      <c r="M94" t="s">
        <v>20</v>
      </c>
      <c r="N94" t="s">
        <v>21</v>
      </c>
    </row>
    <row r="95" spans="1:14" x14ac:dyDescent="0.3">
      <c r="A95" t="s">
        <v>1287</v>
      </c>
      <c r="B95" s="2">
        <v>46239</v>
      </c>
      <c r="C95" s="2">
        <v>46240</v>
      </c>
      <c r="D95" s="1" t="s">
        <v>189</v>
      </c>
      <c r="E95" t="s">
        <v>190</v>
      </c>
      <c r="F95" t="s">
        <v>97</v>
      </c>
      <c r="G95">
        <v>150</v>
      </c>
      <c r="H95">
        <v>162</v>
      </c>
      <c r="I95" s="5">
        <v>162</v>
      </c>
      <c r="J95" s="5">
        <v>0</v>
      </c>
      <c r="K95" s="5">
        <v>108</v>
      </c>
      <c r="L95" s="5">
        <v>0</v>
      </c>
      <c r="M95" t="s">
        <v>20</v>
      </c>
      <c r="N95" t="s">
        <v>21</v>
      </c>
    </row>
    <row r="96" spans="1:14" x14ac:dyDescent="0.3">
      <c r="A96" t="s">
        <v>1288</v>
      </c>
      <c r="B96" s="2">
        <v>46239</v>
      </c>
      <c r="C96" s="2">
        <v>46240</v>
      </c>
      <c r="D96" s="1" t="s">
        <v>183</v>
      </c>
      <c r="E96" t="s">
        <v>184</v>
      </c>
      <c r="F96" t="s">
        <v>97</v>
      </c>
      <c r="G96">
        <v>150</v>
      </c>
      <c r="H96">
        <v>153</v>
      </c>
      <c r="I96" s="5">
        <v>153</v>
      </c>
      <c r="J96" s="5">
        <v>0</v>
      </c>
      <c r="K96" s="5">
        <v>102</v>
      </c>
      <c r="L96" s="5">
        <v>0</v>
      </c>
      <c r="M96" t="s">
        <v>20</v>
      </c>
      <c r="N96" t="s">
        <v>21</v>
      </c>
    </row>
    <row r="97" spans="1:14" x14ac:dyDescent="0.3">
      <c r="A97" t="s">
        <v>1290</v>
      </c>
      <c r="B97" s="2">
        <v>46239</v>
      </c>
      <c r="C97" s="2">
        <v>46240</v>
      </c>
      <c r="D97" s="1" t="s">
        <v>316</v>
      </c>
      <c r="E97" t="s">
        <v>317</v>
      </c>
      <c r="F97" t="s">
        <v>97</v>
      </c>
      <c r="G97">
        <v>100</v>
      </c>
      <c r="H97">
        <v>106</v>
      </c>
      <c r="I97" s="5">
        <v>106</v>
      </c>
      <c r="J97" s="5">
        <v>0</v>
      </c>
      <c r="K97" s="5">
        <v>106</v>
      </c>
      <c r="L97" s="5">
        <v>0</v>
      </c>
      <c r="M97" t="s">
        <v>20</v>
      </c>
      <c r="N97" t="s">
        <v>21</v>
      </c>
    </row>
    <row r="98" spans="1:14" x14ac:dyDescent="0.3">
      <c r="A98" t="s">
        <v>1291</v>
      </c>
      <c r="B98" s="2">
        <v>46239</v>
      </c>
      <c r="C98" s="2">
        <v>46240</v>
      </c>
      <c r="D98" s="1" t="s">
        <v>129</v>
      </c>
      <c r="E98" t="s">
        <v>130</v>
      </c>
      <c r="F98" t="s">
        <v>61</v>
      </c>
      <c r="G98">
        <v>282</v>
      </c>
      <c r="H98">
        <v>306</v>
      </c>
      <c r="I98" s="5">
        <v>306</v>
      </c>
      <c r="J98" s="5">
        <v>0</v>
      </c>
      <c r="K98" s="5">
        <v>109</v>
      </c>
      <c r="L98" s="5">
        <v>0</v>
      </c>
      <c r="M98" t="s">
        <v>20</v>
      </c>
      <c r="N98" t="s">
        <v>21</v>
      </c>
    </row>
    <row r="99" spans="1:14" x14ac:dyDescent="0.3">
      <c r="A99" t="s">
        <v>1295</v>
      </c>
      <c r="B99" s="2">
        <v>46239</v>
      </c>
      <c r="C99" s="2">
        <v>46240</v>
      </c>
      <c r="D99" s="1" t="s">
        <v>1296</v>
      </c>
      <c r="E99" t="s">
        <v>1297</v>
      </c>
      <c r="F99" t="s">
        <v>39</v>
      </c>
      <c r="G99">
        <v>180</v>
      </c>
      <c r="H99">
        <v>195</v>
      </c>
      <c r="I99" s="5">
        <v>195</v>
      </c>
      <c r="J99" s="5">
        <v>0</v>
      </c>
      <c r="K99" s="5">
        <v>108</v>
      </c>
      <c r="L99" s="5">
        <v>0</v>
      </c>
      <c r="M99" t="s">
        <v>20</v>
      </c>
      <c r="N99" t="s">
        <v>21</v>
      </c>
    </row>
    <row r="100" spans="1:14" x14ac:dyDescent="0.3">
      <c r="A100" t="s">
        <v>1298</v>
      </c>
      <c r="B100" s="2">
        <v>46239</v>
      </c>
      <c r="C100" s="2">
        <v>46240</v>
      </c>
      <c r="D100" s="1" t="s">
        <v>152</v>
      </c>
      <c r="E100" t="s">
        <v>153</v>
      </c>
      <c r="F100" t="s">
        <v>39</v>
      </c>
      <c r="G100">
        <v>142</v>
      </c>
      <c r="H100">
        <v>154</v>
      </c>
      <c r="I100" s="5">
        <v>154</v>
      </c>
      <c r="J100" s="5">
        <v>0</v>
      </c>
      <c r="K100" s="5">
        <v>108</v>
      </c>
      <c r="L100" s="5">
        <v>0</v>
      </c>
      <c r="M100" t="s">
        <v>20</v>
      </c>
      <c r="N100" t="s">
        <v>21</v>
      </c>
    </row>
    <row r="101" spans="1:14" x14ac:dyDescent="0.3">
      <c r="A101" t="s">
        <v>1300</v>
      </c>
      <c r="B101" s="2">
        <v>46239</v>
      </c>
      <c r="C101" s="2">
        <v>46240</v>
      </c>
      <c r="D101" s="1" t="s">
        <v>164</v>
      </c>
      <c r="E101" t="s">
        <v>165</v>
      </c>
      <c r="F101" t="s">
        <v>97</v>
      </c>
      <c r="G101">
        <v>75</v>
      </c>
      <c r="H101">
        <v>77</v>
      </c>
      <c r="I101" s="5">
        <v>77</v>
      </c>
      <c r="J101" s="5">
        <v>0</v>
      </c>
      <c r="K101" s="5">
        <v>103</v>
      </c>
      <c r="L101" s="5">
        <v>0</v>
      </c>
      <c r="M101" t="s">
        <v>20</v>
      </c>
      <c r="N101" t="s">
        <v>21</v>
      </c>
    </row>
    <row r="102" spans="1:14" x14ac:dyDescent="0.3">
      <c r="A102" t="s">
        <v>1301</v>
      </c>
      <c r="B102" s="2">
        <v>46239</v>
      </c>
      <c r="C102" s="2">
        <v>46240</v>
      </c>
      <c r="D102" s="1" t="s">
        <v>1302</v>
      </c>
      <c r="E102" t="s">
        <v>1303</v>
      </c>
      <c r="F102" t="s">
        <v>1304</v>
      </c>
      <c r="G102">
        <v>224</v>
      </c>
      <c r="H102">
        <v>224</v>
      </c>
      <c r="I102" s="5">
        <v>224</v>
      </c>
      <c r="J102" s="5">
        <v>0</v>
      </c>
      <c r="K102" s="5">
        <v>100</v>
      </c>
      <c r="L102" s="5">
        <v>0</v>
      </c>
      <c r="M102" t="s">
        <v>20</v>
      </c>
      <c r="N102" t="s">
        <v>21</v>
      </c>
    </row>
    <row r="103" spans="1:14" x14ac:dyDescent="0.3">
      <c r="A103" t="s">
        <v>1310</v>
      </c>
      <c r="B103" s="2">
        <v>46239</v>
      </c>
      <c r="C103" s="2">
        <v>46240</v>
      </c>
      <c r="D103" s="1" t="s">
        <v>85</v>
      </c>
      <c r="E103" t="s">
        <v>86</v>
      </c>
      <c r="F103" t="s">
        <v>19</v>
      </c>
      <c r="G103">
        <v>116</v>
      </c>
      <c r="H103">
        <v>116</v>
      </c>
      <c r="I103" s="5">
        <v>116</v>
      </c>
      <c r="J103" s="5">
        <v>0</v>
      </c>
      <c r="K103" s="5">
        <v>100</v>
      </c>
      <c r="L103" s="5">
        <v>0</v>
      </c>
      <c r="M103" t="s">
        <v>20</v>
      </c>
      <c r="N103" t="s">
        <v>21</v>
      </c>
    </row>
    <row r="104" spans="1:14" x14ac:dyDescent="0.3">
      <c r="A104" t="s">
        <v>1315</v>
      </c>
      <c r="B104" s="2">
        <v>46239</v>
      </c>
      <c r="C104" s="2">
        <v>46240</v>
      </c>
      <c r="D104" s="1" t="s">
        <v>1312</v>
      </c>
      <c r="E104" t="s">
        <v>1313</v>
      </c>
      <c r="F104" t="s">
        <v>19</v>
      </c>
      <c r="G104">
        <v>120</v>
      </c>
      <c r="H104">
        <v>120</v>
      </c>
      <c r="I104" s="5">
        <v>120</v>
      </c>
      <c r="J104" s="5">
        <v>0</v>
      </c>
      <c r="K104" s="5">
        <v>100</v>
      </c>
      <c r="L104" s="5">
        <v>0</v>
      </c>
      <c r="M104" t="s">
        <v>20</v>
      </c>
      <c r="N104" t="s">
        <v>21</v>
      </c>
    </row>
    <row r="105" spans="1:14" x14ac:dyDescent="0.3">
      <c r="A105" t="s">
        <v>1316</v>
      </c>
      <c r="B105" s="2">
        <v>46239</v>
      </c>
      <c r="C105" s="2">
        <v>46240</v>
      </c>
      <c r="D105" s="1" t="s">
        <v>256</v>
      </c>
      <c r="E105" t="s">
        <v>257</v>
      </c>
      <c r="F105" t="s">
        <v>19</v>
      </c>
      <c r="G105">
        <v>387</v>
      </c>
      <c r="H105">
        <v>387</v>
      </c>
      <c r="I105" s="5">
        <v>387</v>
      </c>
      <c r="J105" s="5">
        <v>0</v>
      </c>
      <c r="K105" s="5">
        <v>100</v>
      </c>
      <c r="L105" s="5">
        <v>0</v>
      </c>
      <c r="M105" t="s">
        <v>20</v>
      </c>
      <c r="N105" t="s">
        <v>21</v>
      </c>
    </row>
    <row r="106" spans="1:14" x14ac:dyDescent="0.3">
      <c r="A106" t="s">
        <v>1317</v>
      </c>
      <c r="B106" s="2">
        <v>46239</v>
      </c>
      <c r="C106" s="2">
        <v>46240</v>
      </c>
      <c r="D106" s="1" t="s">
        <v>27</v>
      </c>
      <c r="E106" t="s">
        <v>28</v>
      </c>
      <c r="F106" t="s">
        <v>19</v>
      </c>
      <c r="G106">
        <v>500</v>
      </c>
      <c r="H106">
        <v>500</v>
      </c>
      <c r="I106" s="5">
        <v>500</v>
      </c>
      <c r="J106" s="5">
        <v>0</v>
      </c>
      <c r="K106" s="5">
        <v>100</v>
      </c>
      <c r="L106" s="5">
        <v>0</v>
      </c>
      <c r="M106" t="s">
        <v>20</v>
      </c>
      <c r="N106" t="s">
        <v>21</v>
      </c>
    </row>
    <row r="108" spans="1:14" x14ac:dyDescent="0.3">
      <c r="A108" t="s">
        <v>416</v>
      </c>
      <c r="G108" s="5"/>
      <c r="H108" s="5"/>
    </row>
    <row r="109" spans="1:14" x14ac:dyDescent="0.3">
      <c r="A109" s="3" t="s">
        <v>2</v>
      </c>
      <c r="B109" s="3" t="s">
        <v>3</v>
      </c>
      <c r="C109" s="3" t="s">
        <v>4</v>
      </c>
      <c r="D109" s="4" t="s">
        <v>5</v>
      </c>
      <c r="E109" s="3" t="s">
        <v>6</v>
      </c>
      <c r="F109" s="3" t="s">
        <v>7</v>
      </c>
      <c r="G109" s="6" t="s">
        <v>8</v>
      </c>
      <c r="H109" s="6" t="s">
        <v>9</v>
      </c>
      <c r="I109" s="6" t="s">
        <v>10</v>
      </c>
      <c r="J109" s="6" t="s">
        <v>11</v>
      </c>
      <c r="K109" s="6" t="s">
        <v>12</v>
      </c>
      <c r="L109" s="6" t="s">
        <v>13</v>
      </c>
      <c r="M109" s="3" t="s">
        <v>14</v>
      </c>
      <c r="N109" s="3" t="s">
        <v>15</v>
      </c>
    </row>
    <row r="110" spans="1:14" x14ac:dyDescent="0.3">
      <c r="A110" t="s">
        <v>1406</v>
      </c>
      <c r="B110" s="2">
        <v>46226</v>
      </c>
      <c r="C110" s="2">
        <v>46234</v>
      </c>
      <c r="D110" s="1" t="s">
        <v>840</v>
      </c>
      <c r="E110" s="45" t="s">
        <v>841</v>
      </c>
      <c r="F110" t="s">
        <v>425</v>
      </c>
      <c r="G110">
        <v>3400</v>
      </c>
      <c r="H110">
        <v>1330</v>
      </c>
      <c r="I110" s="5">
        <v>1080</v>
      </c>
      <c r="J110" s="5">
        <v>250</v>
      </c>
      <c r="K110" s="5">
        <v>39</v>
      </c>
      <c r="L110" s="5">
        <v>19</v>
      </c>
      <c r="M110" t="s">
        <v>20</v>
      </c>
      <c r="N110" t="s">
        <v>421</v>
      </c>
    </row>
    <row r="111" spans="1:14" x14ac:dyDescent="0.3">
      <c r="A111" t="s">
        <v>457</v>
      </c>
      <c r="B111" s="2">
        <v>46226</v>
      </c>
      <c r="C111" s="2">
        <v>46233</v>
      </c>
      <c r="D111" s="1" t="s">
        <v>451</v>
      </c>
      <c r="E111" t="s">
        <v>452</v>
      </c>
      <c r="F111" t="s">
        <v>425</v>
      </c>
      <c r="G111">
        <v>2304</v>
      </c>
      <c r="H111">
        <v>1617</v>
      </c>
      <c r="I111" s="5">
        <v>1460</v>
      </c>
      <c r="J111" s="5">
        <v>157</v>
      </c>
      <c r="K111" s="5">
        <v>70</v>
      </c>
      <c r="L111" s="5">
        <v>10</v>
      </c>
      <c r="M111" t="s">
        <v>20</v>
      </c>
      <c r="N111" t="s">
        <v>421</v>
      </c>
    </row>
    <row r="112" spans="1:14" x14ac:dyDescent="0.3">
      <c r="A112" t="s">
        <v>1407</v>
      </c>
      <c r="B112" s="2">
        <v>46227</v>
      </c>
      <c r="C112" s="2">
        <v>46234</v>
      </c>
      <c r="D112" s="1" t="s">
        <v>840</v>
      </c>
      <c r="E112" s="45" t="s">
        <v>841</v>
      </c>
      <c r="F112" t="s">
        <v>425</v>
      </c>
      <c r="G112">
        <v>5100</v>
      </c>
      <c r="H112">
        <v>2813</v>
      </c>
      <c r="I112" s="5">
        <v>2478</v>
      </c>
      <c r="J112" s="5">
        <v>335</v>
      </c>
      <c r="K112" s="5">
        <v>55</v>
      </c>
      <c r="L112" s="5">
        <v>12</v>
      </c>
      <c r="M112" t="s">
        <v>20</v>
      </c>
      <c r="N112" t="s">
        <v>421</v>
      </c>
    </row>
    <row r="113" spans="1:14" x14ac:dyDescent="0.3">
      <c r="A113" t="s">
        <v>1413</v>
      </c>
      <c r="B113" s="2">
        <v>46227</v>
      </c>
      <c r="C113" s="2">
        <v>46234</v>
      </c>
      <c r="D113" s="1" t="s">
        <v>852</v>
      </c>
      <c r="E113" t="s">
        <v>853</v>
      </c>
      <c r="F113" t="s">
        <v>425</v>
      </c>
      <c r="G113">
        <v>1223</v>
      </c>
      <c r="H113">
        <v>371</v>
      </c>
      <c r="I113" s="5">
        <v>350</v>
      </c>
      <c r="J113" s="5">
        <v>21</v>
      </c>
      <c r="K113" s="5">
        <v>30</v>
      </c>
      <c r="L113" s="5">
        <v>6</v>
      </c>
      <c r="M113" t="s">
        <v>20</v>
      </c>
      <c r="N113" t="s">
        <v>421</v>
      </c>
    </row>
    <row r="114" spans="1:14" x14ac:dyDescent="0.3">
      <c r="A114" t="s">
        <v>1436</v>
      </c>
      <c r="B114" s="2">
        <v>46228</v>
      </c>
      <c r="C114" s="2">
        <v>46237</v>
      </c>
      <c r="D114" s="1" t="s">
        <v>983</v>
      </c>
      <c r="E114" t="s">
        <v>984</v>
      </c>
      <c r="F114" t="s">
        <v>420</v>
      </c>
      <c r="G114">
        <v>552</v>
      </c>
      <c r="H114">
        <v>600</v>
      </c>
      <c r="I114" s="5">
        <v>600</v>
      </c>
      <c r="J114" s="5">
        <v>0</v>
      </c>
      <c r="K114" s="5">
        <v>109</v>
      </c>
      <c r="L114" s="5">
        <v>0</v>
      </c>
      <c r="M114" t="s">
        <v>20</v>
      </c>
      <c r="N114" t="s">
        <v>421</v>
      </c>
    </row>
    <row r="115" spans="1:14" x14ac:dyDescent="0.3">
      <c r="A115" t="s">
        <v>1325</v>
      </c>
      <c r="B115" s="2">
        <v>46230</v>
      </c>
      <c r="C115" s="2">
        <v>46234</v>
      </c>
      <c r="D115" s="1" t="s">
        <v>451</v>
      </c>
      <c r="E115" t="s">
        <v>452</v>
      </c>
      <c r="F115" t="s">
        <v>425</v>
      </c>
      <c r="G115">
        <v>1152</v>
      </c>
      <c r="H115">
        <v>818</v>
      </c>
      <c r="I115" s="5">
        <v>780</v>
      </c>
      <c r="J115" s="5">
        <v>38</v>
      </c>
      <c r="K115" s="5">
        <v>71</v>
      </c>
      <c r="L115" s="5">
        <v>5</v>
      </c>
      <c r="M115" t="s">
        <v>20</v>
      </c>
      <c r="N115" t="s">
        <v>421</v>
      </c>
    </row>
    <row r="116" spans="1:14" x14ac:dyDescent="0.3">
      <c r="A116" t="s">
        <v>1082</v>
      </c>
      <c r="B116" s="2">
        <v>46230</v>
      </c>
      <c r="C116" s="2">
        <v>46233</v>
      </c>
      <c r="D116" s="1" t="s">
        <v>1081</v>
      </c>
      <c r="E116" t="s">
        <v>1453</v>
      </c>
      <c r="F116" t="s">
        <v>677</v>
      </c>
      <c r="G116">
        <v>2400</v>
      </c>
      <c r="H116">
        <v>2378</v>
      </c>
      <c r="I116" s="5">
        <v>2370</v>
      </c>
      <c r="J116" s="5">
        <v>8</v>
      </c>
      <c r="K116" s="5">
        <v>99</v>
      </c>
      <c r="L116" s="5">
        <v>0</v>
      </c>
      <c r="M116" t="s">
        <v>20</v>
      </c>
      <c r="N116" t="s">
        <v>421</v>
      </c>
    </row>
    <row r="117" spans="1:14" x14ac:dyDescent="0.3">
      <c r="A117" t="s">
        <v>600</v>
      </c>
      <c r="B117" s="2">
        <v>46231</v>
      </c>
      <c r="C117" s="2">
        <v>46233</v>
      </c>
      <c r="D117" s="1" t="s">
        <v>591</v>
      </c>
      <c r="E117" t="s">
        <v>592</v>
      </c>
      <c r="F117" t="s">
        <v>438</v>
      </c>
      <c r="G117">
        <v>2340</v>
      </c>
      <c r="H117">
        <v>1007</v>
      </c>
      <c r="I117" s="5">
        <v>800</v>
      </c>
      <c r="J117" s="5">
        <v>207</v>
      </c>
      <c r="K117" s="5">
        <v>43</v>
      </c>
      <c r="L117" s="5">
        <v>21</v>
      </c>
      <c r="M117" t="s">
        <v>20</v>
      </c>
      <c r="N117" t="s">
        <v>421</v>
      </c>
    </row>
    <row r="118" spans="1:14" x14ac:dyDescent="0.3">
      <c r="A118" t="s">
        <v>1408</v>
      </c>
      <c r="B118" s="2">
        <v>46231</v>
      </c>
      <c r="C118" s="2">
        <v>46234</v>
      </c>
      <c r="D118" s="1" t="s">
        <v>840</v>
      </c>
      <c r="E118" s="45" t="s">
        <v>841</v>
      </c>
      <c r="F118" t="s">
        <v>425</v>
      </c>
      <c r="G118">
        <v>5100</v>
      </c>
      <c r="H118">
        <v>3490</v>
      </c>
      <c r="I118" s="5">
        <v>3045</v>
      </c>
      <c r="J118" s="5">
        <v>445</v>
      </c>
      <c r="K118" s="5">
        <v>68</v>
      </c>
      <c r="L118" s="5">
        <v>13</v>
      </c>
      <c r="M118" t="s">
        <v>20</v>
      </c>
      <c r="N118" t="s">
        <v>421</v>
      </c>
    </row>
    <row r="119" spans="1:14" x14ac:dyDescent="0.3">
      <c r="A119" t="s">
        <v>458</v>
      </c>
      <c r="B119" s="2">
        <v>46231</v>
      </c>
      <c r="C119" s="2">
        <v>46233</v>
      </c>
      <c r="D119" s="1" t="s">
        <v>451</v>
      </c>
      <c r="E119" t="s">
        <v>452</v>
      </c>
      <c r="F119" t="s">
        <v>425</v>
      </c>
      <c r="G119">
        <v>2304</v>
      </c>
      <c r="H119">
        <v>1596</v>
      </c>
      <c r="I119" s="5">
        <v>1460</v>
      </c>
      <c r="J119" s="5">
        <v>136</v>
      </c>
      <c r="K119" s="5">
        <v>69</v>
      </c>
      <c r="L119" s="5">
        <v>9</v>
      </c>
      <c r="M119" t="s">
        <v>20</v>
      </c>
      <c r="N119" t="s">
        <v>421</v>
      </c>
    </row>
    <row r="120" spans="1:14" x14ac:dyDescent="0.3">
      <c r="A120" t="s">
        <v>1459</v>
      </c>
      <c r="B120" s="2">
        <v>46231</v>
      </c>
      <c r="C120" s="2">
        <v>46234</v>
      </c>
      <c r="D120" s="1" t="s">
        <v>1106</v>
      </c>
      <c r="E120" t="s">
        <v>1107</v>
      </c>
      <c r="F120" t="s">
        <v>425</v>
      </c>
      <c r="G120">
        <v>1605</v>
      </c>
      <c r="H120">
        <v>1370</v>
      </c>
      <c r="I120" s="5">
        <v>1245</v>
      </c>
      <c r="J120" s="5">
        <v>125</v>
      </c>
      <c r="K120" s="5">
        <v>85</v>
      </c>
      <c r="L120" s="5">
        <v>9</v>
      </c>
      <c r="M120" t="s">
        <v>20</v>
      </c>
      <c r="N120" t="s">
        <v>421</v>
      </c>
    </row>
    <row r="121" spans="1:14" x14ac:dyDescent="0.3">
      <c r="A121" t="s">
        <v>1414</v>
      </c>
      <c r="B121" s="2">
        <v>46231</v>
      </c>
      <c r="C121" s="2">
        <v>46234</v>
      </c>
      <c r="D121" s="1" t="s">
        <v>852</v>
      </c>
      <c r="E121" t="s">
        <v>853</v>
      </c>
      <c r="F121" t="s">
        <v>425</v>
      </c>
      <c r="G121">
        <v>1223</v>
      </c>
      <c r="H121">
        <v>1001</v>
      </c>
      <c r="I121" s="5">
        <v>950</v>
      </c>
      <c r="J121" s="5">
        <v>51</v>
      </c>
      <c r="K121" s="5">
        <v>82</v>
      </c>
      <c r="L121" s="5">
        <v>5</v>
      </c>
      <c r="M121" t="s">
        <v>20</v>
      </c>
      <c r="N121" t="s">
        <v>421</v>
      </c>
    </row>
    <row r="122" spans="1:14" x14ac:dyDescent="0.3">
      <c r="A122" t="s">
        <v>1422</v>
      </c>
      <c r="B122" s="2">
        <v>46231</v>
      </c>
      <c r="C122" s="2">
        <v>46234</v>
      </c>
      <c r="D122" s="1" t="s">
        <v>878</v>
      </c>
      <c r="E122" t="s">
        <v>879</v>
      </c>
      <c r="F122" t="s">
        <v>425</v>
      </c>
      <c r="G122">
        <v>2100</v>
      </c>
      <c r="H122">
        <v>1668</v>
      </c>
      <c r="I122" s="5">
        <v>1620</v>
      </c>
      <c r="J122" s="5">
        <v>48</v>
      </c>
      <c r="K122" s="5">
        <v>79</v>
      </c>
      <c r="L122" s="5">
        <v>3</v>
      </c>
      <c r="M122" t="s">
        <v>20</v>
      </c>
      <c r="N122" t="s">
        <v>421</v>
      </c>
    </row>
    <row r="123" spans="1:14" x14ac:dyDescent="0.3">
      <c r="A123" t="s">
        <v>500</v>
      </c>
      <c r="B123" s="2">
        <v>46231</v>
      </c>
      <c r="C123" s="2">
        <v>46233</v>
      </c>
      <c r="D123" s="1" t="s">
        <v>497</v>
      </c>
      <c r="E123" t="s">
        <v>498</v>
      </c>
      <c r="F123" t="s">
        <v>438</v>
      </c>
      <c r="G123">
        <v>1052</v>
      </c>
      <c r="H123">
        <v>1118</v>
      </c>
      <c r="I123" s="5">
        <v>1100</v>
      </c>
      <c r="J123" s="5">
        <v>18</v>
      </c>
      <c r="K123" s="5">
        <v>106</v>
      </c>
      <c r="L123" s="5">
        <v>2</v>
      </c>
      <c r="M123" t="s">
        <v>20</v>
      </c>
      <c r="N123" t="s">
        <v>421</v>
      </c>
    </row>
    <row r="124" spans="1:14" x14ac:dyDescent="0.3">
      <c r="A124" t="s">
        <v>1416</v>
      </c>
      <c r="B124" s="2">
        <v>46231</v>
      </c>
      <c r="C124" s="2">
        <v>46234</v>
      </c>
      <c r="D124" s="1" t="s">
        <v>860</v>
      </c>
      <c r="E124" t="s">
        <v>861</v>
      </c>
      <c r="F124" t="s">
        <v>495</v>
      </c>
      <c r="G124">
        <v>1372</v>
      </c>
      <c r="H124">
        <v>1335</v>
      </c>
      <c r="I124" s="5">
        <v>1320</v>
      </c>
      <c r="J124" s="5">
        <v>15</v>
      </c>
      <c r="K124" s="5">
        <v>97</v>
      </c>
      <c r="L124" s="5">
        <v>1</v>
      </c>
      <c r="M124" t="s">
        <v>20</v>
      </c>
      <c r="N124" t="s">
        <v>421</v>
      </c>
    </row>
    <row r="125" spans="1:14" x14ac:dyDescent="0.3">
      <c r="A125" t="s">
        <v>547</v>
      </c>
      <c r="B125" s="2">
        <v>46231</v>
      </c>
      <c r="C125" s="2">
        <v>46233</v>
      </c>
      <c r="D125" s="1" t="s">
        <v>542</v>
      </c>
      <c r="E125" t="s">
        <v>543</v>
      </c>
      <c r="F125" t="s">
        <v>425</v>
      </c>
      <c r="G125">
        <v>340</v>
      </c>
      <c r="H125">
        <v>344</v>
      </c>
      <c r="I125" s="5">
        <v>344</v>
      </c>
      <c r="J125" s="5">
        <v>0</v>
      </c>
      <c r="K125" s="5">
        <v>101</v>
      </c>
      <c r="L125" s="5">
        <v>0</v>
      </c>
      <c r="M125" t="s">
        <v>20</v>
      </c>
      <c r="N125" t="s">
        <v>421</v>
      </c>
    </row>
    <row r="126" spans="1:14" x14ac:dyDescent="0.3">
      <c r="A126" t="s">
        <v>1031</v>
      </c>
      <c r="B126" s="2">
        <v>46231</v>
      </c>
      <c r="C126" s="2">
        <v>46233</v>
      </c>
      <c r="D126" s="1" t="s">
        <v>1025</v>
      </c>
      <c r="E126" t="s">
        <v>1026</v>
      </c>
      <c r="F126" t="s">
        <v>420</v>
      </c>
      <c r="G126">
        <v>80</v>
      </c>
      <c r="H126">
        <v>86</v>
      </c>
      <c r="I126" s="5">
        <v>86</v>
      </c>
      <c r="J126" s="5">
        <v>0</v>
      </c>
      <c r="K126" s="5">
        <v>108</v>
      </c>
      <c r="L126" s="5">
        <v>0</v>
      </c>
      <c r="M126" t="s">
        <v>20</v>
      </c>
      <c r="N126" t="s">
        <v>421</v>
      </c>
    </row>
    <row r="127" spans="1:14" x14ac:dyDescent="0.3">
      <c r="A127" t="s">
        <v>1412</v>
      </c>
      <c r="B127" s="2">
        <v>46231</v>
      </c>
      <c r="C127" s="2">
        <v>46234</v>
      </c>
      <c r="D127" s="1" t="s">
        <v>847</v>
      </c>
      <c r="E127" t="s">
        <v>848</v>
      </c>
      <c r="F127" t="s">
        <v>425</v>
      </c>
      <c r="G127">
        <v>1770</v>
      </c>
      <c r="H127">
        <v>1415</v>
      </c>
      <c r="I127" s="5">
        <v>1410</v>
      </c>
      <c r="J127" s="5">
        <v>5</v>
      </c>
      <c r="K127" s="5">
        <v>80</v>
      </c>
      <c r="L127" s="5">
        <v>0</v>
      </c>
      <c r="M127" t="s">
        <v>20</v>
      </c>
      <c r="N127" t="s">
        <v>421</v>
      </c>
    </row>
    <row r="128" spans="1:14" x14ac:dyDescent="0.3">
      <c r="A128" t="s">
        <v>1327</v>
      </c>
      <c r="B128" s="2">
        <v>46232</v>
      </c>
      <c r="C128" s="2">
        <v>46234</v>
      </c>
      <c r="D128" s="1" t="s">
        <v>460</v>
      </c>
      <c r="E128" s="45" t="s">
        <v>461</v>
      </c>
      <c r="F128" t="s">
        <v>425</v>
      </c>
      <c r="G128">
        <v>825</v>
      </c>
      <c r="H128">
        <v>496</v>
      </c>
      <c r="I128" s="5">
        <v>270</v>
      </c>
      <c r="J128" s="5">
        <v>226</v>
      </c>
      <c r="K128" s="5">
        <v>60</v>
      </c>
      <c r="L128" s="5">
        <v>46</v>
      </c>
      <c r="M128" t="s">
        <v>20</v>
      </c>
      <c r="N128" t="s">
        <v>421</v>
      </c>
    </row>
    <row r="129" spans="1:14" x14ac:dyDescent="0.3">
      <c r="A129" t="s">
        <v>470</v>
      </c>
      <c r="B129" s="2">
        <v>46232</v>
      </c>
      <c r="C129" s="2">
        <v>46233</v>
      </c>
      <c r="D129" s="1" t="s">
        <v>468</v>
      </c>
      <c r="E129" t="s">
        <v>469</v>
      </c>
      <c r="F129" t="s">
        <v>438</v>
      </c>
      <c r="G129">
        <v>540</v>
      </c>
      <c r="H129">
        <v>513</v>
      </c>
      <c r="I129" s="5">
        <v>450</v>
      </c>
      <c r="J129" s="5">
        <v>63</v>
      </c>
      <c r="K129" s="5">
        <v>95</v>
      </c>
      <c r="L129" s="5">
        <v>12</v>
      </c>
      <c r="M129" t="s">
        <v>20</v>
      </c>
      <c r="N129" t="s">
        <v>421</v>
      </c>
    </row>
    <row r="130" spans="1:14" x14ac:dyDescent="0.3">
      <c r="A130" t="s">
        <v>601</v>
      </c>
      <c r="B130" s="2">
        <v>46232</v>
      </c>
      <c r="C130" s="2">
        <v>46233</v>
      </c>
      <c r="D130" s="1" t="s">
        <v>591</v>
      </c>
      <c r="E130" t="s">
        <v>592</v>
      </c>
      <c r="F130" t="s">
        <v>438</v>
      </c>
      <c r="G130">
        <v>2340</v>
      </c>
      <c r="H130">
        <v>2540</v>
      </c>
      <c r="I130" s="5">
        <v>2280</v>
      </c>
      <c r="J130" s="5">
        <v>260</v>
      </c>
      <c r="K130" s="5">
        <v>109</v>
      </c>
      <c r="L130" s="5">
        <v>10</v>
      </c>
      <c r="M130" t="s">
        <v>20</v>
      </c>
      <c r="N130" t="s">
        <v>421</v>
      </c>
    </row>
    <row r="131" spans="1:14" x14ac:dyDescent="0.3">
      <c r="A131" t="s">
        <v>1319</v>
      </c>
      <c r="B131" s="2">
        <v>46232</v>
      </c>
      <c r="C131" s="2">
        <v>46234</v>
      </c>
      <c r="D131" s="1" t="s">
        <v>423</v>
      </c>
      <c r="E131" t="s">
        <v>424</v>
      </c>
      <c r="F131" t="s">
        <v>425</v>
      </c>
      <c r="G131">
        <v>528</v>
      </c>
      <c r="H131">
        <v>611</v>
      </c>
      <c r="I131" s="5">
        <v>553</v>
      </c>
      <c r="J131" s="5">
        <v>58</v>
      </c>
      <c r="K131" s="5">
        <v>116</v>
      </c>
      <c r="L131" s="5">
        <v>9</v>
      </c>
      <c r="M131" t="s">
        <v>20</v>
      </c>
      <c r="N131" t="s">
        <v>421</v>
      </c>
    </row>
    <row r="132" spans="1:14" x14ac:dyDescent="0.3">
      <c r="A132" t="s">
        <v>529</v>
      </c>
      <c r="B132" s="2">
        <v>46232</v>
      </c>
      <c r="C132" s="2">
        <v>46233</v>
      </c>
      <c r="D132" s="1" t="s">
        <v>530</v>
      </c>
      <c r="E132" t="s">
        <v>531</v>
      </c>
      <c r="F132" t="s">
        <v>532</v>
      </c>
      <c r="G132">
        <v>725</v>
      </c>
      <c r="H132">
        <v>749</v>
      </c>
      <c r="I132" s="5">
        <v>690</v>
      </c>
      <c r="J132" s="5">
        <v>59</v>
      </c>
      <c r="K132" s="5">
        <v>103</v>
      </c>
      <c r="L132" s="5">
        <v>8</v>
      </c>
      <c r="M132" t="s">
        <v>20</v>
      </c>
      <c r="N132" t="s">
        <v>421</v>
      </c>
    </row>
    <row r="133" spans="1:14" x14ac:dyDescent="0.3">
      <c r="A133" t="s">
        <v>1334</v>
      </c>
      <c r="B133" s="2">
        <v>46232</v>
      </c>
      <c r="C133" s="2">
        <v>46234</v>
      </c>
      <c r="D133" s="1" t="s">
        <v>497</v>
      </c>
      <c r="E133" t="s">
        <v>498</v>
      </c>
      <c r="F133" t="s">
        <v>438</v>
      </c>
      <c r="G133">
        <v>1052</v>
      </c>
      <c r="H133">
        <v>1115</v>
      </c>
      <c r="I133" s="5">
        <v>1060</v>
      </c>
      <c r="J133" s="5">
        <v>55</v>
      </c>
      <c r="K133" s="5">
        <v>106</v>
      </c>
      <c r="L133" s="5">
        <v>5</v>
      </c>
      <c r="M133" t="s">
        <v>20</v>
      </c>
      <c r="N133" t="s">
        <v>421</v>
      </c>
    </row>
    <row r="134" spans="1:14" x14ac:dyDescent="0.3">
      <c r="A134" t="s">
        <v>1450</v>
      </c>
      <c r="B134" s="2">
        <v>46232</v>
      </c>
      <c r="C134" s="2">
        <v>46234</v>
      </c>
      <c r="D134" s="1" t="s">
        <v>1059</v>
      </c>
      <c r="E134" t="s">
        <v>1060</v>
      </c>
      <c r="F134" t="s">
        <v>438</v>
      </c>
      <c r="G134">
        <v>137</v>
      </c>
      <c r="H134">
        <v>162</v>
      </c>
      <c r="I134" s="5">
        <v>154</v>
      </c>
      <c r="J134" s="5">
        <v>8</v>
      </c>
      <c r="K134" s="5">
        <v>118</v>
      </c>
      <c r="L134" s="5">
        <v>5</v>
      </c>
      <c r="M134" t="s">
        <v>20</v>
      </c>
      <c r="N134" t="s">
        <v>421</v>
      </c>
    </row>
    <row r="135" spans="1:14" x14ac:dyDescent="0.3">
      <c r="A135" t="s">
        <v>589</v>
      </c>
      <c r="B135" s="2">
        <v>46232</v>
      </c>
      <c r="C135" s="2">
        <v>46233</v>
      </c>
      <c r="D135" s="1" t="s">
        <v>585</v>
      </c>
      <c r="E135" t="s">
        <v>586</v>
      </c>
      <c r="F135" t="s">
        <v>495</v>
      </c>
      <c r="G135">
        <v>684</v>
      </c>
      <c r="H135">
        <v>597</v>
      </c>
      <c r="I135" s="5">
        <v>574</v>
      </c>
      <c r="J135" s="5">
        <v>23</v>
      </c>
      <c r="K135" s="5">
        <v>87</v>
      </c>
      <c r="L135" s="5">
        <v>4</v>
      </c>
      <c r="M135" t="s">
        <v>20</v>
      </c>
      <c r="N135" t="s">
        <v>421</v>
      </c>
    </row>
    <row r="136" spans="1:14" x14ac:dyDescent="0.3">
      <c r="A136" t="s">
        <v>752</v>
      </c>
      <c r="B136" s="2">
        <v>46232</v>
      </c>
      <c r="C136" s="2">
        <v>46233</v>
      </c>
      <c r="D136" s="1" t="s">
        <v>747</v>
      </c>
      <c r="E136" t="s">
        <v>748</v>
      </c>
      <c r="F136" t="s">
        <v>438</v>
      </c>
      <c r="G136">
        <v>70</v>
      </c>
      <c r="H136">
        <v>70</v>
      </c>
      <c r="I136" s="5">
        <v>67</v>
      </c>
      <c r="J136" s="5">
        <v>3</v>
      </c>
      <c r="K136" s="5">
        <v>100</v>
      </c>
      <c r="L136" s="5">
        <v>4</v>
      </c>
      <c r="M136" t="s">
        <v>20</v>
      </c>
      <c r="N136" t="s">
        <v>421</v>
      </c>
    </row>
    <row r="137" spans="1:14" x14ac:dyDescent="0.3">
      <c r="A137" t="s">
        <v>771</v>
      </c>
      <c r="B137" s="2">
        <v>46232</v>
      </c>
      <c r="C137" s="2">
        <v>46233</v>
      </c>
      <c r="D137" s="1" t="s">
        <v>754</v>
      </c>
      <c r="E137" t="s">
        <v>755</v>
      </c>
      <c r="F137" t="s">
        <v>438</v>
      </c>
      <c r="G137">
        <v>429</v>
      </c>
      <c r="H137">
        <v>429</v>
      </c>
      <c r="I137" s="5">
        <v>413</v>
      </c>
      <c r="J137" s="5">
        <v>16</v>
      </c>
      <c r="K137" s="5">
        <v>100</v>
      </c>
      <c r="L137" s="5">
        <v>4</v>
      </c>
      <c r="M137" t="s">
        <v>20</v>
      </c>
      <c r="N137" t="s">
        <v>421</v>
      </c>
    </row>
    <row r="138" spans="1:14" x14ac:dyDescent="0.3">
      <c r="A138" t="s">
        <v>1449</v>
      </c>
      <c r="B138" s="2">
        <v>46232</v>
      </c>
      <c r="C138" s="2">
        <v>46234</v>
      </c>
      <c r="D138" s="1" t="s">
        <v>1050</v>
      </c>
      <c r="E138" t="s">
        <v>1051</v>
      </c>
      <c r="F138" t="s">
        <v>438</v>
      </c>
      <c r="G138">
        <v>170</v>
      </c>
      <c r="H138">
        <v>161</v>
      </c>
      <c r="I138" s="5">
        <v>156</v>
      </c>
      <c r="J138" s="5">
        <v>5</v>
      </c>
      <c r="K138" s="5">
        <v>95</v>
      </c>
      <c r="L138" s="5">
        <v>3</v>
      </c>
      <c r="M138" t="s">
        <v>20</v>
      </c>
      <c r="N138" t="s">
        <v>421</v>
      </c>
    </row>
    <row r="139" spans="1:14" x14ac:dyDescent="0.3">
      <c r="A139" t="s">
        <v>449</v>
      </c>
      <c r="B139" s="2">
        <v>46232</v>
      </c>
      <c r="C139" s="2">
        <v>46233</v>
      </c>
      <c r="D139" s="1" t="s">
        <v>436</v>
      </c>
      <c r="E139" t="s">
        <v>437</v>
      </c>
      <c r="F139" t="s">
        <v>438</v>
      </c>
      <c r="G139">
        <v>334</v>
      </c>
      <c r="H139">
        <v>338</v>
      </c>
      <c r="I139" s="5">
        <v>330</v>
      </c>
      <c r="J139" s="5">
        <v>8</v>
      </c>
      <c r="K139" s="5">
        <v>101</v>
      </c>
      <c r="L139" s="5">
        <v>2</v>
      </c>
      <c r="M139" t="s">
        <v>20</v>
      </c>
      <c r="N139" t="s">
        <v>421</v>
      </c>
    </row>
    <row r="140" spans="1:14" x14ac:dyDescent="0.3">
      <c r="A140" t="s">
        <v>838</v>
      </c>
      <c r="B140" s="2">
        <v>46232</v>
      </c>
      <c r="C140" s="2">
        <v>46233</v>
      </c>
      <c r="D140" s="1" t="s">
        <v>833</v>
      </c>
      <c r="E140" t="s">
        <v>834</v>
      </c>
      <c r="F140" t="s">
        <v>425</v>
      </c>
      <c r="G140">
        <v>2160</v>
      </c>
      <c r="H140">
        <v>3978</v>
      </c>
      <c r="I140" s="5">
        <v>3880</v>
      </c>
      <c r="J140" s="5">
        <v>98</v>
      </c>
      <c r="K140" s="5">
        <v>184</v>
      </c>
      <c r="L140" s="5">
        <v>2</v>
      </c>
      <c r="M140" t="s">
        <v>20</v>
      </c>
      <c r="N140" t="s">
        <v>421</v>
      </c>
    </row>
    <row r="141" spans="1:14" x14ac:dyDescent="0.3">
      <c r="A141" t="s">
        <v>1009</v>
      </c>
      <c r="B141" s="2">
        <v>46232</v>
      </c>
      <c r="C141" s="2">
        <v>46233</v>
      </c>
      <c r="D141" s="1" t="s">
        <v>1000</v>
      </c>
      <c r="E141" t="s">
        <v>1001</v>
      </c>
      <c r="F141" t="s">
        <v>425</v>
      </c>
      <c r="G141">
        <v>3260</v>
      </c>
      <c r="H141">
        <v>2939</v>
      </c>
      <c r="I141" s="5">
        <v>2868</v>
      </c>
      <c r="J141" s="5">
        <v>71</v>
      </c>
      <c r="K141" s="5">
        <v>90</v>
      </c>
      <c r="L141" s="5">
        <v>2</v>
      </c>
      <c r="M141" t="s">
        <v>20</v>
      </c>
      <c r="N141" t="s">
        <v>421</v>
      </c>
    </row>
    <row r="142" spans="1:14" x14ac:dyDescent="0.3">
      <c r="A142" t="s">
        <v>1351</v>
      </c>
      <c r="B142" s="2">
        <v>46232</v>
      </c>
      <c r="C142" s="2">
        <v>46234</v>
      </c>
      <c r="D142" s="1" t="s">
        <v>638</v>
      </c>
      <c r="E142" t="s">
        <v>639</v>
      </c>
      <c r="F142" t="s">
        <v>532</v>
      </c>
      <c r="G142">
        <v>3882</v>
      </c>
      <c r="H142">
        <v>3880</v>
      </c>
      <c r="I142" s="5">
        <v>3810</v>
      </c>
      <c r="J142" s="5">
        <v>70</v>
      </c>
      <c r="K142" s="5">
        <v>100</v>
      </c>
      <c r="L142" s="5">
        <v>2</v>
      </c>
      <c r="M142" t="s">
        <v>20</v>
      </c>
      <c r="N142" t="s">
        <v>421</v>
      </c>
    </row>
    <row r="143" spans="1:14" x14ac:dyDescent="0.3">
      <c r="A143" t="s">
        <v>481</v>
      </c>
      <c r="B143" s="2">
        <v>46232</v>
      </c>
      <c r="C143" s="2">
        <v>46233</v>
      </c>
      <c r="D143" s="1" t="s">
        <v>472</v>
      </c>
      <c r="E143" t="s">
        <v>473</v>
      </c>
      <c r="F143" t="s">
        <v>438</v>
      </c>
      <c r="G143">
        <v>234</v>
      </c>
      <c r="H143">
        <v>263</v>
      </c>
      <c r="I143" s="5">
        <v>260</v>
      </c>
      <c r="J143" s="5">
        <v>3</v>
      </c>
      <c r="K143" s="5">
        <v>112</v>
      </c>
      <c r="L143" s="5">
        <v>1</v>
      </c>
      <c r="M143" t="s">
        <v>20</v>
      </c>
      <c r="N143" t="s">
        <v>421</v>
      </c>
    </row>
    <row r="144" spans="1:14" x14ac:dyDescent="0.3">
      <c r="A144" t="s">
        <v>528</v>
      </c>
      <c r="B144" s="2">
        <v>46232</v>
      </c>
      <c r="C144" s="2">
        <v>46233</v>
      </c>
      <c r="D144" s="1" t="s">
        <v>524</v>
      </c>
      <c r="E144" t="s">
        <v>525</v>
      </c>
      <c r="F144" t="s">
        <v>438</v>
      </c>
      <c r="G144">
        <v>112</v>
      </c>
      <c r="H144">
        <v>101</v>
      </c>
      <c r="I144" s="5">
        <v>100</v>
      </c>
      <c r="J144" s="5">
        <v>1</v>
      </c>
      <c r="K144" s="5">
        <v>90</v>
      </c>
      <c r="L144" s="5">
        <v>1</v>
      </c>
      <c r="M144" t="s">
        <v>20</v>
      </c>
      <c r="N144" t="s">
        <v>421</v>
      </c>
    </row>
    <row r="145" spans="1:14" x14ac:dyDescent="0.3">
      <c r="A145" t="s">
        <v>669</v>
      </c>
      <c r="B145" s="2">
        <v>46232</v>
      </c>
      <c r="C145" s="2">
        <v>46233</v>
      </c>
      <c r="D145" s="1" t="s">
        <v>661</v>
      </c>
      <c r="E145" t="s">
        <v>662</v>
      </c>
      <c r="F145" t="s">
        <v>532</v>
      </c>
      <c r="G145">
        <v>525</v>
      </c>
      <c r="H145">
        <v>598</v>
      </c>
      <c r="I145" s="5">
        <v>590</v>
      </c>
      <c r="J145" s="5">
        <v>8</v>
      </c>
      <c r="K145" s="5">
        <v>114</v>
      </c>
      <c r="L145" s="5">
        <v>1</v>
      </c>
      <c r="M145" t="s">
        <v>20</v>
      </c>
      <c r="N145" t="s">
        <v>421</v>
      </c>
    </row>
    <row r="146" spans="1:14" x14ac:dyDescent="0.3">
      <c r="A146" t="s">
        <v>673</v>
      </c>
      <c r="B146" s="2">
        <v>46232</v>
      </c>
      <c r="C146" s="2">
        <v>46233</v>
      </c>
      <c r="D146" s="1" t="s">
        <v>671</v>
      </c>
      <c r="E146" t="s">
        <v>672</v>
      </c>
      <c r="F146" t="s">
        <v>532</v>
      </c>
      <c r="G146">
        <v>750</v>
      </c>
      <c r="H146">
        <v>774</v>
      </c>
      <c r="I146" s="5">
        <v>770</v>
      </c>
      <c r="J146" s="5">
        <v>4</v>
      </c>
      <c r="K146" s="5">
        <v>103</v>
      </c>
      <c r="L146" s="5">
        <v>1</v>
      </c>
      <c r="M146" t="s">
        <v>20</v>
      </c>
      <c r="N146" t="s">
        <v>421</v>
      </c>
    </row>
    <row r="147" spans="1:14" x14ac:dyDescent="0.3">
      <c r="A147" t="s">
        <v>733</v>
      </c>
      <c r="B147" s="2">
        <v>46232</v>
      </c>
      <c r="C147" s="2">
        <v>46233</v>
      </c>
      <c r="D147" s="1" t="s">
        <v>722</v>
      </c>
      <c r="E147" t="s">
        <v>723</v>
      </c>
      <c r="F147" t="s">
        <v>438</v>
      </c>
      <c r="G147">
        <v>13056</v>
      </c>
      <c r="H147">
        <v>12762</v>
      </c>
      <c r="I147" s="5">
        <v>12600</v>
      </c>
      <c r="J147" s="5">
        <v>162</v>
      </c>
      <c r="K147" s="5">
        <v>98</v>
      </c>
      <c r="L147" s="5">
        <v>1</v>
      </c>
      <c r="M147" t="s">
        <v>20</v>
      </c>
      <c r="N147" t="s">
        <v>421</v>
      </c>
    </row>
    <row r="148" spans="1:14" x14ac:dyDescent="0.3">
      <c r="A148" t="s">
        <v>1020</v>
      </c>
      <c r="B148" s="2">
        <v>46232</v>
      </c>
      <c r="C148" s="2">
        <v>46233</v>
      </c>
      <c r="D148" s="1" t="s">
        <v>1016</v>
      </c>
      <c r="E148" t="s">
        <v>1017</v>
      </c>
      <c r="F148" t="s">
        <v>425</v>
      </c>
      <c r="G148">
        <v>815</v>
      </c>
      <c r="H148">
        <v>845</v>
      </c>
      <c r="I148" s="5">
        <v>840</v>
      </c>
      <c r="J148" s="5">
        <v>5</v>
      </c>
      <c r="K148" s="5">
        <v>104</v>
      </c>
      <c r="L148" s="5">
        <v>1</v>
      </c>
      <c r="M148" t="s">
        <v>20</v>
      </c>
      <c r="N148" t="s">
        <v>421</v>
      </c>
    </row>
    <row r="149" spans="1:14" x14ac:dyDescent="0.3">
      <c r="A149" t="s">
        <v>1369</v>
      </c>
      <c r="B149" s="2">
        <v>46232</v>
      </c>
      <c r="C149" s="2">
        <v>46234</v>
      </c>
      <c r="D149" s="1" t="s">
        <v>710</v>
      </c>
      <c r="E149" t="s">
        <v>711</v>
      </c>
      <c r="F149" t="s">
        <v>438</v>
      </c>
      <c r="G149">
        <v>6560</v>
      </c>
      <c r="H149">
        <v>6748</v>
      </c>
      <c r="I149" s="5">
        <v>6688</v>
      </c>
      <c r="J149" s="5">
        <v>60</v>
      </c>
      <c r="K149" s="5">
        <v>103</v>
      </c>
      <c r="L149" s="5">
        <v>1</v>
      </c>
      <c r="M149" t="s">
        <v>20</v>
      </c>
      <c r="N149" t="s">
        <v>421</v>
      </c>
    </row>
    <row r="150" spans="1:14" x14ac:dyDescent="0.3">
      <c r="A150" t="s">
        <v>522</v>
      </c>
      <c r="B150" s="2">
        <v>46232</v>
      </c>
      <c r="C150" s="2">
        <v>46233</v>
      </c>
      <c r="D150" s="1" t="s">
        <v>518</v>
      </c>
      <c r="E150" t="s">
        <v>519</v>
      </c>
      <c r="F150" t="s">
        <v>438</v>
      </c>
      <c r="G150">
        <v>194</v>
      </c>
      <c r="H150">
        <v>195</v>
      </c>
      <c r="I150" s="5">
        <v>195</v>
      </c>
      <c r="J150" s="5">
        <v>0</v>
      </c>
      <c r="K150" s="5">
        <v>101</v>
      </c>
      <c r="L150" s="5">
        <v>0</v>
      </c>
      <c r="M150" t="s">
        <v>20</v>
      </c>
      <c r="N150" t="s">
        <v>421</v>
      </c>
    </row>
    <row r="151" spans="1:14" x14ac:dyDescent="0.3">
      <c r="A151" t="s">
        <v>540</v>
      </c>
      <c r="B151" s="2">
        <v>46232</v>
      </c>
      <c r="C151" s="2">
        <v>46233</v>
      </c>
      <c r="D151" s="1" t="s">
        <v>534</v>
      </c>
      <c r="E151" t="s">
        <v>535</v>
      </c>
      <c r="F151" t="s">
        <v>438</v>
      </c>
      <c r="G151">
        <v>194</v>
      </c>
      <c r="H151">
        <v>198</v>
      </c>
      <c r="I151" s="5">
        <v>198</v>
      </c>
      <c r="J151" s="5">
        <v>0</v>
      </c>
      <c r="K151" s="5">
        <v>102</v>
      </c>
      <c r="L151" s="5">
        <v>0</v>
      </c>
      <c r="M151" t="s">
        <v>20</v>
      </c>
      <c r="N151" t="s">
        <v>421</v>
      </c>
    </row>
    <row r="152" spans="1:14" x14ac:dyDescent="0.3">
      <c r="A152" t="s">
        <v>632</v>
      </c>
      <c r="B152" s="2">
        <v>46232</v>
      </c>
      <c r="C152" s="2">
        <v>46233</v>
      </c>
      <c r="D152" s="1" t="s">
        <v>619</v>
      </c>
      <c r="E152" t="s">
        <v>620</v>
      </c>
      <c r="F152" t="s">
        <v>420</v>
      </c>
      <c r="G152">
        <v>48</v>
      </c>
      <c r="H152">
        <v>48</v>
      </c>
      <c r="I152" s="5">
        <v>48</v>
      </c>
      <c r="J152" s="5">
        <v>0</v>
      </c>
      <c r="K152" s="5">
        <v>100</v>
      </c>
      <c r="L152" s="5">
        <v>0</v>
      </c>
      <c r="M152" t="s">
        <v>20</v>
      </c>
      <c r="N152" t="s">
        <v>421</v>
      </c>
    </row>
    <row r="153" spans="1:14" x14ac:dyDescent="0.3">
      <c r="A153" t="s">
        <v>678</v>
      </c>
      <c r="B153" s="2">
        <v>46232</v>
      </c>
      <c r="C153" s="2">
        <v>46233</v>
      </c>
      <c r="D153" s="1" t="s">
        <v>675</v>
      </c>
      <c r="E153" t="s">
        <v>676</v>
      </c>
      <c r="F153" t="s">
        <v>677</v>
      </c>
      <c r="G153">
        <v>500</v>
      </c>
      <c r="H153">
        <v>500</v>
      </c>
      <c r="I153" s="5">
        <v>500</v>
      </c>
      <c r="J153" s="5">
        <v>0</v>
      </c>
      <c r="K153" s="5">
        <v>100</v>
      </c>
      <c r="L153" s="5">
        <v>0</v>
      </c>
      <c r="M153" t="s">
        <v>20</v>
      </c>
      <c r="N153" t="s">
        <v>421</v>
      </c>
    </row>
    <row r="154" spans="1:14" x14ac:dyDescent="0.3">
      <c r="A154" t="s">
        <v>700</v>
      </c>
      <c r="B154" s="2">
        <v>46232</v>
      </c>
      <c r="C154" s="2">
        <v>46233</v>
      </c>
      <c r="D154" s="1" t="s">
        <v>696</v>
      </c>
      <c r="E154" t="s">
        <v>697</v>
      </c>
      <c r="F154" t="s">
        <v>677</v>
      </c>
      <c r="G154">
        <v>750</v>
      </c>
      <c r="H154">
        <v>781</v>
      </c>
      <c r="I154" s="5">
        <v>780</v>
      </c>
      <c r="J154" s="5">
        <v>1</v>
      </c>
      <c r="K154" s="5">
        <v>104</v>
      </c>
      <c r="L154" s="5">
        <v>0</v>
      </c>
      <c r="M154" t="s">
        <v>20</v>
      </c>
      <c r="N154" t="s">
        <v>421</v>
      </c>
    </row>
    <row r="155" spans="1:14" x14ac:dyDescent="0.3">
      <c r="A155" t="s">
        <v>708</v>
      </c>
      <c r="B155" s="2">
        <v>46232</v>
      </c>
      <c r="C155" s="2">
        <v>46233</v>
      </c>
      <c r="D155" s="1" t="s">
        <v>702</v>
      </c>
      <c r="E155" t="s">
        <v>703</v>
      </c>
      <c r="F155" t="s">
        <v>438</v>
      </c>
      <c r="G155">
        <v>157</v>
      </c>
      <c r="H155">
        <v>150</v>
      </c>
      <c r="I155" s="5">
        <v>150</v>
      </c>
      <c r="J155" s="5">
        <v>0</v>
      </c>
      <c r="K155" s="5">
        <v>96</v>
      </c>
      <c r="L155" s="5">
        <v>0</v>
      </c>
      <c r="M155" t="s">
        <v>20</v>
      </c>
      <c r="N155" t="s">
        <v>421</v>
      </c>
    </row>
    <row r="156" spans="1:14" x14ac:dyDescent="0.3">
      <c r="A156" t="s">
        <v>786</v>
      </c>
      <c r="B156" s="2">
        <v>46232</v>
      </c>
      <c r="C156" s="2">
        <v>46233</v>
      </c>
      <c r="D156" s="1" t="s">
        <v>773</v>
      </c>
      <c r="E156" t="s">
        <v>774</v>
      </c>
      <c r="F156" t="s">
        <v>420</v>
      </c>
      <c r="G156">
        <v>890</v>
      </c>
      <c r="H156">
        <v>890</v>
      </c>
      <c r="I156" s="5">
        <v>890</v>
      </c>
      <c r="J156" s="5">
        <v>0</v>
      </c>
      <c r="K156" s="5">
        <v>100</v>
      </c>
      <c r="L156" s="5">
        <v>0</v>
      </c>
      <c r="M156" t="s">
        <v>20</v>
      </c>
      <c r="N156" t="s">
        <v>421</v>
      </c>
    </row>
    <row r="157" spans="1:14" x14ac:dyDescent="0.3">
      <c r="A157" t="s">
        <v>800</v>
      </c>
      <c r="B157" s="2">
        <v>46232</v>
      </c>
      <c r="C157" s="2">
        <v>46233</v>
      </c>
      <c r="D157" s="1" t="s">
        <v>788</v>
      </c>
      <c r="E157" t="s">
        <v>789</v>
      </c>
      <c r="F157" t="s">
        <v>420</v>
      </c>
      <c r="G157">
        <v>400</v>
      </c>
      <c r="H157">
        <v>400</v>
      </c>
      <c r="I157" s="5">
        <v>400</v>
      </c>
      <c r="J157" s="5">
        <v>0</v>
      </c>
      <c r="K157" s="5">
        <v>100</v>
      </c>
      <c r="L157" s="5">
        <v>0</v>
      </c>
      <c r="M157" t="s">
        <v>20</v>
      </c>
      <c r="N157" t="s">
        <v>421</v>
      </c>
    </row>
    <row r="158" spans="1:14" x14ac:dyDescent="0.3">
      <c r="A158" t="s">
        <v>937</v>
      </c>
      <c r="B158" s="2">
        <v>46232</v>
      </c>
      <c r="C158" s="2">
        <v>46233</v>
      </c>
      <c r="D158" s="1" t="s">
        <v>933</v>
      </c>
      <c r="E158" t="s">
        <v>934</v>
      </c>
      <c r="F158" t="s">
        <v>420</v>
      </c>
      <c r="G158">
        <v>80</v>
      </c>
      <c r="H158">
        <v>77</v>
      </c>
      <c r="I158" s="5">
        <v>77</v>
      </c>
      <c r="J158" s="5">
        <v>0</v>
      </c>
      <c r="K158" s="5">
        <v>96</v>
      </c>
      <c r="L158" s="5">
        <v>0</v>
      </c>
      <c r="M158" t="s">
        <v>20</v>
      </c>
      <c r="N158" t="s">
        <v>421</v>
      </c>
    </row>
    <row r="159" spans="1:14" x14ac:dyDescent="0.3">
      <c r="A159" t="s">
        <v>948</v>
      </c>
      <c r="B159" s="2">
        <v>46232</v>
      </c>
      <c r="C159" s="2">
        <v>46233</v>
      </c>
      <c r="D159" s="1" t="s">
        <v>942</v>
      </c>
      <c r="E159" t="s">
        <v>943</v>
      </c>
      <c r="F159" t="s">
        <v>420</v>
      </c>
      <c r="G159">
        <v>76</v>
      </c>
      <c r="H159">
        <v>78</v>
      </c>
      <c r="I159" s="5">
        <v>78</v>
      </c>
      <c r="J159" s="5">
        <v>0</v>
      </c>
      <c r="K159" s="5">
        <v>103</v>
      </c>
      <c r="L159" s="5">
        <v>0</v>
      </c>
      <c r="M159" t="s">
        <v>20</v>
      </c>
      <c r="N159" t="s">
        <v>421</v>
      </c>
    </row>
    <row r="160" spans="1:14" x14ac:dyDescent="0.3">
      <c r="A160" t="s">
        <v>981</v>
      </c>
      <c r="B160" s="2">
        <v>46232</v>
      </c>
      <c r="C160" s="2">
        <v>46233</v>
      </c>
      <c r="D160" s="1" t="s">
        <v>974</v>
      </c>
      <c r="E160" t="s">
        <v>975</v>
      </c>
      <c r="F160" t="s">
        <v>420</v>
      </c>
      <c r="G160">
        <v>65</v>
      </c>
      <c r="H160">
        <v>66</v>
      </c>
      <c r="I160" s="5">
        <v>66</v>
      </c>
      <c r="J160" s="5">
        <v>0</v>
      </c>
      <c r="K160" s="5">
        <v>101</v>
      </c>
      <c r="L160" s="5">
        <v>0</v>
      </c>
      <c r="M160" t="s">
        <v>20</v>
      </c>
      <c r="N160" t="s">
        <v>421</v>
      </c>
    </row>
    <row r="161" spans="1:14" x14ac:dyDescent="0.3">
      <c r="A161" t="s">
        <v>994</v>
      </c>
      <c r="B161" s="2">
        <v>46232</v>
      </c>
      <c r="C161" s="2">
        <v>46233</v>
      </c>
      <c r="D161" s="1" t="s">
        <v>987</v>
      </c>
      <c r="E161" t="s">
        <v>988</v>
      </c>
      <c r="F161" t="s">
        <v>420</v>
      </c>
      <c r="G161">
        <v>252</v>
      </c>
      <c r="H161">
        <v>250</v>
      </c>
      <c r="I161" s="5">
        <v>250</v>
      </c>
      <c r="J161" s="5">
        <v>0</v>
      </c>
      <c r="K161" s="5">
        <v>99</v>
      </c>
      <c r="L161" s="5">
        <v>0</v>
      </c>
      <c r="M161" t="s">
        <v>20</v>
      </c>
      <c r="N161" t="s">
        <v>421</v>
      </c>
    </row>
    <row r="162" spans="1:14" x14ac:dyDescent="0.3">
      <c r="A162" t="s">
        <v>1071</v>
      </c>
      <c r="B162" s="2">
        <v>46232</v>
      </c>
      <c r="C162" s="2">
        <v>46233</v>
      </c>
      <c r="D162" s="1" t="s">
        <v>1069</v>
      </c>
      <c r="E162" t="s">
        <v>1070</v>
      </c>
      <c r="F162" t="s">
        <v>491</v>
      </c>
      <c r="G162">
        <v>181</v>
      </c>
      <c r="H162">
        <v>181</v>
      </c>
      <c r="I162" s="5">
        <v>181</v>
      </c>
      <c r="J162" s="5">
        <v>0</v>
      </c>
      <c r="K162" s="5">
        <v>100</v>
      </c>
      <c r="L162" s="5">
        <v>0</v>
      </c>
      <c r="M162" t="s">
        <v>20</v>
      </c>
      <c r="N162" t="s">
        <v>421</v>
      </c>
    </row>
    <row r="163" spans="1:14" x14ac:dyDescent="0.3">
      <c r="A163" t="s">
        <v>1079</v>
      </c>
      <c r="B163" s="2">
        <v>46232</v>
      </c>
      <c r="C163" s="2">
        <v>46233</v>
      </c>
      <c r="D163" s="1" t="s">
        <v>1073</v>
      </c>
      <c r="E163" t="s">
        <v>1074</v>
      </c>
      <c r="F163" t="s">
        <v>677</v>
      </c>
      <c r="G163">
        <v>600</v>
      </c>
      <c r="H163">
        <v>570</v>
      </c>
      <c r="I163" s="5">
        <v>570</v>
      </c>
      <c r="J163" s="5">
        <v>0</v>
      </c>
      <c r="K163" s="5">
        <v>95</v>
      </c>
      <c r="L163" s="5">
        <v>0</v>
      </c>
      <c r="M163" t="s">
        <v>20</v>
      </c>
      <c r="N163" t="s">
        <v>421</v>
      </c>
    </row>
    <row r="164" spans="1:14" x14ac:dyDescent="0.3">
      <c r="A164" t="s">
        <v>1090</v>
      </c>
      <c r="B164" s="2">
        <v>46232</v>
      </c>
      <c r="C164" s="2">
        <v>46233</v>
      </c>
      <c r="D164" s="1" t="s">
        <v>1085</v>
      </c>
      <c r="E164" t="s">
        <v>1086</v>
      </c>
      <c r="F164" t="s">
        <v>438</v>
      </c>
      <c r="G164">
        <v>600</v>
      </c>
      <c r="H164">
        <v>600</v>
      </c>
      <c r="I164" s="5">
        <v>600</v>
      </c>
      <c r="J164" s="5">
        <v>0</v>
      </c>
      <c r="K164" s="5">
        <v>100</v>
      </c>
      <c r="L164" s="5">
        <v>0</v>
      </c>
      <c r="M164" t="s">
        <v>20</v>
      </c>
      <c r="N164" t="s">
        <v>421</v>
      </c>
    </row>
    <row r="165" spans="1:14" x14ac:dyDescent="0.3">
      <c r="A165" t="s">
        <v>1113</v>
      </c>
      <c r="B165" s="2">
        <v>46232</v>
      </c>
      <c r="C165" s="2">
        <v>46233</v>
      </c>
      <c r="D165" s="1" t="s">
        <v>1110</v>
      </c>
      <c r="E165" t="s">
        <v>1111</v>
      </c>
      <c r="F165" t="s">
        <v>677</v>
      </c>
      <c r="G165">
        <v>4000</v>
      </c>
      <c r="H165">
        <v>3991</v>
      </c>
      <c r="I165" s="5">
        <v>3990</v>
      </c>
      <c r="J165" s="5">
        <v>1</v>
      </c>
      <c r="K165" s="5">
        <v>100</v>
      </c>
      <c r="L165" s="5">
        <v>0</v>
      </c>
      <c r="M165" t="s">
        <v>20</v>
      </c>
      <c r="N165" t="s">
        <v>421</v>
      </c>
    </row>
    <row r="166" spans="1:14" x14ac:dyDescent="0.3">
      <c r="A166" t="s">
        <v>1394</v>
      </c>
      <c r="B166" s="2">
        <v>46232</v>
      </c>
      <c r="C166" s="2">
        <v>46234</v>
      </c>
      <c r="D166" s="1" t="s">
        <v>805</v>
      </c>
      <c r="E166" t="s">
        <v>806</v>
      </c>
      <c r="F166" t="s">
        <v>420</v>
      </c>
      <c r="G166">
        <v>1054</v>
      </c>
      <c r="H166">
        <v>1054</v>
      </c>
      <c r="I166" s="5">
        <v>1054</v>
      </c>
      <c r="J166" s="5">
        <v>0</v>
      </c>
      <c r="K166" s="5">
        <v>100</v>
      </c>
      <c r="L166" s="5">
        <v>0</v>
      </c>
      <c r="M166" t="s">
        <v>20</v>
      </c>
      <c r="N166" t="s">
        <v>421</v>
      </c>
    </row>
    <row r="167" spans="1:14" x14ac:dyDescent="0.3">
      <c r="A167" t="s">
        <v>1400</v>
      </c>
      <c r="B167" s="2">
        <v>46232</v>
      </c>
      <c r="C167" s="2">
        <v>46234</v>
      </c>
      <c r="D167" s="1" t="s">
        <v>1401</v>
      </c>
      <c r="E167" t="s">
        <v>1402</v>
      </c>
      <c r="F167" t="s">
        <v>438</v>
      </c>
      <c r="G167">
        <v>1300</v>
      </c>
      <c r="H167">
        <v>1536</v>
      </c>
      <c r="I167" s="5">
        <v>1536</v>
      </c>
      <c r="J167" s="5">
        <v>0</v>
      </c>
      <c r="K167" s="5">
        <v>118</v>
      </c>
      <c r="L167" s="5">
        <v>0</v>
      </c>
      <c r="M167" t="s">
        <v>20</v>
      </c>
      <c r="N167" t="s">
        <v>421</v>
      </c>
    </row>
    <row r="168" spans="1:14" x14ac:dyDescent="0.3">
      <c r="A168" t="s">
        <v>1417</v>
      </c>
      <c r="B168" s="2">
        <v>46232</v>
      </c>
      <c r="C168" s="2">
        <v>46234</v>
      </c>
      <c r="D168" s="1" t="s">
        <v>870</v>
      </c>
      <c r="E168" t="s">
        <v>871</v>
      </c>
      <c r="F168" t="s">
        <v>495</v>
      </c>
      <c r="G168">
        <v>3096</v>
      </c>
      <c r="H168">
        <v>3090</v>
      </c>
      <c r="I168" s="5">
        <v>3090</v>
      </c>
      <c r="J168" s="5">
        <v>0</v>
      </c>
      <c r="K168" s="5">
        <v>100</v>
      </c>
      <c r="L168" s="5">
        <v>0</v>
      </c>
      <c r="M168" t="s">
        <v>20</v>
      </c>
      <c r="N168" t="s">
        <v>421</v>
      </c>
    </row>
    <row r="169" spans="1:14" x14ac:dyDescent="0.3">
      <c r="A169" t="s">
        <v>1460</v>
      </c>
      <c r="B169" s="2">
        <v>46233</v>
      </c>
      <c r="C169" s="2">
        <v>46234</v>
      </c>
      <c r="D169" s="1" t="s">
        <v>1106</v>
      </c>
      <c r="E169" t="s">
        <v>1107</v>
      </c>
      <c r="F169" t="s">
        <v>425</v>
      </c>
      <c r="G169">
        <v>1605</v>
      </c>
      <c r="H169">
        <v>1365</v>
      </c>
      <c r="I169" s="5">
        <v>1245</v>
      </c>
      <c r="J169" s="5">
        <v>120</v>
      </c>
      <c r="K169" s="5">
        <v>85</v>
      </c>
      <c r="L169" s="5">
        <v>9</v>
      </c>
      <c r="M169" t="s">
        <v>20</v>
      </c>
      <c r="N169" t="s">
        <v>421</v>
      </c>
    </row>
    <row r="170" spans="1:14" x14ac:dyDescent="0.3">
      <c r="A170" t="s">
        <v>1344</v>
      </c>
      <c r="B170" s="2">
        <v>46233</v>
      </c>
      <c r="C170" s="2">
        <v>46234</v>
      </c>
      <c r="D170" s="1" t="s">
        <v>591</v>
      </c>
      <c r="E170" t="s">
        <v>592</v>
      </c>
      <c r="F170" t="s">
        <v>438</v>
      </c>
      <c r="G170">
        <v>1560</v>
      </c>
      <c r="H170">
        <v>1428</v>
      </c>
      <c r="I170" s="5">
        <v>1384</v>
      </c>
      <c r="J170" s="5">
        <v>44</v>
      </c>
      <c r="K170" s="5">
        <v>92</v>
      </c>
      <c r="L170" s="5">
        <v>3</v>
      </c>
      <c r="M170" t="s">
        <v>20</v>
      </c>
      <c r="N170" t="s">
        <v>421</v>
      </c>
    </row>
    <row r="171" spans="1:14" x14ac:dyDescent="0.3">
      <c r="A171" t="s">
        <v>1380</v>
      </c>
      <c r="B171" s="2">
        <v>46233</v>
      </c>
      <c r="C171" s="2">
        <v>46234</v>
      </c>
      <c r="D171" s="1" t="s">
        <v>754</v>
      </c>
      <c r="E171" t="s">
        <v>755</v>
      </c>
      <c r="F171" t="s">
        <v>438</v>
      </c>
      <c r="G171">
        <v>429</v>
      </c>
      <c r="H171">
        <v>428</v>
      </c>
      <c r="I171" s="5">
        <v>415</v>
      </c>
      <c r="J171" s="5">
        <v>13</v>
      </c>
      <c r="K171" s="5">
        <v>100</v>
      </c>
      <c r="L171" s="5">
        <v>3</v>
      </c>
      <c r="M171" t="s">
        <v>20</v>
      </c>
      <c r="N171" t="s">
        <v>421</v>
      </c>
    </row>
    <row r="172" spans="1:14" x14ac:dyDescent="0.3">
      <c r="A172" t="s">
        <v>1399</v>
      </c>
      <c r="B172" s="2">
        <v>46233</v>
      </c>
      <c r="C172" s="2">
        <v>46234</v>
      </c>
      <c r="D172" s="1" t="s">
        <v>822</v>
      </c>
      <c r="E172" t="s">
        <v>823</v>
      </c>
      <c r="F172" t="s">
        <v>532</v>
      </c>
      <c r="G172">
        <v>2900</v>
      </c>
      <c r="H172">
        <v>2800</v>
      </c>
      <c r="I172" s="5">
        <v>2710</v>
      </c>
      <c r="J172" s="5">
        <v>90</v>
      </c>
      <c r="K172" s="5">
        <v>97</v>
      </c>
      <c r="L172" s="5">
        <v>3</v>
      </c>
      <c r="M172" t="s">
        <v>20</v>
      </c>
      <c r="N172" t="s">
        <v>421</v>
      </c>
    </row>
    <row r="173" spans="1:14" x14ac:dyDescent="0.3">
      <c r="A173" t="s">
        <v>1342</v>
      </c>
      <c r="B173" s="2">
        <v>46233</v>
      </c>
      <c r="C173" s="2">
        <v>46234</v>
      </c>
      <c r="D173" s="1" t="s">
        <v>566</v>
      </c>
      <c r="E173" t="s">
        <v>567</v>
      </c>
      <c r="F173" t="s">
        <v>438</v>
      </c>
      <c r="G173">
        <v>1660</v>
      </c>
      <c r="H173">
        <v>1749</v>
      </c>
      <c r="I173" s="5">
        <v>1710</v>
      </c>
      <c r="J173" s="5">
        <v>39</v>
      </c>
      <c r="K173" s="5">
        <v>105</v>
      </c>
      <c r="L173" s="5">
        <v>2</v>
      </c>
      <c r="M173" t="s">
        <v>20</v>
      </c>
      <c r="N173" t="s">
        <v>421</v>
      </c>
    </row>
    <row r="174" spans="1:14" x14ac:dyDescent="0.3">
      <c r="A174" t="s">
        <v>1370</v>
      </c>
      <c r="B174" s="2">
        <v>46233</v>
      </c>
      <c r="C174" s="2">
        <v>46234</v>
      </c>
      <c r="D174" s="1" t="s">
        <v>710</v>
      </c>
      <c r="E174" t="s">
        <v>711</v>
      </c>
      <c r="F174" t="s">
        <v>438</v>
      </c>
      <c r="G174">
        <v>4920</v>
      </c>
      <c r="H174">
        <v>4832</v>
      </c>
      <c r="I174" s="5">
        <v>4736</v>
      </c>
      <c r="J174" s="5">
        <v>96</v>
      </c>
      <c r="K174" s="5">
        <v>98</v>
      </c>
      <c r="L174" s="5">
        <v>2</v>
      </c>
      <c r="M174" t="s">
        <v>20</v>
      </c>
      <c r="N174" t="s">
        <v>421</v>
      </c>
    </row>
    <row r="175" spans="1:14" x14ac:dyDescent="0.3">
      <c r="A175" t="s">
        <v>1374</v>
      </c>
      <c r="B175" s="2">
        <v>46233</v>
      </c>
      <c r="C175" s="2">
        <v>46234</v>
      </c>
      <c r="D175" s="1" t="s">
        <v>722</v>
      </c>
      <c r="E175" t="s">
        <v>723</v>
      </c>
      <c r="F175" t="s">
        <v>438</v>
      </c>
      <c r="G175">
        <v>9792</v>
      </c>
      <c r="H175">
        <v>9510</v>
      </c>
      <c r="I175" s="5">
        <v>9330</v>
      </c>
      <c r="J175" s="5">
        <v>180</v>
      </c>
      <c r="K175" s="5">
        <v>97</v>
      </c>
      <c r="L175" s="5">
        <v>2</v>
      </c>
      <c r="M175" t="s">
        <v>20</v>
      </c>
      <c r="N175" t="s">
        <v>421</v>
      </c>
    </row>
    <row r="176" spans="1:14" x14ac:dyDescent="0.3">
      <c r="A176" t="s">
        <v>1403</v>
      </c>
      <c r="B176" s="2">
        <v>46233</v>
      </c>
      <c r="C176" s="2">
        <v>46234</v>
      </c>
      <c r="D176" s="1" t="s">
        <v>833</v>
      </c>
      <c r="E176" t="s">
        <v>834</v>
      </c>
      <c r="F176" t="s">
        <v>425</v>
      </c>
      <c r="G176">
        <v>2160</v>
      </c>
      <c r="H176">
        <v>1964</v>
      </c>
      <c r="I176" s="5">
        <v>1920</v>
      </c>
      <c r="J176" s="5">
        <v>44</v>
      </c>
      <c r="K176" s="5">
        <v>91</v>
      </c>
      <c r="L176" s="5">
        <v>2</v>
      </c>
      <c r="M176" t="s">
        <v>20</v>
      </c>
      <c r="N176" t="s">
        <v>421</v>
      </c>
    </row>
    <row r="177" spans="1:14" x14ac:dyDescent="0.3">
      <c r="A177" t="s">
        <v>1418</v>
      </c>
      <c r="B177" s="2">
        <v>46233</v>
      </c>
      <c r="C177" s="2">
        <v>46234</v>
      </c>
      <c r="D177" s="1" t="s">
        <v>870</v>
      </c>
      <c r="E177" t="s">
        <v>871</v>
      </c>
      <c r="F177" t="s">
        <v>495</v>
      </c>
      <c r="G177">
        <v>3096</v>
      </c>
      <c r="H177">
        <v>1585</v>
      </c>
      <c r="I177" s="5">
        <v>1560</v>
      </c>
      <c r="J177" s="5">
        <v>25</v>
      </c>
      <c r="K177" s="5">
        <v>51</v>
      </c>
      <c r="L177" s="5">
        <v>2</v>
      </c>
      <c r="M177" t="s">
        <v>20</v>
      </c>
      <c r="N177" t="s">
        <v>421</v>
      </c>
    </row>
    <row r="178" spans="1:14" x14ac:dyDescent="0.3">
      <c r="A178" t="s">
        <v>1442</v>
      </c>
      <c r="B178" s="2">
        <v>46233</v>
      </c>
      <c r="C178" s="2">
        <v>46234</v>
      </c>
      <c r="D178" s="1" t="s">
        <v>1016</v>
      </c>
      <c r="E178" t="s">
        <v>1017</v>
      </c>
      <c r="F178" t="s">
        <v>425</v>
      </c>
      <c r="G178">
        <v>815</v>
      </c>
      <c r="H178">
        <v>709</v>
      </c>
      <c r="I178" s="5">
        <v>696</v>
      </c>
      <c r="J178" s="5">
        <v>13</v>
      </c>
      <c r="K178" s="5">
        <v>87</v>
      </c>
      <c r="L178" s="5">
        <v>2</v>
      </c>
      <c r="M178" t="s">
        <v>20</v>
      </c>
      <c r="N178" t="s">
        <v>421</v>
      </c>
    </row>
    <row r="179" spans="1:14" x14ac:dyDescent="0.3">
      <c r="A179" t="s">
        <v>1438</v>
      </c>
      <c r="B179" s="2">
        <v>46233</v>
      </c>
      <c r="C179" s="2">
        <v>46234</v>
      </c>
      <c r="D179" s="1" t="s">
        <v>1000</v>
      </c>
      <c r="E179" t="s">
        <v>1001</v>
      </c>
      <c r="F179" t="s">
        <v>425</v>
      </c>
      <c r="G179">
        <v>3260</v>
      </c>
      <c r="H179">
        <v>2909</v>
      </c>
      <c r="I179" s="5">
        <v>2874</v>
      </c>
      <c r="J179" s="5">
        <v>35</v>
      </c>
      <c r="K179" s="5">
        <v>89</v>
      </c>
      <c r="L179" s="5">
        <v>1</v>
      </c>
      <c r="M179" t="s">
        <v>20</v>
      </c>
      <c r="N179" t="s">
        <v>421</v>
      </c>
    </row>
    <row r="180" spans="1:14" x14ac:dyDescent="0.3">
      <c r="A180" t="s">
        <v>1451</v>
      </c>
      <c r="B180" s="2">
        <v>46233</v>
      </c>
      <c r="C180" s="2">
        <v>46234</v>
      </c>
      <c r="D180" s="1" t="s">
        <v>1073</v>
      </c>
      <c r="E180" t="s">
        <v>1074</v>
      </c>
      <c r="F180" t="s">
        <v>677</v>
      </c>
      <c r="G180">
        <v>1800</v>
      </c>
      <c r="H180">
        <v>1791</v>
      </c>
      <c r="I180" s="5">
        <v>1770</v>
      </c>
      <c r="J180" s="5">
        <v>21</v>
      </c>
      <c r="K180" s="5">
        <v>100</v>
      </c>
      <c r="L180" s="5">
        <v>1</v>
      </c>
      <c r="M180" t="s">
        <v>20</v>
      </c>
      <c r="N180" t="s">
        <v>421</v>
      </c>
    </row>
    <row r="181" spans="1:14" x14ac:dyDescent="0.3">
      <c r="A181" t="s">
        <v>1352</v>
      </c>
      <c r="B181" s="2">
        <v>46233</v>
      </c>
      <c r="C181" s="2">
        <v>46237</v>
      </c>
      <c r="D181" s="1" t="s">
        <v>638</v>
      </c>
      <c r="E181" t="s">
        <v>639</v>
      </c>
      <c r="F181" t="s">
        <v>532</v>
      </c>
      <c r="G181">
        <v>5176</v>
      </c>
      <c r="H181">
        <v>5205</v>
      </c>
      <c r="I181" s="5">
        <v>5154</v>
      </c>
      <c r="J181" s="5">
        <v>51</v>
      </c>
      <c r="K181" s="5">
        <v>101</v>
      </c>
      <c r="L181" s="5">
        <v>1</v>
      </c>
      <c r="M181" t="s">
        <v>20</v>
      </c>
      <c r="N181" t="s">
        <v>421</v>
      </c>
    </row>
    <row r="182" spans="1:14" x14ac:dyDescent="0.3">
      <c r="A182" t="s">
        <v>1348</v>
      </c>
      <c r="B182" s="2">
        <v>46233</v>
      </c>
      <c r="C182" s="2">
        <v>46234</v>
      </c>
      <c r="D182" s="1" t="s">
        <v>619</v>
      </c>
      <c r="E182" t="s">
        <v>620</v>
      </c>
      <c r="F182" t="s">
        <v>420</v>
      </c>
      <c r="G182">
        <v>50</v>
      </c>
      <c r="H182">
        <v>50</v>
      </c>
      <c r="I182" s="5">
        <v>50</v>
      </c>
      <c r="J182" s="5">
        <v>0</v>
      </c>
      <c r="K182" s="5">
        <v>100</v>
      </c>
      <c r="L182" s="5">
        <v>0</v>
      </c>
      <c r="M182" t="s">
        <v>20</v>
      </c>
      <c r="N182" t="s">
        <v>421</v>
      </c>
    </row>
    <row r="183" spans="1:14" x14ac:dyDescent="0.3">
      <c r="A183" t="s">
        <v>1357</v>
      </c>
      <c r="B183" s="2">
        <v>46233</v>
      </c>
      <c r="C183" s="2">
        <v>46234</v>
      </c>
      <c r="D183" s="1" t="s">
        <v>671</v>
      </c>
      <c r="E183" t="s">
        <v>672</v>
      </c>
      <c r="F183" t="s">
        <v>532</v>
      </c>
      <c r="G183">
        <v>750</v>
      </c>
      <c r="H183">
        <v>720</v>
      </c>
      <c r="I183" s="5">
        <v>720</v>
      </c>
      <c r="J183" s="5">
        <v>0</v>
      </c>
      <c r="K183" s="5">
        <v>96</v>
      </c>
      <c r="L183" s="5">
        <v>0</v>
      </c>
      <c r="M183" t="s">
        <v>20</v>
      </c>
      <c r="N183" t="s">
        <v>421</v>
      </c>
    </row>
    <row r="184" spans="1:14" x14ac:dyDescent="0.3">
      <c r="A184" t="s">
        <v>1359</v>
      </c>
      <c r="B184" s="2">
        <v>46233</v>
      </c>
      <c r="C184" s="2">
        <v>46234</v>
      </c>
      <c r="D184" s="1" t="s">
        <v>675</v>
      </c>
      <c r="E184" t="s">
        <v>676</v>
      </c>
      <c r="F184" t="s">
        <v>677</v>
      </c>
      <c r="G184">
        <v>500</v>
      </c>
      <c r="H184">
        <v>540</v>
      </c>
      <c r="I184" s="5">
        <v>540</v>
      </c>
      <c r="J184" s="5">
        <v>0</v>
      </c>
      <c r="K184" s="5">
        <v>108</v>
      </c>
      <c r="L184" s="5">
        <v>0</v>
      </c>
      <c r="M184" t="s">
        <v>20</v>
      </c>
      <c r="N184" t="s">
        <v>421</v>
      </c>
    </row>
    <row r="185" spans="1:14" x14ac:dyDescent="0.3">
      <c r="A185" t="s">
        <v>1362</v>
      </c>
      <c r="B185" s="2">
        <v>46233</v>
      </c>
      <c r="C185" s="2">
        <v>46234</v>
      </c>
      <c r="D185" s="1" t="s">
        <v>680</v>
      </c>
      <c r="E185" t="s">
        <v>681</v>
      </c>
      <c r="F185" t="s">
        <v>677</v>
      </c>
      <c r="G185">
        <v>782</v>
      </c>
      <c r="H185">
        <v>761</v>
      </c>
      <c r="I185" s="5">
        <v>760</v>
      </c>
      <c r="J185" s="5">
        <v>1</v>
      </c>
      <c r="K185" s="5">
        <v>97</v>
      </c>
      <c r="L185" s="5">
        <v>0</v>
      </c>
      <c r="M185" t="s">
        <v>20</v>
      </c>
      <c r="N185" t="s">
        <v>421</v>
      </c>
    </row>
    <row r="186" spans="1:14" x14ac:dyDescent="0.3">
      <c r="A186" t="s">
        <v>1364</v>
      </c>
      <c r="B186" s="2">
        <v>46233</v>
      </c>
      <c r="C186" s="2">
        <v>46234</v>
      </c>
      <c r="D186" s="1" t="s">
        <v>689</v>
      </c>
      <c r="E186" t="s">
        <v>690</v>
      </c>
      <c r="F186" t="s">
        <v>677</v>
      </c>
      <c r="G186">
        <v>750</v>
      </c>
      <c r="H186">
        <v>751</v>
      </c>
      <c r="I186" s="5">
        <v>750</v>
      </c>
      <c r="J186" s="5">
        <v>1</v>
      </c>
      <c r="K186" s="5">
        <v>100</v>
      </c>
      <c r="L186" s="5">
        <v>0</v>
      </c>
      <c r="M186" t="s">
        <v>20</v>
      </c>
      <c r="N186" t="s">
        <v>421</v>
      </c>
    </row>
    <row r="187" spans="1:14" x14ac:dyDescent="0.3">
      <c r="A187" t="s">
        <v>1385</v>
      </c>
      <c r="B187" s="2">
        <v>46233</v>
      </c>
      <c r="C187" s="2">
        <v>46234</v>
      </c>
      <c r="D187" s="1" t="s">
        <v>773</v>
      </c>
      <c r="E187" t="s">
        <v>774</v>
      </c>
      <c r="F187" t="s">
        <v>420</v>
      </c>
      <c r="G187">
        <v>770</v>
      </c>
      <c r="H187">
        <v>770</v>
      </c>
      <c r="I187" s="5">
        <v>770</v>
      </c>
      <c r="J187" s="5">
        <v>0</v>
      </c>
      <c r="K187" s="5">
        <v>100</v>
      </c>
      <c r="L187" s="5">
        <v>0</v>
      </c>
      <c r="M187" t="s">
        <v>20</v>
      </c>
      <c r="N187" t="s">
        <v>421</v>
      </c>
    </row>
    <row r="188" spans="1:14" x14ac:dyDescent="0.3">
      <c r="A188" t="s">
        <v>1389</v>
      </c>
      <c r="B188" s="2">
        <v>46233</v>
      </c>
      <c r="C188" s="2">
        <v>46234</v>
      </c>
      <c r="D188" s="1" t="s">
        <v>788</v>
      </c>
      <c r="E188" t="s">
        <v>789</v>
      </c>
      <c r="F188" t="s">
        <v>420</v>
      </c>
      <c r="G188">
        <v>450</v>
      </c>
      <c r="H188">
        <v>450</v>
      </c>
      <c r="I188" s="5">
        <v>450</v>
      </c>
      <c r="J188" s="5">
        <v>0</v>
      </c>
      <c r="K188" s="5">
        <v>100</v>
      </c>
      <c r="L188" s="5">
        <v>0</v>
      </c>
      <c r="M188" t="s">
        <v>20</v>
      </c>
      <c r="N188" t="s">
        <v>421</v>
      </c>
    </row>
    <row r="189" spans="1:14" x14ac:dyDescent="0.3">
      <c r="A189" t="s">
        <v>1395</v>
      </c>
      <c r="B189" s="2">
        <v>46233</v>
      </c>
      <c r="C189" s="2">
        <v>46234</v>
      </c>
      <c r="D189" s="1" t="s">
        <v>805</v>
      </c>
      <c r="E189" t="s">
        <v>806</v>
      </c>
      <c r="F189" t="s">
        <v>420</v>
      </c>
      <c r="G189">
        <v>1222</v>
      </c>
      <c r="H189">
        <v>1222</v>
      </c>
      <c r="I189" s="5">
        <v>1222</v>
      </c>
      <c r="J189" s="5">
        <v>0</v>
      </c>
      <c r="K189" s="5">
        <v>100</v>
      </c>
      <c r="L189" s="5">
        <v>0</v>
      </c>
      <c r="M189" t="s">
        <v>20</v>
      </c>
      <c r="N189" t="s">
        <v>421</v>
      </c>
    </row>
    <row r="190" spans="1:14" x14ac:dyDescent="0.3">
      <c r="A190" t="s">
        <v>1424</v>
      </c>
      <c r="B190" s="2">
        <v>46233</v>
      </c>
      <c r="C190" s="2">
        <v>46234</v>
      </c>
      <c r="D190" s="1" t="s">
        <v>933</v>
      </c>
      <c r="E190" t="s">
        <v>934</v>
      </c>
      <c r="F190" t="s">
        <v>420</v>
      </c>
      <c r="G190">
        <v>80</v>
      </c>
      <c r="H190">
        <v>79</v>
      </c>
      <c r="I190" s="5">
        <v>79</v>
      </c>
      <c r="J190" s="5">
        <v>0</v>
      </c>
      <c r="K190" s="5">
        <v>98</v>
      </c>
      <c r="L190" s="5">
        <v>0</v>
      </c>
      <c r="M190" t="s">
        <v>20</v>
      </c>
      <c r="N190" t="s">
        <v>421</v>
      </c>
    </row>
    <row r="191" spans="1:14" x14ac:dyDescent="0.3">
      <c r="A191" t="s">
        <v>1425</v>
      </c>
      <c r="B191" s="2">
        <v>46233</v>
      </c>
      <c r="C191" s="2">
        <v>46234</v>
      </c>
      <c r="D191" s="1" t="s">
        <v>942</v>
      </c>
      <c r="E191" t="s">
        <v>943</v>
      </c>
      <c r="F191" t="s">
        <v>420</v>
      </c>
      <c r="G191">
        <v>76</v>
      </c>
      <c r="H191">
        <v>77</v>
      </c>
      <c r="I191" s="5">
        <v>77</v>
      </c>
      <c r="J191" s="5">
        <v>0</v>
      </c>
      <c r="K191" s="5">
        <v>102</v>
      </c>
      <c r="L191" s="5">
        <v>0</v>
      </c>
      <c r="M191" t="s">
        <v>20</v>
      </c>
      <c r="N191" t="s">
        <v>421</v>
      </c>
    </row>
    <row r="192" spans="1:14" x14ac:dyDescent="0.3">
      <c r="A192" t="s">
        <v>1428</v>
      </c>
      <c r="B192" s="2">
        <v>46233</v>
      </c>
      <c r="C192" s="2">
        <v>46234</v>
      </c>
      <c r="D192" s="1" t="s">
        <v>950</v>
      </c>
      <c r="E192" t="s">
        <v>951</v>
      </c>
      <c r="F192" t="s">
        <v>420</v>
      </c>
      <c r="G192">
        <v>75</v>
      </c>
      <c r="H192">
        <v>76</v>
      </c>
      <c r="I192" s="5">
        <v>76</v>
      </c>
      <c r="J192" s="5">
        <v>0</v>
      </c>
      <c r="K192" s="5">
        <v>101</v>
      </c>
      <c r="L192" s="5">
        <v>0</v>
      </c>
      <c r="M192" t="s">
        <v>20</v>
      </c>
      <c r="N192" t="s">
        <v>421</v>
      </c>
    </row>
    <row r="193" spans="1:14" x14ac:dyDescent="0.3">
      <c r="A193" t="s">
        <v>1431</v>
      </c>
      <c r="B193" s="2">
        <v>46233</v>
      </c>
      <c r="C193" s="2">
        <v>46234</v>
      </c>
      <c r="D193" s="1" t="s">
        <v>958</v>
      </c>
      <c r="E193" t="s">
        <v>959</v>
      </c>
      <c r="F193" t="s">
        <v>420</v>
      </c>
      <c r="G193">
        <v>264</v>
      </c>
      <c r="H193">
        <v>271</v>
      </c>
      <c r="I193" s="5">
        <v>271</v>
      </c>
      <c r="J193" s="5">
        <v>0</v>
      </c>
      <c r="K193" s="5">
        <v>103</v>
      </c>
      <c r="L193" s="5">
        <v>0</v>
      </c>
      <c r="M193" t="s">
        <v>20</v>
      </c>
      <c r="N193" t="s">
        <v>421</v>
      </c>
    </row>
    <row r="194" spans="1:14" x14ac:dyDescent="0.3">
      <c r="A194" t="s">
        <v>1434</v>
      </c>
      <c r="B194" s="2">
        <v>46233</v>
      </c>
      <c r="C194" s="2">
        <v>46234</v>
      </c>
      <c r="D194" s="1" t="s">
        <v>965</v>
      </c>
      <c r="E194" t="s">
        <v>966</v>
      </c>
      <c r="F194" t="s">
        <v>420</v>
      </c>
      <c r="G194">
        <v>70</v>
      </c>
      <c r="H194">
        <v>61</v>
      </c>
      <c r="I194" s="5">
        <v>61</v>
      </c>
      <c r="J194" s="5">
        <v>0</v>
      </c>
      <c r="K194" s="5">
        <v>88</v>
      </c>
      <c r="L194" s="5">
        <v>0</v>
      </c>
      <c r="M194" t="s">
        <v>20</v>
      </c>
      <c r="N194" t="s">
        <v>421</v>
      </c>
    </row>
    <row r="195" spans="1:14" x14ac:dyDescent="0.3">
      <c r="A195" t="s">
        <v>1444</v>
      </c>
      <c r="B195" s="2">
        <v>46233</v>
      </c>
      <c r="C195" s="2">
        <v>46234</v>
      </c>
      <c r="D195" s="1" t="s">
        <v>1025</v>
      </c>
      <c r="E195" t="s">
        <v>1026</v>
      </c>
      <c r="F195" t="s">
        <v>420</v>
      </c>
      <c r="G195">
        <v>80</v>
      </c>
      <c r="H195">
        <v>88</v>
      </c>
      <c r="I195" s="5">
        <v>88</v>
      </c>
      <c r="J195" s="5">
        <v>0</v>
      </c>
      <c r="K195" s="5">
        <v>110</v>
      </c>
      <c r="L195" s="5">
        <v>0</v>
      </c>
      <c r="M195" t="s">
        <v>20</v>
      </c>
      <c r="N195" t="s">
        <v>421</v>
      </c>
    </row>
    <row r="196" spans="1:14" x14ac:dyDescent="0.3">
      <c r="A196" t="s">
        <v>1464</v>
      </c>
      <c r="B196" s="2">
        <v>46233</v>
      </c>
      <c r="C196" s="2">
        <v>46234</v>
      </c>
      <c r="D196" s="1" t="s">
        <v>1115</v>
      </c>
      <c r="E196" t="s">
        <v>1116</v>
      </c>
      <c r="F196" t="s">
        <v>677</v>
      </c>
      <c r="G196">
        <v>4000</v>
      </c>
      <c r="H196">
        <v>3991</v>
      </c>
      <c r="I196" s="5">
        <v>3990</v>
      </c>
      <c r="J196" s="5">
        <v>1</v>
      </c>
      <c r="K196" s="5">
        <v>100</v>
      </c>
      <c r="L196" s="5">
        <v>0</v>
      </c>
      <c r="M196" t="s">
        <v>20</v>
      </c>
      <c r="N196" t="s">
        <v>421</v>
      </c>
    </row>
    <row r="197" spans="1:14" x14ac:dyDescent="0.3">
      <c r="A197" t="s">
        <v>1349</v>
      </c>
      <c r="B197" s="2">
        <v>46234</v>
      </c>
      <c r="C197" s="2">
        <v>46237</v>
      </c>
      <c r="D197" s="1" t="s">
        <v>619</v>
      </c>
      <c r="E197" t="s">
        <v>620</v>
      </c>
      <c r="F197" t="s">
        <v>420</v>
      </c>
      <c r="G197">
        <v>73</v>
      </c>
      <c r="H197">
        <v>73</v>
      </c>
      <c r="I197" s="5">
        <v>73</v>
      </c>
      <c r="J197" s="5">
        <v>0</v>
      </c>
      <c r="K197" s="5">
        <v>100</v>
      </c>
      <c r="L197" s="5">
        <v>0</v>
      </c>
      <c r="M197" t="s">
        <v>20</v>
      </c>
      <c r="N197" t="s">
        <v>421</v>
      </c>
    </row>
    <row r="198" spans="1:14" x14ac:dyDescent="0.3">
      <c r="A198" t="s">
        <v>1396</v>
      </c>
      <c r="B198" s="2">
        <v>46234</v>
      </c>
      <c r="C198" s="2">
        <v>46237</v>
      </c>
      <c r="D198" s="1" t="s">
        <v>805</v>
      </c>
      <c r="E198" t="s">
        <v>806</v>
      </c>
      <c r="F198" t="s">
        <v>420</v>
      </c>
      <c r="G198">
        <v>804</v>
      </c>
      <c r="H198">
        <v>804</v>
      </c>
      <c r="I198" s="5">
        <v>804</v>
      </c>
      <c r="J198" s="5">
        <v>0</v>
      </c>
      <c r="K198" s="5">
        <v>100</v>
      </c>
      <c r="L198" s="5">
        <v>0</v>
      </c>
      <c r="M198" t="s">
        <v>20</v>
      </c>
      <c r="N198" t="s">
        <v>421</v>
      </c>
    </row>
    <row r="199" spans="1:14" x14ac:dyDescent="0.3">
      <c r="A199" t="s">
        <v>1462</v>
      </c>
      <c r="B199" s="2">
        <v>46234</v>
      </c>
      <c r="C199" s="2">
        <v>46237</v>
      </c>
      <c r="D199" s="1" t="s">
        <v>1110</v>
      </c>
      <c r="E199" t="s">
        <v>1111</v>
      </c>
      <c r="F199" t="s">
        <v>677</v>
      </c>
      <c r="G199">
        <v>4000</v>
      </c>
      <c r="H199">
        <v>3860</v>
      </c>
      <c r="I199" s="5">
        <v>3855</v>
      </c>
      <c r="J199" s="5">
        <v>5</v>
      </c>
      <c r="K199" s="5">
        <v>97</v>
      </c>
      <c r="L199" s="5">
        <v>0</v>
      </c>
      <c r="M199" t="s">
        <v>20</v>
      </c>
      <c r="N199" t="s">
        <v>421</v>
      </c>
    </row>
    <row r="200" spans="1:14" x14ac:dyDescent="0.3">
      <c r="A200" t="s">
        <v>1371</v>
      </c>
      <c r="B200" s="2">
        <v>46237</v>
      </c>
      <c r="C200" s="2">
        <v>46238</v>
      </c>
      <c r="D200" s="1" t="s">
        <v>710</v>
      </c>
      <c r="E200" t="s">
        <v>711</v>
      </c>
      <c r="F200" t="s">
        <v>438</v>
      </c>
      <c r="G200">
        <v>8200</v>
      </c>
      <c r="H200">
        <v>8632</v>
      </c>
      <c r="I200" s="5">
        <v>8016</v>
      </c>
      <c r="J200" s="5">
        <v>616</v>
      </c>
      <c r="K200" s="5">
        <v>105</v>
      </c>
      <c r="L200" s="5">
        <v>7</v>
      </c>
      <c r="M200" t="s">
        <v>20</v>
      </c>
      <c r="N200" t="s">
        <v>421</v>
      </c>
    </row>
    <row r="201" spans="1:14" x14ac:dyDescent="0.3">
      <c r="A201" t="s">
        <v>1367</v>
      </c>
      <c r="B201" s="2">
        <v>46237</v>
      </c>
      <c r="C201" s="2">
        <v>46237</v>
      </c>
      <c r="D201" s="1" t="s">
        <v>702</v>
      </c>
      <c r="E201" t="s">
        <v>703</v>
      </c>
      <c r="F201" t="s">
        <v>438</v>
      </c>
      <c r="G201">
        <v>157</v>
      </c>
      <c r="H201">
        <v>151</v>
      </c>
      <c r="I201" s="5">
        <v>144</v>
      </c>
      <c r="J201" s="5">
        <v>7</v>
      </c>
      <c r="K201" s="5">
        <v>96</v>
      </c>
      <c r="L201" s="5">
        <v>5</v>
      </c>
      <c r="M201" t="s">
        <v>20</v>
      </c>
      <c r="N201" t="s">
        <v>421</v>
      </c>
    </row>
    <row r="202" spans="1:14" x14ac:dyDescent="0.3">
      <c r="A202" t="s">
        <v>1446</v>
      </c>
      <c r="B202" s="2">
        <v>46237</v>
      </c>
      <c r="C202" s="2">
        <v>46238</v>
      </c>
      <c r="D202" s="1" t="s">
        <v>1033</v>
      </c>
      <c r="E202" t="s">
        <v>1034</v>
      </c>
      <c r="F202" t="s">
        <v>438</v>
      </c>
      <c r="G202">
        <v>204</v>
      </c>
      <c r="H202">
        <v>192</v>
      </c>
      <c r="I202" s="5">
        <v>185</v>
      </c>
      <c r="J202" s="5">
        <v>7</v>
      </c>
      <c r="K202" s="5">
        <v>94</v>
      </c>
      <c r="L202" s="5">
        <v>4</v>
      </c>
      <c r="M202" t="s">
        <v>20</v>
      </c>
      <c r="N202" t="s">
        <v>421</v>
      </c>
    </row>
    <row r="203" spans="1:14" x14ac:dyDescent="0.3">
      <c r="A203" t="s">
        <v>1439</v>
      </c>
      <c r="B203" s="2">
        <v>46237</v>
      </c>
      <c r="C203" s="2">
        <v>46237</v>
      </c>
      <c r="D203" s="1" t="s">
        <v>1000</v>
      </c>
      <c r="E203" t="s">
        <v>1001</v>
      </c>
      <c r="F203" t="s">
        <v>425</v>
      </c>
      <c r="G203">
        <v>2445</v>
      </c>
      <c r="H203">
        <v>2365</v>
      </c>
      <c r="I203" s="5">
        <v>2286</v>
      </c>
      <c r="J203" s="5">
        <v>79</v>
      </c>
      <c r="K203" s="5">
        <v>97</v>
      </c>
      <c r="L203" s="5">
        <v>3</v>
      </c>
      <c r="M203" t="s">
        <v>20</v>
      </c>
      <c r="N203" t="s">
        <v>421</v>
      </c>
    </row>
    <row r="204" spans="1:14" x14ac:dyDescent="0.3">
      <c r="A204" t="s">
        <v>1375</v>
      </c>
      <c r="B204" s="2">
        <v>46237</v>
      </c>
      <c r="C204" s="2">
        <v>46238</v>
      </c>
      <c r="D204" s="1" t="s">
        <v>722</v>
      </c>
      <c r="E204" t="s">
        <v>723</v>
      </c>
      <c r="F204" t="s">
        <v>438</v>
      </c>
      <c r="G204">
        <v>6528</v>
      </c>
      <c r="H204">
        <v>6462</v>
      </c>
      <c r="I204" s="5">
        <v>6300</v>
      </c>
      <c r="J204" s="5">
        <v>162</v>
      </c>
      <c r="K204" s="5">
        <v>99</v>
      </c>
      <c r="L204" s="5">
        <v>3</v>
      </c>
      <c r="M204" t="s">
        <v>20</v>
      </c>
      <c r="N204" t="s">
        <v>421</v>
      </c>
    </row>
    <row r="205" spans="1:14" x14ac:dyDescent="0.3">
      <c r="A205" t="s">
        <v>1381</v>
      </c>
      <c r="B205" s="2">
        <v>46237</v>
      </c>
      <c r="C205" s="2">
        <v>46238</v>
      </c>
      <c r="D205" s="1" t="s">
        <v>754</v>
      </c>
      <c r="E205" t="s">
        <v>755</v>
      </c>
      <c r="F205" t="s">
        <v>438</v>
      </c>
      <c r="G205">
        <v>858</v>
      </c>
      <c r="H205">
        <v>863</v>
      </c>
      <c r="I205" s="5">
        <v>840</v>
      </c>
      <c r="J205" s="5">
        <v>23</v>
      </c>
      <c r="K205" s="5">
        <v>101</v>
      </c>
      <c r="L205" s="5">
        <v>3</v>
      </c>
      <c r="M205" t="s">
        <v>20</v>
      </c>
      <c r="N205" t="s">
        <v>421</v>
      </c>
    </row>
    <row r="206" spans="1:14" x14ac:dyDescent="0.3">
      <c r="A206" t="s">
        <v>1409</v>
      </c>
      <c r="B206" s="2">
        <v>46237</v>
      </c>
      <c r="C206" s="2">
        <v>46238</v>
      </c>
      <c r="D206" s="1" t="s">
        <v>840</v>
      </c>
      <c r="E206" t="s">
        <v>841</v>
      </c>
      <c r="F206" t="s">
        <v>425</v>
      </c>
      <c r="G206">
        <v>1700</v>
      </c>
      <c r="H206">
        <v>1649</v>
      </c>
      <c r="I206" s="5">
        <v>1620</v>
      </c>
      <c r="J206" s="5">
        <v>29</v>
      </c>
      <c r="K206" s="5">
        <v>97</v>
      </c>
      <c r="L206" s="5">
        <v>2</v>
      </c>
      <c r="M206" t="s">
        <v>20</v>
      </c>
      <c r="N206" t="s">
        <v>421</v>
      </c>
    </row>
    <row r="207" spans="1:14" x14ac:dyDescent="0.3">
      <c r="A207" t="s">
        <v>1443</v>
      </c>
      <c r="B207" s="2">
        <v>46237</v>
      </c>
      <c r="C207" s="2">
        <v>46237</v>
      </c>
      <c r="D207" s="1" t="s">
        <v>1016</v>
      </c>
      <c r="E207" t="s">
        <v>1017</v>
      </c>
      <c r="F207" t="s">
        <v>425</v>
      </c>
      <c r="G207">
        <v>815</v>
      </c>
      <c r="H207">
        <v>886</v>
      </c>
      <c r="I207" s="5">
        <v>876</v>
      </c>
      <c r="J207" s="5">
        <v>10</v>
      </c>
      <c r="K207" s="5">
        <v>109</v>
      </c>
      <c r="L207" s="5">
        <v>1</v>
      </c>
      <c r="M207" t="s">
        <v>20</v>
      </c>
      <c r="N207" t="s">
        <v>421</v>
      </c>
    </row>
    <row r="208" spans="1:14" x14ac:dyDescent="0.3">
      <c r="A208" t="s">
        <v>1320</v>
      </c>
      <c r="B208" s="2">
        <v>46237</v>
      </c>
      <c r="C208" s="2">
        <v>46238</v>
      </c>
      <c r="D208" s="1" t="s">
        <v>423</v>
      </c>
      <c r="E208" t="s">
        <v>424</v>
      </c>
      <c r="F208" t="s">
        <v>425</v>
      </c>
      <c r="G208">
        <v>792</v>
      </c>
      <c r="H208">
        <v>703</v>
      </c>
      <c r="I208" s="5">
        <v>693</v>
      </c>
      <c r="J208" s="5">
        <v>10</v>
      </c>
      <c r="K208" s="5">
        <v>89</v>
      </c>
      <c r="L208" s="5">
        <v>1</v>
      </c>
      <c r="M208" t="s">
        <v>20</v>
      </c>
      <c r="N208" t="s">
        <v>421</v>
      </c>
    </row>
    <row r="209" spans="1:14" x14ac:dyDescent="0.3">
      <c r="A209" t="s">
        <v>1318</v>
      </c>
      <c r="B209" s="2">
        <v>46237</v>
      </c>
      <c r="C209" s="2">
        <v>46237</v>
      </c>
      <c r="D209" s="1" t="s">
        <v>418</v>
      </c>
      <c r="E209" t="s">
        <v>419</v>
      </c>
      <c r="F209" t="s">
        <v>420</v>
      </c>
      <c r="G209">
        <v>44</v>
      </c>
      <c r="H209">
        <v>35</v>
      </c>
      <c r="I209" s="5">
        <v>35</v>
      </c>
      <c r="J209" s="5">
        <v>0</v>
      </c>
      <c r="K209" s="5">
        <v>80</v>
      </c>
      <c r="L209" s="5">
        <v>0</v>
      </c>
      <c r="M209" t="s">
        <v>20</v>
      </c>
      <c r="N209" t="s">
        <v>421</v>
      </c>
    </row>
    <row r="210" spans="1:14" x14ac:dyDescent="0.3">
      <c r="A210" t="s">
        <v>1339</v>
      </c>
      <c r="B210" s="2">
        <v>46237</v>
      </c>
      <c r="C210" s="2">
        <v>46237</v>
      </c>
      <c r="D210" s="1" t="s">
        <v>534</v>
      </c>
      <c r="E210" t="s">
        <v>535</v>
      </c>
      <c r="F210" t="s">
        <v>438</v>
      </c>
      <c r="G210">
        <v>194</v>
      </c>
      <c r="H210">
        <v>198</v>
      </c>
      <c r="I210" s="5">
        <v>198</v>
      </c>
      <c r="J210" s="5">
        <v>0</v>
      </c>
      <c r="K210" s="5">
        <v>102</v>
      </c>
      <c r="L210" s="5">
        <v>0</v>
      </c>
      <c r="M210" t="s">
        <v>20</v>
      </c>
      <c r="N210" t="s">
        <v>421</v>
      </c>
    </row>
    <row r="211" spans="1:14" x14ac:dyDescent="0.3">
      <c r="A211" t="s">
        <v>1386</v>
      </c>
      <c r="B211" s="2">
        <v>46237</v>
      </c>
      <c r="C211" s="2">
        <v>46237</v>
      </c>
      <c r="D211" s="1" t="s">
        <v>773</v>
      </c>
      <c r="E211" t="s">
        <v>774</v>
      </c>
      <c r="F211" t="s">
        <v>420</v>
      </c>
      <c r="G211">
        <v>840</v>
      </c>
      <c r="H211">
        <v>840</v>
      </c>
      <c r="I211" s="5">
        <v>840</v>
      </c>
      <c r="J211" s="5">
        <v>0</v>
      </c>
      <c r="K211" s="5">
        <v>100</v>
      </c>
      <c r="L211" s="5">
        <v>0</v>
      </c>
      <c r="M211" t="s">
        <v>20</v>
      </c>
      <c r="N211" t="s">
        <v>421</v>
      </c>
    </row>
    <row r="212" spans="1:14" x14ac:dyDescent="0.3">
      <c r="A212" t="s">
        <v>1390</v>
      </c>
      <c r="B212" s="2">
        <v>46237</v>
      </c>
      <c r="C212" s="2">
        <v>46237</v>
      </c>
      <c r="D212" s="1" t="s">
        <v>788</v>
      </c>
      <c r="E212" t="s">
        <v>789</v>
      </c>
      <c r="F212" t="s">
        <v>420</v>
      </c>
      <c r="G212">
        <v>630</v>
      </c>
      <c r="H212">
        <v>630</v>
      </c>
      <c r="I212" s="5">
        <v>630</v>
      </c>
      <c r="J212" s="5">
        <v>0</v>
      </c>
      <c r="K212" s="5">
        <v>100</v>
      </c>
      <c r="L212" s="5">
        <v>0</v>
      </c>
      <c r="M212" t="s">
        <v>20</v>
      </c>
      <c r="N212" t="s">
        <v>421</v>
      </c>
    </row>
    <row r="213" spans="1:14" x14ac:dyDescent="0.3">
      <c r="A213" t="s">
        <v>1426</v>
      </c>
      <c r="B213" s="2">
        <v>46237</v>
      </c>
      <c r="C213" s="2">
        <v>46237</v>
      </c>
      <c r="D213" s="1" t="s">
        <v>942</v>
      </c>
      <c r="E213" t="s">
        <v>943</v>
      </c>
      <c r="F213" t="s">
        <v>420</v>
      </c>
      <c r="G213">
        <v>76</v>
      </c>
      <c r="H213">
        <v>80</v>
      </c>
      <c r="I213" s="5">
        <v>80</v>
      </c>
      <c r="J213" s="5">
        <v>0</v>
      </c>
      <c r="K213" s="5">
        <v>105</v>
      </c>
      <c r="L213" s="5">
        <v>0</v>
      </c>
      <c r="M213" t="s">
        <v>20</v>
      </c>
      <c r="N213" t="s">
        <v>421</v>
      </c>
    </row>
    <row r="214" spans="1:14" x14ac:dyDescent="0.3">
      <c r="A214" t="s">
        <v>1430</v>
      </c>
      <c r="B214" s="2">
        <v>46237</v>
      </c>
      <c r="C214" s="2">
        <v>46237</v>
      </c>
      <c r="D214" s="1" t="s">
        <v>950</v>
      </c>
      <c r="E214" t="s">
        <v>951</v>
      </c>
      <c r="F214" t="s">
        <v>420</v>
      </c>
      <c r="G214">
        <v>75</v>
      </c>
      <c r="H214">
        <v>81</v>
      </c>
      <c r="I214" s="5">
        <v>81</v>
      </c>
      <c r="J214" s="5">
        <v>0</v>
      </c>
      <c r="K214" s="5">
        <v>108</v>
      </c>
      <c r="L214" s="5">
        <v>0</v>
      </c>
      <c r="M214" t="s">
        <v>20</v>
      </c>
      <c r="N214" t="s">
        <v>421</v>
      </c>
    </row>
    <row r="215" spans="1:14" x14ac:dyDescent="0.3">
      <c r="A215" t="s">
        <v>1328</v>
      </c>
      <c r="B215" s="2">
        <v>46238</v>
      </c>
      <c r="C215" s="2">
        <v>46239</v>
      </c>
      <c r="D215" s="1" t="s">
        <v>460</v>
      </c>
      <c r="E215" s="45" t="s">
        <v>461</v>
      </c>
      <c r="F215" t="s">
        <v>425</v>
      </c>
      <c r="G215">
        <v>825</v>
      </c>
      <c r="H215">
        <v>742</v>
      </c>
      <c r="I215" s="5">
        <v>500</v>
      </c>
      <c r="J215" s="5">
        <v>242</v>
      </c>
      <c r="K215" s="5">
        <v>90</v>
      </c>
      <c r="L215" s="5">
        <v>33</v>
      </c>
      <c r="M215" t="s">
        <v>20</v>
      </c>
      <c r="N215" t="s">
        <v>421</v>
      </c>
    </row>
    <row r="216" spans="1:14" x14ac:dyDescent="0.3">
      <c r="A216" t="s">
        <v>1332</v>
      </c>
      <c r="B216" s="2">
        <v>46238</v>
      </c>
      <c r="C216" s="2">
        <v>46239</v>
      </c>
      <c r="D216" s="1" t="s">
        <v>483</v>
      </c>
      <c r="E216" t="s">
        <v>484</v>
      </c>
      <c r="F216" t="s">
        <v>425</v>
      </c>
      <c r="G216">
        <v>1152</v>
      </c>
      <c r="H216">
        <v>915</v>
      </c>
      <c r="I216" s="5">
        <v>800</v>
      </c>
      <c r="J216" s="5">
        <v>115</v>
      </c>
      <c r="K216" s="5">
        <v>79</v>
      </c>
      <c r="L216" s="5">
        <v>13</v>
      </c>
      <c r="M216" t="s">
        <v>20</v>
      </c>
      <c r="N216" t="s">
        <v>421</v>
      </c>
    </row>
    <row r="217" spans="1:14" x14ac:dyDescent="0.3">
      <c r="A217" t="s">
        <v>1465</v>
      </c>
      <c r="B217" s="2">
        <v>46238</v>
      </c>
      <c r="C217" s="2">
        <v>46239</v>
      </c>
      <c r="D217" s="1" t="s">
        <v>1466</v>
      </c>
      <c r="E217" t="s">
        <v>1467</v>
      </c>
      <c r="F217" t="s">
        <v>438</v>
      </c>
      <c r="G217">
        <v>1040</v>
      </c>
      <c r="H217">
        <v>977</v>
      </c>
      <c r="I217" s="5">
        <v>850</v>
      </c>
      <c r="J217" s="5">
        <v>127</v>
      </c>
      <c r="K217" s="5">
        <v>94</v>
      </c>
      <c r="L217" s="5">
        <v>13</v>
      </c>
      <c r="M217" t="s">
        <v>20</v>
      </c>
      <c r="N217" t="s">
        <v>421</v>
      </c>
    </row>
    <row r="218" spans="1:14" x14ac:dyDescent="0.3">
      <c r="A218" t="s">
        <v>1335</v>
      </c>
      <c r="B218" s="2">
        <v>46238</v>
      </c>
      <c r="C218" s="2">
        <v>46239</v>
      </c>
      <c r="D218" s="1" t="s">
        <v>497</v>
      </c>
      <c r="E218" t="s">
        <v>498</v>
      </c>
      <c r="F218" t="s">
        <v>438</v>
      </c>
      <c r="G218">
        <v>1052</v>
      </c>
      <c r="H218">
        <v>1042</v>
      </c>
      <c r="I218" s="5">
        <v>930</v>
      </c>
      <c r="J218" s="5">
        <v>112</v>
      </c>
      <c r="K218" s="5">
        <v>99</v>
      </c>
      <c r="L218" s="5">
        <v>11</v>
      </c>
      <c r="M218" t="s">
        <v>20</v>
      </c>
      <c r="N218" t="s">
        <v>421</v>
      </c>
    </row>
    <row r="219" spans="1:14" x14ac:dyDescent="0.3">
      <c r="A219" t="s">
        <v>1326</v>
      </c>
      <c r="B219" s="2">
        <v>46238</v>
      </c>
      <c r="C219" s="2">
        <v>46240</v>
      </c>
      <c r="D219" s="1" t="s">
        <v>451</v>
      </c>
      <c r="E219" t="s">
        <v>452</v>
      </c>
      <c r="F219" t="s">
        <v>425</v>
      </c>
      <c r="G219">
        <v>2304</v>
      </c>
      <c r="H219">
        <v>1611</v>
      </c>
      <c r="I219" s="5">
        <v>1470</v>
      </c>
      <c r="J219" s="5">
        <v>141</v>
      </c>
      <c r="K219" s="5">
        <v>70</v>
      </c>
      <c r="L219" s="5">
        <v>9</v>
      </c>
      <c r="M219" t="s">
        <v>20</v>
      </c>
      <c r="N219" t="s">
        <v>421</v>
      </c>
    </row>
    <row r="220" spans="1:14" x14ac:dyDescent="0.3">
      <c r="A220" t="s">
        <v>1330</v>
      </c>
      <c r="B220" s="2">
        <v>46238</v>
      </c>
      <c r="C220" s="2">
        <v>46239</v>
      </c>
      <c r="D220" s="1" t="s">
        <v>472</v>
      </c>
      <c r="E220" t="s">
        <v>473</v>
      </c>
      <c r="F220" t="s">
        <v>438</v>
      </c>
      <c r="G220">
        <v>234</v>
      </c>
      <c r="H220">
        <v>261</v>
      </c>
      <c r="I220" s="5">
        <v>244</v>
      </c>
      <c r="J220" s="5">
        <v>17</v>
      </c>
      <c r="K220" s="5">
        <v>112</v>
      </c>
      <c r="L220" s="5">
        <v>7</v>
      </c>
      <c r="M220" t="s">
        <v>20</v>
      </c>
      <c r="N220" t="s">
        <v>421</v>
      </c>
    </row>
    <row r="221" spans="1:14" x14ac:dyDescent="0.3">
      <c r="A221" t="s">
        <v>1340</v>
      </c>
      <c r="B221" s="2">
        <v>46238</v>
      </c>
      <c r="C221" s="2">
        <v>46239</v>
      </c>
      <c r="D221" s="1" t="s">
        <v>562</v>
      </c>
      <c r="E221" t="s">
        <v>563</v>
      </c>
      <c r="F221" t="s">
        <v>438</v>
      </c>
      <c r="G221">
        <v>662</v>
      </c>
      <c r="H221">
        <v>578</v>
      </c>
      <c r="I221" s="5">
        <v>540</v>
      </c>
      <c r="J221" s="5">
        <v>38</v>
      </c>
      <c r="K221" s="5">
        <v>87</v>
      </c>
      <c r="L221" s="5">
        <v>7</v>
      </c>
      <c r="M221" t="s">
        <v>20</v>
      </c>
      <c r="N221" t="s">
        <v>421</v>
      </c>
    </row>
    <row r="222" spans="1:14" x14ac:dyDescent="0.3">
      <c r="A222" t="s">
        <v>1345</v>
      </c>
      <c r="B222" s="2">
        <v>46238</v>
      </c>
      <c r="C222" s="2">
        <v>46239</v>
      </c>
      <c r="D222" s="1" t="s">
        <v>591</v>
      </c>
      <c r="E222" t="s">
        <v>592</v>
      </c>
      <c r="F222" t="s">
        <v>438</v>
      </c>
      <c r="G222">
        <v>2340</v>
      </c>
      <c r="H222">
        <v>2104</v>
      </c>
      <c r="I222" s="5">
        <v>1960</v>
      </c>
      <c r="J222" s="5">
        <v>144</v>
      </c>
      <c r="K222" s="5">
        <v>90</v>
      </c>
      <c r="L222" s="5">
        <v>7</v>
      </c>
      <c r="M222" t="s">
        <v>20</v>
      </c>
      <c r="N222" t="s">
        <v>421</v>
      </c>
    </row>
    <row r="223" spans="1:14" x14ac:dyDescent="0.3">
      <c r="A223" t="s">
        <v>1440</v>
      </c>
      <c r="B223" s="2">
        <v>46238</v>
      </c>
      <c r="C223" s="2">
        <v>46238</v>
      </c>
      <c r="D223" s="1" t="s">
        <v>1000</v>
      </c>
      <c r="E223" t="s">
        <v>1001</v>
      </c>
      <c r="F223" t="s">
        <v>425</v>
      </c>
      <c r="G223">
        <v>2445</v>
      </c>
      <c r="H223">
        <v>2261</v>
      </c>
      <c r="I223" s="5">
        <v>2130</v>
      </c>
      <c r="J223" s="5">
        <v>131</v>
      </c>
      <c r="K223" s="5">
        <v>92</v>
      </c>
      <c r="L223" s="5">
        <v>6</v>
      </c>
      <c r="M223" t="s">
        <v>20</v>
      </c>
      <c r="N223" t="s">
        <v>421</v>
      </c>
    </row>
    <row r="224" spans="1:14" x14ac:dyDescent="0.3">
      <c r="A224" t="s">
        <v>1347</v>
      </c>
      <c r="B224" s="2">
        <v>46238</v>
      </c>
      <c r="C224" s="2">
        <v>46239</v>
      </c>
      <c r="D224" s="1" t="s">
        <v>603</v>
      </c>
      <c r="E224" t="s">
        <v>604</v>
      </c>
      <c r="F224" t="s">
        <v>438</v>
      </c>
      <c r="G224">
        <v>900</v>
      </c>
      <c r="H224">
        <v>914</v>
      </c>
      <c r="I224" s="5">
        <v>864</v>
      </c>
      <c r="J224" s="5">
        <v>50</v>
      </c>
      <c r="K224" s="5">
        <v>102</v>
      </c>
      <c r="L224" s="5">
        <v>5</v>
      </c>
      <c r="M224" t="s">
        <v>20</v>
      </c>
      <c r="N224" t="s">
        <v>421</v>
      </c>
    </row>
    <row r="225" spans="1:14" x14ac:dyDescent="0.3">
      <c r="A225" t="s">
        <v>1372</v>
      </c>
      <c r="B225" s="2">
        <v>46238</v>
      </c>
      <c r="C225" s="2">
        <v>46239</v>
      </c>
      <c r="D225" s="1" t="s">
        <v>710</v>
      </c>
      <c r="E225" t="s">
        <v>711</v>
      </c>
      <c r="F225" t="s">
        <v>438</v>
      </c>
      <c r="G225">
        <v>6560</v>
      </c>
      <c r="H225">
        <v>6380</v>
      </c>
      <c r="I225" s="5">
        <v>6080</v>
      </c>
      <c r="J225" s="5">
        <v>300</v>
      </c>
      <c r="K225" s="5">
        <v>97</v>
      </c>
      <c r="L225" s="5">
        <v>5</v>
      </c>
      <c r="M225" t="s">
        <v>20</v>
      </c>
      <c r="N225" t="s">
        <v>421</v>
      </c>
    </row>
    <row r="226" spans="1:14" x14ac:dyDescent="0.3">
      <c r="A226" t="s">
        <v>1383</v>
      </c>
      <c r="B226" s="2">
        <v>46238</v>
      </c>
      <c r="C226" s="2">
        <v>46239</v>
      </c>
      <c r="D226" s="1" t="s">
        <v>754</v>
      </c>
      <c r="E226" t="s">
        <v>755</v>
      </c>
      <c r="F226" t="s">
        <v>438</v>
      </c>
      <c r="G226">
        <v>195</v>
      </c>
      <c r="H226">
        <v>194</v>
      </c>
      <c r="I226" s="5">
        <v>185</v>
      </c>
      <c r="J226" s="5">
        <v>9</v>
      </c>
      <c r="K226" s="5">
        <v>99</v>
      </c>
      <c r="L226" s="5">
        <v>5</v>
      </c>
      <c r="M226" t="s">
        <v>20</v>
      </c>
      <c r="N226" t="s">
        <v>421</v>
      </c>
    </row>
    <row r="227" spans="1:14" x14ac:dyDescent="0.3">
      <c r="A227" t="s">
        <v>1461</v>
      </c>
      <c r="B227" s="2">
        <v>46238</v>
      </c>
      <c r="C227" s="2">
        <v>46239</v>
      </c>
      <c r="D227" s="1" t="s">
        <v>1106</v>
      </c>
      <c r="E227" t="s">
        <v>1107</v>
      </c>
      <c r="F227" t="s">
        <v>425</v>
      </c>
      <c r="G227">
        <v>1605</v>
      </c>
      <c r="H227">
        <v>1125</v>
      </c>
      <c r="I227" s="5">
        <v>1065</v>
      </c>
      <c r="J227" s="5">
        <v>60</v>
      </c>
      <c r="K227" s="5">
        <v>70</v>
      </c>
      <c r="L227" s="5">
        <v>5</v>
      </c>
      <c r="M227" t="s">
        <v>20</v>
      </c>
      <c r="N227" t="s">
        <v>421</v>
      </c>
    </row>
    <row r="228" spans="1:14" x14ac:dyDescent="0.3">
      <c r="A228" t="s">
        <v>1457</v>
      </c>
      <c r="B228" s="2">
        <v>46238</v>
      </c>
      <c r="C228" s="2">
        <v>46239</v>
      </c>
      <c r="D228" s="1" t="s">
        <v>1098</v>
      </c>
      <c r="E228" t="s">
        <v>1099</v>
      </c>
      <c r="F228" t="s">
        <v>438</v>
      </c>
      <c r="G228">
        <v>1200</v>
      </c>
      <c r="H228">
        <v>1367</v>
      </c>
      <c r="I228" s="5">
        <v>1310</v>
      </c>
      <c r="J228" s="5">
        <v>57</v>
      </c>
      <c r="K228" s="5">
        <v>114</v>
      </c>
      <c r="L228" s="5">
        <v>4</v>
      </c>
      <c r="M228" t="s">
        <v>20</v>
      </c>
      <c r="N228" t="s">
        <v>421</v>
      </c>
    </row>
    <row r="229" spans="1:14" x14ac:dyDescent="0.3">
      <c r="A229" t="s">
        <v>1343</v>
      </c>
      <c r="B229" s="2">
        <v>46238</v>
      </c>
      <c r="C229" s="2">
        <v>46239</v>
      </c>
      <c r="D229" s="1" t="s">
        <v>566</v>
      </c>
      <c r="E229" t="s">
        <v>567</v>
      </c>
      <c r="F229" t="s">
        <v>438</v>
      </c>
      <c r="G229">
        <v>1660</v>
      </c>
      <c r="H229">
        <v>1697</v>
      </c>
      <c r="I229" s="5">
        <v>1650</v>
      </c>
      <c r="J229" s="5">
        <v>47</v>
      </c>
      <c r="K229" s="5">
        <v>102</v>
      </c>
      <c r="L229" s="5">
        <v>3</v>
      </c>
      <c r="M229" t="s">
        <v>20</v>
      </c>
      <c r="N229" t="s">
        <v>421</v>
      </c>
    </row>
    <row r="230" spans="1:14" x14ac:dyDescent="0.3">
      <c r="A230" t="s">
        <v>1419</v>
      </c>
      <c r="B230" s="2">
        <v>46238</v>
      </c>
      <c r="C230" s="2">
        <v>46239</v>
      </c>
      <c r="D230" s="1" t="s">
        <v>1420</v>
      </c>
      <c r="E230" t="s">
        <v>1421</v>
      </c>
      <c r="F230" t="s">
        <v>495</v>
      </c>
      <c r="G230">
        <v>1410</v>
      </c>
      <c r="H230">
        <v>1335</v>
      </c>
      <c r="I230" s="5">
        <v>1296</v>
      </c>
      <c r="J230" s="5">
        <v>39</v>
      </c>
      <c r="K230" s="5">
        <v>95</v>
      </c>
      <c r="L230" s="5">
        <v>3</v>
      </c>
      <c r="M230" t="s">
        <v>20</v>
      </c>
      <c r="N230" t="s">
        <v>421</v>
      </c>
    </row>
    <row r="231" spans="1:14" x14ac:dyDescent="0.3">
      <c r="A231" t="s">
        <v>1447</v>
      </c>
      <c r="B231" s="2">
        <v>46238</v>
      </c>
      <c r="C231" s="2">
        <v>46240</v>
      </c>
      <c r="D231" s="1" t="s">
        <v>1033</v>
      </c>
      <c r="E231" t="s">
        <v>1034</v>
      </c>
      <c r="F231" t="s">
        <v>438</v>
      </c>
      <c r="G231">
        <v>204</v>
      </c>
      <c r="H231">
        <v>187</v>
      </c>
      <c r="I231" s="5">
        <v>181</v>
      </c>
      <c r="J231" s="5">
        <v>6</v>
      </c>
      <c r="K231" s="5">
        <v>92</v>
      </c>
      <c r="L231" s="5">
        <v>3</v>
      </c>
      <c r="M231" t="s">
        <v>20</v>
      </c>
      <c r="N231" t="s">
        <v>421</v>
      </c>
    </row>
    <row r="232" spans="1:14" x14ac:dyDescent="0.3">
      <c r="A232" t="s">
        <v>1321</v>
      </c>
      <c r="B232" s="2">
        <v>46238</v>
      </c>
      <c r="C232" s="2">
        <v>46239</v>
      </c>
      <c r="D232" s="1" t="s">
        <v>423</v>
      </c>
      <c r="E232" t="s">
        <v>424</v>
      </c>
      <c r="F232" t="s">
        <v>425</v>
      </c>
      <c r="G232">
        <v>792</v>
      </c>
      <c r="H232">
        <v>875</v>
      </c>
      <c r="I232" s="5">
        <v>854</v>
      </c>
      <c r="J232" s="5">
        <v>21</v>
      </c>
      <c r="K232" s="5">
        <v>110</v>
      </c>
      <c r="L232" s="5">
        <v>2</v>
      </c>
      <c r="M232" t="s">
        <v>20</v>
      </c>
      <c r="N232" t="s">
        <v>421</v>
      </c>
    </row>
    <row r="233" spans="1:14" x14ac:dyDescent="0.3">
      <c r="A233" t="s">
        <v>1323</v>
      </c>
      <c r="B233" s="2">
        <v>46238</v>
      </c>
      <c r="C233" s="2">
        <v>46239</v>
      </c>
      <c r="D233" s="1" t="s">
        <v>436</v>
      </c>
      <c r="E233" t="s">
        <v>437</v>
      </c>
      <c r="F233" t="s">
        <v>438</v>
      </c>
      <c r="G233">
        <v>501</v>
      </c>
      <c r="H233">
        <v>479</v>
      </c>
      <c r="I233" s="5">
        <v>470</v>
      </c>
      <c r="J233" s="5">
        <v>9</v>
      </c>
      <c r="K233" s="5">
        <v>96</v>
      </c>
      <c r="L233" s="5">
        <v>2</v>
      </c>
      <c r="M233" t="s">
        <v>20</v>
      </c>
      <c r="N233" t="s">
        <v>421</v>
      </c>
    </row>
    <row r="234" spans="1:14" x14ac:dyDescent="0.3">
      <c r="A234" t="s">
        <v>1404</v>
      </c>
      <c r="B234" s="2">
        <v>46238</v>
      </c>
      <c r="C234" s="2">
        <v>46239</v>
      </c>
      <c r="D234" s="1" t="s">
        <v>833</v>
      </c>
      <c r="E234" t="s">
        <v>834</v>
      </c>
      <c r="F234" t="s">
        <v>425</v>
      </c>
      <c r="G234">
        <v>2160</v>
      </c>
      <c r="H234">
        <v>1352</v>
      </c>
      <c r="I234" s="5">
        <v>1320</v>
      </c>
      <c r="J234" s="5">
        <v>32</v>
      </c>
      <c r="K234" s="5">
        <v>63</v>
      </c>
      <c r="L234" s="5">
        <v>2</v>
      </c>
      <c r="M234" t="s">
        <v>20</v>
      </c>
      <c r="N234" t="s">
        <v>421</v>
      </c>
    </row>
    <row r="235" spans="1:14" x14ac:dyDescent="0.3">
      <c r="A235" t="s">
        <v>1410</v>
      </c>
      <c r="B235" s="2">
        <v>46238</v>
      </c>
      <c r="C235" s="2">
        <v>46239</v>
      </c>
      <c r="D235" s="1" t="s">
        <v>840</v>
      </c>
      <c r="E235" t="s">
        <v>841</v>
      </c>
      <c r="F235" t="s">
        <v>425</v>
      </c>
      <c r="G235">
        <v>3400</v>
      </c>
      <c r="H235">
        <v>3222</v>
      </c>
      <c r="I235" s="5">
        <v>3150</v>
      </c>
      <c r="J235" s="5">
        <v>72</v>
      </c>
      <c r="K235" s="5">
        <v>95</v>
      </c>
      <c r="L235" s="5">
        <v>2</v>
      </c>
      <c r="M235" t="s">
        <v>20</v>
      </c>
      <c r="N235" t="s">
        <v>421</v>
      </c>
    </row>
    <row r="236" spans="1:14" x14ac:dyDescent="0.3">
      <c r="A236" t="s">
        <v>1415</v>
      </c>
      <c r="B236" s="2">
        <v>46238</v>
      </c>
      <c r="C236" s="2">
        <v>46239</v>
      </c>
      <c r="D236" s="1" t="s">
        <v>852</v>
      </c>
      <c r="E236" t="s">
        <v>853</v>
      </c>
      <c r="F236" t="s">
        <v>425</v>
      </c>
      <c r="G236">
        <v>1223</v>
      </c>
      <c r="H236">
        <v>1197</v>
      </c>
      <c r="I236" s="5">
        <v>1170</v>
      </c>
      <c r="J236" s="5">
        <v>27</v>
      </c>
      <c r="K236" s="5">
        <v>98</v>
      </c>
      <c r="L236" s="5">
        <v>2</v>
      </c>
      <c r="M236" t="s">
        <v>20</v>
      </c>
      <c r="N236" t="s">
        <v>421</v>
      </c>
    </row>
    <row r="237" spans="1:14" x14ac:dyDescent="0.3">
      <c r="A237" t="s">
        <v>1376</v>
      </c>
      <c r="B237" s="2">
        <v>46238</v>
      </c>
      <c r="C237" s="2">
        <v>46239</v>
      </c>
      <c r="D237" s="1" t="s">
        <v>722</v>
      </c>
      <c r="E237" t="s">
        <v>723</v>
      </c>
      <c r="F237" t="s">
        <v>438</v>
      </c>
      <c r="G237">
        <v>9792</v>
      </c>
      <c r="H237">
        <v>9510</v>
      </c>
      <c r="I237" s="5">
        <v>9450</v>
      </c>
      <c r="J237" s="5">
        <v>60</v>
      </c>
      <c r="K237" s="5">
        <v>97</v>
      </c>
      <c r="L237" s="5">
        <v>1</v>
      </c>
      <c r="M237" t="s">
        <v>20</v>
      </c>
      <c r="N237" t="s">
        <v>421</v>
      </c>
    </row>
    <row r="238" spans="1:14" x14ac:dyDescent="0.3">
      <c r="A238" t="s">
        <v>1382</v>
      </c>
      <c r="B238" s="2">
        <v>46238</v>
      </c>
      <c r="C238" s="2">
        <v>46239</v>
      </c>
      <c r="D238" s="1" t="s">
        <v>754</v>
      </c>
      <c r="E238" t="s">
        <v>755</v>
      </c>
      <c r="F238" t="s">
        <v>438</v>
      </c>
      <c r="G238">
        <v>429</v>
      </c>
      <c r="H238">
        <v>429</v>
      </c>
      <c r="I238" s="5">
        <v>426</v>
      </c>
      <c r="J238" s="5">
        <v>3</v>
      </c>
      <c r="K238" s="5">
        <v>100</v>
      </c>
      <c r="L238" s="5">
        <v>1</v>
      </c>
      <c r="M238" t="s">
        <v>20</v>
      </c>
      <c r="N238" t="s">
        <v>421</v>
      </c>
    </row>
    <row r="239" spans="1:14" x14ac:dyDescent="0.3">
      <c r="A239" t="s">
        <v>1454</v>
      </c>
      <c r="B239" s="2">
        <v>46238</v>
      </c>
      <c r="C239" s="2">
        <v>46239</v>
      </c>
      <c r="D239" s="1" t="s">
        <v>1081</v>
      </c>
      <c r="E239" t="s">
        <v>1453</v>
      </c>
      <c r="F239" t="s">
        <v>677</v>
      </c>
      <c r="G239">
        <v>1600</v>
      </c>
      <c r="H239">
        <v>1510</v>
      </c>
      <c r="I239" s="5">
        <v>1500</v>
      </c>
      <c r="J239" s="5">
        <v>10</v>
      </c>
      <c r="K239" s="5">
        <v>94</v>
      </c>
      <c r="L239" s="5">
        <v>1</v>
      </c>
      <c r="M239" t="s">
        <v>20</v>
      </c>
      <c r="N239" t="s">
        <v>421</v>
      </c>
    </row>
    <row r="240" spans="1:14" x14ac:dyDescent="0.3">
      <c r="A240" t="s">
        <v>1455</v>
      </c>
      <c r="B240" s="2">
        <v>46238</v>
      </c>
      <c r="C240" s="2">
        <v>46239</v>
      </c>
      <c r="D240" s="1" t="s">
        <v>1085</v>
      </c>
      <c r="E240" t="s">
        <v>1086</v>
      </c>
      <c r="F240" t="s">
        <v>438</v>
      </c>
      <c r="G240">
        <v>600</v>
      </c>
      <c r="H240">
        <v>600</v>
      </c>
      <c r="I240" s="5">
        <v>596</v>
      </c>
      <c r="J240" s="5">
        <v>4</v>
      </c>
      <c r="K240" s="5">
        <v>100</v>
      </c>
      <c r="L240" s="5">
        <v>1</v>
      </c>
      <c r="M240" t="s">
        <v>20</v>
      </c>
      <c r="N240" t="s">
        <v>421</v>
      </c>
    </row>
    <row r="241" spans="1:14" x14ac:dyDescent="0.3">
      <c r="A241" t="s">
        <v>1448</v>
      </c>
      <c r="B241" s="2">
        <v>46238</v>
      </c>
      <c r="C241" s="2">
        <v>46240</v>
      </c>
      <c r="D241" s="1" t="s">
        <v>1045</v>
      </c>
      <c r="E241" t="s">
        <v>1046</v>
      </c>
      <c r="F241" t="s">
        <v>438</v>
      </c>
      <c r="G241">
        <v>204</v>
      </c>
      <c r="H241">
        <v>204</v>
      </c>
      <c r="I241" s="5">
        <v>202</v>
      </c>
      <c r="J241" s="5">
        <v>2</v>
      </c>
      <c r="K241" s="5">
        <v>100</v>
      </c>
      <c r="L241" s="5">
        <v>1</v>
      </c>
      <c r="M241" t="s">
        <v>20</v>
      </c>
      <c r="N241" t="s">
        <v>421</v>
      </c>
    </row>
    <row r="242" spans="1:14" x14ac:dyDescent="0.3">
      <c r="A242" t="s">
        <v>1358</v>
      </c>
      <c r="B242" s="2">
        <v>46238</v>
      </c>
      <c r="C242" s="2">
        <v>46238</v>
      </c>
      <c r="D242" s="1" t="s">
        <v>671</v>
      </c>
      <c r="E242" t="s">
        <v>672</v>
      </c>
      <c r="F242" t="s">
        <v>532</v>
      </c>
      <c r="G242">
        <v>750</v>
      </c>
      <c r="H242">
        <v>751</v>
      </c>
      <c r="I242" s="5">
        <v>750</v>
      </c>
      <c r="J242" s="5">
        <v>1</v>
      </c>
      <c r="K242" s="5">
        <v>100</v>
      </c>
      <c r="L242" s="5">
        <v>0</v>
      </c>
      <c r="M242" t="s">
        <v>20</v>
      </c>
      <c r="N242" t="s">
        <v>421</v>
      </c>
    </row>
    <row r="243" spans="1:14" x14ac:dyDescent="0.3">
      <c r="A243" t="s">
        <v>1338</v>
      </c>
      <c r="B243" s="2">
        <v>46238</v>
      </c>
      <c r="C243" s="2">
        <v>46239</v>
      </c>
      <c r="D243" s="1" t="s">
        <v>524</v>
      </c>
      <c r="E243" t="s">
        <v>525</v>
      </c>
      <c r="F243" t="s">
        <v>438</v>
      </c>
      <c r="G243">
        <v>112</v>
      </c>
      <c r="H243">
        <v>114</v>
      </c>
      <c r="I243" s="5">
        <v>114</v>
      </c>
      <c r="J243" s="5">
        <v>0</v>
      </c>
      <c r="K243" s="5">
        <v>102</v>
      </c>
      <c r="L243" s="5">
        <v>0</v>
      </c>
      <c r="M243" t="s">
        <v>20</v>
      </c>
      <c r="N243" t="s">
        <v>421</v>
      </c>
    </row>
    <row r="244" spans="1:14" x14ac:dyDescent="0.3">
      <c r="A244" t="s">
        <v>1350</v>
      </c>
      <c r="B244" s="2">
        <v>46238</v>
      </c>
      <c r="C244" s="2">
        <v>46239</v>
      </c>
      <c r="D244" s="1" t="s">
        <v>619</v>
      </c>
      <c r="E244" t="s">
        <v>620</v>
      </c>
      <c r="F244" t="s">
        <v>420</v>
      </c>
      <c r="G244">
        <v>53</v>
      </c>
      <c r="H244">
        <v>53</v>
      </c>
      <c r="I244" s="5">
        <v>53</v>
      </c>
      <c r="J244" s="5">
        <v>0</v>
      </c>
      <c r="K244" s="5">
        <v>100</v>
      </c>
      <c r="L244" s="5">
        <v>0</v>
      </c>
      <c r="M244" t="s">
        <v>20</v>
      </c>
      <c r="N244" t="s">
        <v>421</v>
      </c>
    </row>
    <row r="245" spans="1:14" x14ac:dyDescent="0.3">
      <c r="A245" t="s">
        <v>1354</v>
      </c>
      <c r="B245" s="2">
        <v>46238</v>
      </c>
      <c r="C245" s="2">
        <v>46239</v>
      </c>
      <c r="D245" s="1" t="s">
        <v>654</v>
      </c>
      <c r="E245" t="s">
        <v>655</v>
      </c>
      <c r="F245" t="s">
        <v>438</v>
      </c>
      <c r="G245">
        <v>160</v>
      </c>
      <c r="H245">
        <v>211</v>
      </c>
      <c r="I245" s="5">
        <v>210</v>
      </c>
      <c r="J245" s="5">
        <v>1</v>
      </c>
      <c r="K245" s="5">
        <v>132</v>
      </c>
      <c r="L245" s="5">
        <v>0</v>
      </c>
      <c r="M245" t="s">
        <v>20</v>
      </c>
      <c r="N245" t="s">
        <v>421</v>
      </c>
    </row>
    <row r="246" spans="1:14" x14ac:dyDescent="0.3">
      <c r="A246" t="s">
        <v>1360</v>
      </c>
      <c r="B246" s="2">
        <v>46238</v>
      </c>
      <c r="C246" s="2">
        <v>46239</v>
      </c>
      <c r="D246" s="1" t="s">
        <v>675</v>
      </c>
      <c r="E246" t="s">
        <v>676</v>
      </c>
      <c r="F246" t="s">
        <v>677</v>
      </c>
      <c r="G246">
        <v>500</v>
      </c>
      <c r="H246">
        <v>460</v>
      </c>
      <c r="I246" s="5">
        <v>460</v>
      </c>
      <c r="J246" s="5">
        <v>0</v>
      </c>
      <c r="K246" s="5">
        <v>92</v>
      </c>
      <c r="L246" s="5">
        <v>0</v>
      </c>
      <c r="M246" t="s">
        <v>20</v>
      </c>
      <c r="N246" t="s">
        <v>421</v>
      </c>
    </row>
    <row r="247" spans="1:14" x14ac:dyDescent="0.3">
      <c r="A247" t="s">
        <v>1365</v>
      </c>
      <c r="B247" s="2">
        <v>46238</v>
      </c>
      <c r="C247" s="2">
        <v>46239</v>
      </c>
      <c r="D247" s="1" t="s">
        <v>689</v>
      </c>
      <c r="E247" t="s">
        <v>690</v>
      </c>
      <c r="F247" t="s">
        <v>532</v>
      </c>
      <c r="G247">
        <v>750</v>
      </c>
      <c r="H247">
        <v>710</v>
      </c>
      <c r="I247" s="5">
        <v>710</v>
      </c>
      <c r="J247" s="5">
        <v>0</v>
      </c>
      <c r="K247" s="5">
        <v>95</v>
      </c>
      <c r="L247" s="5">
        <v>0</v>
      </c>
      <c r="M247" t="s">
        <v>20</v>
      </c>
      <c r="N247" t="s">
        <v>421</v>
      </c>
    </row>
    <row r="248" spans="1:14" x14ac:dyDescent="0.3">
      <c r="A248" t="s">
        <v>1387</v>
      </c>
      <c r="B248" s="2">
        <v>46238</v>
      </c>
      <c r="C248" s="2">
        <v>46239</v>
      </c>
      <c r="D248" s="1" t="s">
        <v>773</v>
      </c>
      <c r="E248" t="s">
        <v>774</v>
      </c>
      <c r="F248" t="s">
        <v>420</v>
      </c>
      <c r="G248">
        <v>660</v>
      </c>
      <c r="H248">
        <v>660</v>
      </c>
      <c r="I248" s="5">
        <v>660</v>
      </c>
      <c r="J248" s="5">
        <v>0</v>
      </c>
      <c r="K248" s="5">
        <v>100</v>
      </c>
      <c r="L248" s="5">
        <v>0</v>
      </c>
      <c r="M248" t="s">
        <v>20</v>
      </c>
      <c r="N248" t="s">
        <v>421</v>
      </c>
    </row>
    <row r="249" spans="1:14" x14ac:dyDescent="0.3">
      <c r="A249" t="s">
        <v>1391</v>
      </c>
      <c r="B249" s="2">
        <v>46238</v>
      </c>
      <c r="C249" s="2">
        <v>46239</v>
      </c>
      <c r="D249" s="1" t="s">
        <v>788</v>
      </c>
      <c r="E249" t="s">
        <v>789</v>
      </c>
      <c r="F249" t="s">
        <v>420</v>
      </c>
      <c r="G249">
        <v>550</v>
      </c>
      <c r="H249">
        <v>550</v>
      </c>
      <c r="I249" s="5">
        <v>550</v>
      </c>
      <c r="J249" s="5">
        <v>0</v>
      </c>
      <c r="K249" s="5">
        <v>100</v>
      </c>
      <c r="L249" s="5">
        <v>0</v>
      </c>
      <c r="M249" t="s">
        <v>20</v>
      </c>
      <c r="N249" t="s">
        <v>421</v>
      </c>
    </row>
    <row r="250" spans="1:14" x14ac:dyDescent="0.3">
      <c r="A250" t="s">
        <v>1393</v>
      </c>
      <c r="B250" s="2">
        <v>46238</v>
      </c>
      <c r="C250" s="2">
        <v>46239</v>
      </c>
      <c r="D250" s="1" t="s">
        <v>802</v>
      </c>
      <c r="E250" t="s">
        <v>803</v>
      </c>
      <c r="F250" t="s">
        <v>420</v>
      </c>
      <c r="G250">
        <v>270</v>
      </c>
      <c r="H250">
        <v>270</v>
      </c>
      <c r="I250" s="5">
        <v>270</v>
      </c>
      <c r="J250" s="5">
        <v>0</v>
      </c>
      <c r="K250" s="5">
        <v>100</v>
      </c>
      <c r="L250" s="5">
        <v>0</v>
      </c>
      <c r="M250" t="s">
        <v>20</v>
      </c>
      <c r="N250" t="s">
        <v>421</v>
      </c>
    </row>
    <row r="251" spans="1:14" x14ac:dyDescent="0.3">
      <c r="A251" t="s">
        <v>1397</v>
      </c>
      <c r="B251" s="2">
        <v>46238</v>
      </c>
      <c r="C251" s="2">
        <v>46239</v>
      </c>
      <c r="D251" s="1" t="s">
        <v>805</v>
      </c>
      <c r="E251" t="s">
        <v>806</v>
      </c>
      <c r="F251" t="s">
        <v>420</v>
      </c>
      <c r="G251">
        <v>1154</v>
      </c>
      <c r="H251">
        <v>1154</v>
      </c>
      <c r="I251" s="5">
        <v>1154</v>
      </c>
      <c r="J251" s="5">
        <v>0</v>
      </c>
      <c r="K251" s="5">
        <v>100</v>
      </c>
      <c r="L251" s="5">
        <v>0</v>
      </c>
      <c r="M251" t="s">
        <v>20</v>
      </c>
      <c r="N251" t="s">
        <v>421</v>
      </c>
    </row>
    <row r="252" spans="1:14" x14ac:dyDescent="0.3">
      <c r="A252" t="s">
        <v>1423</v>
      </c>
      <c r="B252" s="2">
        <v>46238</v>
      </c>
      <c r="C252" s="2">
        <v>46239</v>
      </c>
      <c r="D252" s="1" t="s">
        <v>908</v>
      </c>
      <c r="E252" t="s">
        <v>909</v>
      </c>
      <c r="F252" t="s">
        <v>532</v>
      </c>
      <c r="G252">
        <v>425</v>
      </c>
      <c r="H252">
        <v>425</v>
      </c>
      <c r="I252" s="5">
        <v>425</v>
      </c>
      <c r="J252" s="5">
        <v>0</v>
      </c>
      <c r="K252" s="5">
        <v>100</v>
      </c>
      <c r="L252" s="5">
        <v>0</v>
      </c>
      <c r="M252" t="s">
        <v>20</v>
      </c>
      <c r="N252" t="s">
        <v>421</v>
      </c>
    </row>
    <row r="253" spans="1:14" x14ac:dyDescent="0.3">
      <c r="A253" t="s">
        <v>1427</v>
      </c>
      <c r="B253" s="2">
        <v>46238</v>
      </c>
      <c r="C253" s="2">
        <v>46239</v>
      </c>
      <c r="D253" s="1" t="s">
        <v>942</v>
      </c>
      <c r="E253" t="s">
        <v>943</v>
      </c>
      <c r="F253" t="s">
        <v>420</v>
      </c>
      <c r="G253">
        <v>76</v>
      </c>
      <c r="H253">
        <v>76</v>
      </c>
      <c r="I253" s="5">
        <v>76</v>
      </c>
      <c r="J253" s="5">
        <v>0</v>
      </c>
      <c r="K253" s="5">
        <v>100</v>
      </c>
      <c r="L253" s="5">
        <v>0</v>
      </c>
      <c r="M253" t="s">
        <v>20</v>
      </c>
      <c r="N253" t="s">
        <v>421</v>
      </c>
    </row>
    <row r="254" spans="1:14" x14ac:dyDescent="0.3">
      <c r="A254" t="s">
        <v>1432</v>
      </c>
      <c r="B254" s="2">
        <v>46238</v>
      </c>
      <c r="C254" s="2">
        <v>46239</v>
      </c>
      <c r="D254" s="1" t="s">
        <v>958</v>
      </c>
      <c r="E254" t="s">
        <v>959</v>
      </c>
      <c r="F254" t="s">
        <v>420</v>
      </c>
      <c r="G254">
        <v>132</v>
      </c>
      <c r="H254">
        <v>140</v>
      </c>
      <c r="I254" s="5">
        <v>140</v>
      </c>
      <c r="J254" s="5">
        <v>0</v>
      </c>
      <c r="K254" s="5">
        <v>106</v>
      </c>
      <c r="L254" s="5">
        <v>0</v>
      </c>
      <c r="M254" t="s">
        <v>20</v>
      </c>
      <c r="N254" t="s">
        <v>421</v>
      </c>
    </row>
    <row r="255" spans="1:14" x14ac:dyDescent="0.3">
      <c r="A255" t="s">
        <v>1435</v>
      </c>
      <c r="B255" s="2">
        <v>46238</v>
      </c>
      <c r="C255" s="2">
        <v>46239</v>
      </c>
      <c r="D255" s="1" t="s">
        <v>974</v>
      </c>
      <c r="E255" t="s">
        <v>975</v>
      </c>
      <c r="F255" t="s">
        <v>420</v>
      </c>
      <c r="G255">
        <v>65</v>
      </c>
      <c r="H255">
        <v>68</v>
      </c>
      <c r="I255" s="5">
        <v>68</v>
      </c>
      <c r="J255" s="5">
        <v>0</v>
      </c>
      <c r="K255" s="5">
        <v>104</v>
      </c>
      <c r="L255" s="5">
        <v>0</v>
      </c>
      <c r="M255" t="s">
        <v>20</v>
      </c>
      <c r="N255" t="s">
        <v>421</v>
      </c>
    </row>
    <row r="256" spans="1:14" x14ac:dyDescent="0.3">
      <c r="A256" t="s">
        <v>1437</v>
      </c>
      <c r="B256" s="2">
        <v>46238</v>
      </c>
      <c r="C256" s="2">
        <v>46239</v>
      </c>
      <c r="D256" s="1" t="s">
        <v>987</v>
      </c>
      <c r="E256" t="s">
        <v>988</v>
      </c>
      <c r="F256" t="s">
        <v>420</v>
      </c>
      <c r="G256">
        <v>126</v>
      </c>
      <c r="H256">
        <v>134</v>
      </c>
      <c r="I256" s="5">
        <v>134</v>
      </c>
      <c r="J256" s="5">
        <v>0</v>
      </c>
      <c r="K256" s="5">
        <v>106</v>
      </c>
      <c r="L256" s="5">
        <v>0</v>
      </c>
      <c r="M256" t="s">
        <v>20</v>
      </c>
      <c r="N256" t="s">
        <v>421</v>
      </c>
    </row>
    <row r="257" spans="1:14" x14ac:dyDescent="0.3">
      <c r="A257" t="s">
        <v>1452</v>
      </c>
      <c r="B257" s="2">
        <v>46238</v>
      </c>
      <c r="C257" s="2">
        <v>46239</v>
      </c>
      <c r="D257" s="1" t="s">
        <v>1073</v>
      </c>
      <c r="E257" t="s">
        <v>1074</v>
      </c>
      <c r="F257" t="s">
        <v>677</v>
      </c>
      <c r="G257">
        <v>3000</v>
      </c>
      <c r="H257">
        <v>3188</v>
      </c>
      <c r="I257" s="5">
        <v>3175</v>
      </c>
      <c r="J257" s="5">
        <v>13</v>
      </c>
      <c r="K257" s="5">
        <v>106</v>
      </c>
      <c r="L257" s="5">
        <v>0</v>
      </c>
      <c r="M257" t="s">
        <v>20</v>
      </c>
      <c r="N257" t="s">
        <v>421</v>
      </c>
    </row>
    <row r="258" spans="1:14" x14ac:dyDescent="0.3">
      <c r="A258" t="s">
        <v>1429</v>
      </c>
      <c r="B258" s="2">
        <v>46238</v>
      </c>
      <c r="C258" s="2">
        <v>46240</v>
      </c>
      <c r="D258" s="1" t="s">
        <v>950</v>
      </c>
      <c r="E258" t="s">
        <v>951</v>
      </c>
      <c r="F258" t="s">
        <v>420</v>
      </c>
      <c r="G258">
        <v>75</v>
      </c>
      <c r="H258">
        <v>76</v>
      </c>
      <c r="I258" s="5">
        <v>76</v>
      </c>
      <c r="J258" s="5">
        <v>0</v>
      </c>
      <c r="K258" s="5">
        <v>101</v>
      </c>
      <c r="L258" s="5">
        <v>0</v>
      </c>
      <c r="M258" t="s">
        <v>20</v>
      </c>
      <c r="N258" t="s">
        <v>421</v>
      </c>
    </row>
    <row r="259" spans="1:14" x14ac:dyDescent="0.3">
      <c r="A259" t="s">
        <v>1329</v>
      </c>
      <c r="B259" s="2">
        <v>46239</v>
      </c>
      <c r="C259" s="2">
        <v>46240</v>
      </c>
      <c r="D259" s="1" t="s">
        <v>460</v>
      </c>
      <c r="E259" s="45" t="s">
        <v>461</v>
      </c>
      <c r="F259" t="s">
        <v>425</v>
      </c>
      <c r="G259">
        <v>825</v>
      </c>
      <c r="H259">
        <v>588</v>
      </c>
      <c r="I259" s="5">
        <v>320</v>
      </c>
      <c r="J259" s="5">
        <v>268</v>
      </c>
      <c r="K259" s="5">
        <v>71</v>
      </c>
      <c r="L259" s="5">
        <v>46</v>
      </c>
      <c r="M259" t="s">
        <v>20</v>
      </c>
      <c r="N259" t="s">
        <v>421</v>
      </c>
    </row>
    <row r="260" spans="1:14" x14ac:dyDescent="0.3">
      <c r="A260" t="s">
        <v>1355</v>
      </c>
      <c r="B260" s="2">
        <v>46239</v>
      </c>
      <c r="C260" s="2">
        <v>46240</v>
      </c>
      <c r="D260" s="1" t="s">
        <v>654</v>
      </c>
      <c r="E260" t="s">
        <v>655</v>
      </c>
      <c r="F260" t="s">
        <v>438</v>
      </c>
      <c r="G260">
        <v>160</v>
      </c>
      <c r="H260">
        <v>211</v>
      </c>
      <c r="I260" s="5">
        <v>160</v>
      </c>
      <c r="J260" s="5">
        <v>51</v>
      </c>
      <c r="K260" s="5">
        <v>132</v>
      </c>
      <c r="L260" s="5">
        <v>24</v>
      </c>
      <c r="M260" t="s">
        <v>20</v>
      </c>
      <c r="N260" t="s">
        <v>421</v>
      </c>
    </row>
    <row r="261" spans="1:14" x14ac:dyDescent="0.3">
      <c r="A261" t="s">
        <v>1331</v>
      </c>
      <c r="B261" s="2">
        <v>46239</v>
      </c>
      <c r="C261" s="2">
        <v>46240</v>
      </c>
      <c r="D261" s="1" t="s">
        <v>472</v>
      </c>
      <c r="E261" t="s">
        <v>473</v>
      </c>
      <c r="F261" t="s">
        <v>438</v>
      </c>
      <c r="G261">
        <v>234</v>
      </c>
      <c r="H261">
        <v>261</v>
      </c>
      <c r="I261" s="5">
        <v>216</v>
      </c>
      <c r="J261" s="5">
        <v>45</v>
      </c>
      <c r="K261" s="5">
        <v>112</v>
      </c>
      <c r="L261" s="5">
        <v>17</v>
      </c>
      <c r="M261" t="s">
        <v>20</v>
      </c>
      <c r="N261" t="s">
        <v>421</v>
      </c>
    </row>
    <row r="262" spans="1:14" x14ac:dyDescent="0.3">
      <c r="A262" t="s">
        <v>1405</v>
      </c>
      <c r="B262" s="2">
        <v>46239</v>
      </c>
      <c r="C262" s="2">
        <v>46240</v>
      </c>
      <c r="D262" s="1" t="s">
        <v>833</v>
      </c>
      <c r="E262" t="s">
        <v>834</v>
      </c>
      <c r="F262" t="s">
        <v>425</v>
      </c>
      <c r="G262">
        <v>2160</v>
      </c>
      <c r="H262">
        <v>1350</v>
      </c>
      <c r="I262" s="5">
        <v>1180</v>
      </c>
      <c r="J262" s="5">
        <v>170</v>
      </c>
      <c r="K262" s="5">
        <v>63</v>
      </c>
      <c r="L262" s="5">
        <v>13</v>
      </c>
      <c r="M262" t="s">
        <v>20</v>
      </c>
      <c r="N262" t="s">
        <v>421</v>
      </c>
    </row>
    <row r="263" spans="1:14" x14ac:dyDescent="0.3">
      <c r="A263" t="s">
        <v>1346</v>
      </c>
      <c r="B263" s="2">
        <v>46239</v>
      </c>
      <c r="C263" s="2">
        <v>46240</v>
      </c>
      <c r="D263" s="1" t="s">
        <v>591</v>
      </c>
      <c r="E263" t="s">
        <v>592</v>
      </c>
      <c r="F263" t="s">
        <v>438</v>
      </c>
      <c r="G263">
        <v>2340</v>
      </c>
      <c r="H263">
        <v>2112</v>
      </c>
      <c r="I263" s="5">
        <v>1856</v>
      </c>
      <c r="J263" s="5">
        <v>256</v>
      </c>
      <c r="K263" s="5">
        <v>90</v>
      </c>
      <c r="L263" s="5">
        <v>12</v>
      </c>
      <c r="M263" t="s">
        <v>20</v>
      </c>
      <c r="N263" t="s">
        <v>421</v>
      </c>
    </row>
    <row r="264" spans="1:14" x14ac:dyDescent="0.3">
      <c r="A264" t="s">
        <v>1368</v>
      </c>
      <c r="B264" s="2">
        <v>46239</v>
      </c>
      <c r="C264" s="2">
        <v>46240</v>
      </c>
      <c r="D264" s="1" t="s">
        <v>702</v>
      </c>
      <c r="E264" t="s">
        <v>703</v>
      </c>
      <c r="F264" t="s">
        <v>438</v>
      </c>
      <c r="G264">
        <v>157</v>
      </c>
      <c r="H264">
        <v>151</v>
      </c>
      <c r="I264" s="5">
        <v>138</v>
      </c>
      <c r="J264" s="5">
        <v>13</v>
      </c>
      <c r="K264" s="5">
        <v>96</v>
      </c>
      <c r="L264" s="5">
        <v>9</v>
      </c>
      <c r="M264" t="s">
        <v>20</v>
      </c>
      <c r="N264" t="s">
        <v>421</v>
      </c>
    </row>
    <row r="265" spans="1:14" x14ac:dyDescent="0.3">
      <c r="A265" t="s">
        <v>1336</v>
      </c>
      <c r="B265" s="2">
        <v>46239</v>
      </c>
      <c r="C265" s="2">
        <v>46240</v>
      </c>
      <c r="D265" s="1" t="s">
        <v>497</v>
      </c>
      <c r="E265" t="s">
        <v>498</v>
      </c>
      <c r="F265" t="s">
        <v>438</v>
      </c>
      <c r="G265">
        <v>1052</v>
      </c>
      <c r="H265">
        <v>1097</v>
      </c>
      <c r="I265" s="5">
        <v>1010</v>
      </c>
      <c r="J265" s="5">
        <v>87</v>
      </c>
      <c r="K265" s="5">
        <v>104</v>
      </c>
      <c r="L265" s="5">
        <v>8</v>
      </c>
      <c r="M265" t="s">
        <v>20</v>
      </c>
      <c r="N265" t="s">
        <v>421</v>
      </c>
    </row>
    <row r="266" spans="1:14" x14ac:dyDescent="0.3">
      <c r="A266" t="s">
        <v>1333</v>
      </c>
      <c r="B266" s="2">
        <v>46239</v>
      </c>
      <c r="C266" s="2">
        <v>46240</v>
      </c>
      <c r="D266" s="1" t="s">
        <v>483</v>
      </c>
      <c r="E266" t="s">
        <v>484</v>
      </c>
      <c r="F266" t="s">
        <v>425</v>
      </c>
      <c r="G266">
        <v>1152</v>
      </c>
      <c r="H266">
        <v>760</v>
      </c>
      <c r="I266" s="5">
        <v>710</v>
      </c>
      <c r="J266" s="5">
        <v>50</v>
      </c>
      <c r="K266" s="5">
        <v>66</v>
      </c>
      <c r="L266" s="5">
        <v>7</v>
      </c>
      <c r="M266" t="s">
        <v>20</v>
      </c>
      <c r="N266" t="s">
        <v>421</v>
      </c>
    </row>
    <row r="267" spans="1:14" x14ac:dyDescent="0.3">
      <c r="A267" t="s">
        <v>1322</v>
      </c>
      <c r="B267" s="2">
        <v>46239</v>
      </c>
      <c r="C267" s="2">
        <v>46240</v>
      </c>
      <c r="D267" s="1" t="s">
        <v>423</v>
      </c>
      <c r="E267" t="s">
        <v>424</v>
      </c>
      <c r="F267" t="s">
        <v>425</v>
      </c>
      <c r="G267">
        <v>792</v>
      </c>
      <c r="H267">
        <v>793</v>
      </c>
      <c r="I267" s="5">
        <v>763</v>
      </c>
      <c r="J267" s="5">
        <v>30</v>
      </c>
      <c r="K267" s="5">
        <v>100</v>
      </c>
      <c r="L267" s="5">
        <v>4</v>
      </c>
      <c r="M267" t="s">
        <v>20</v>
      </c>
      <c r="N267" t="s">
        <v>421</v>
      </c>
    </row>
    <row r="268" spans="1:14" x14ac:dyDescent="0.3">
      <c r="A268" t="s">
        <v>1411</v>
      </c>
      <c r="B268" s="2">
        <v>46239</v>
      </c>
      <c r="C268" s="2">
        <v>46240</v>
      </c>
      <c r="D268" s="1" t="s">
        <v>840</v>
      </c>
      <c r="E268" t="s">
        <v>841</v>
      </c>
      <c r="F268" t="s">
        <v>425</v>
      </c>
      <c r="G268">
        <v>3400</v>
      </c>
      <c r="H268">
        <v>3170</v>
      </c>
      <c r="I268" s="5">
        <v>3045</v>
      </c>
      <c r="J268" s="5">
        <v>125</v>
      </c>
      <c r="K268" s="5">
        <v>93</v>
      </c>
      <c r="L268" s="5">
        <v>4</v>
      </c>
      <c r="M268" t="s">
        <v>20</v>
      </c>
      <c r="N268" t="s">
        <v>421</v>
      </c>
    </row>
    <row r="269" spans="1:14" x14ac:dyDescent="0.3">
      <c r="A269" t="s">
        <v>1341</v>
      </c>
      <c r="B269" s="2">
        <v>46239</v>
      </c>
      <c r="C269" s="2">
        <v>46240</v>
      </c>
      <c r="D269" s="1" t="s">
        <v>562</v>
      </c>
      <c r="E269" t="s">
        <v>563</v>
      </c>
      <c r="F269" t="s">
        <v>438</v>
      </c>
      <c r="G269">
        <v>662</v>
      </c>
      <c r="H269">
        <v>659</v>
      </c>
      <c r="I269" s="5">
        <v>640</v>
      </c>
      <c r="J269" s="5">
        <v>19</v>
      </c>
      <c r="K269" s="5">
        <v>100</v>
      </c>
      <c r="L269" s="5">
        <v>3</v>
      </c>
      <c r="M269" t="s">
        <v>20</v>
      </c>
      <c r="N269" t="s">
        <v>421</v>
      </c>
    </row>
    <row r="270" spans="1:14" x14ac:dyDescent="0.3">
      <c r="A270" t="s">
        <v>1356</v>
      </c>
      <c r="B270" s="2">
        <v>46239</v>
      </c>
      <c r="C270" s="2">
        <v>46240</v>
      </c>
      <c r="D270" s="1" t="s">
        <v>661</v>
      </c>
      <c r="E270" t="s">
        <v>662</v>
      </c>
      <c r="F270" t="s">
        <v>532</v>
      </c>
      <c r="G270">
        <v>525</v>
      </c>
      <c r="H270">
        <v>620</v>
      </c>
      <c r="I270" s="5">
        <v>600</v>
      </c>
      <c r="J270" s="5">
        <v>20</v>
      </c>
      <c r="K270" s="5">
        <v>118</v>
      </c>
      <c r="L270" s="5">
        <v>3</v>
      </c>
      <c r="M270" t="s">
        <v>20</v>
      </c>
      <c r="N270" t="s">
        <v>421</v>
      </c>
    </row>
    <row r="271" spans="1:14" x14ac:dyDescent="0.3">
      <c r="A271" t="s">
        <v>1458</v>
      </c>
      <c r="B271" s="2">
        <v>46239</v>
      </c>
      <c r="C271" s="2">
        <v>46240</v>
      </c>
      <c r="D271" s="1" t="s">
        <v>1098</v>
      </c>
      <c r="E271" t="s">
        <v>1099</v>
      </c>
      <c r="F271" t="s">
        <v>438</v>
      </c>
      <c r="G271">
        <v>1200</v>
      </c>
      <c r="H271">
        <v>1315</v>
      </c>
      <c r="I271" s="5">
        <v>1280</v>
      </c>
      <c r="J271" s="5">
        <v>35</v>
      </c>
      <c r="K271" s="5">
        <v>110</v>
      </c>
      <c r="L271" s="5">
        <v>3</v>
      </c>
      <c r="M271" t="s">
        <v>20</v>
      </c>
      <c r="N271" t="s">
        <v>421</v>
      </c>
    </row>
    <row r="272" spans="1:14" x14ac:dyDescent="0.3">
      <c r="A272" t="s">
        <v>1373</v>
      </c>
      <c r="B272" s="2">
        <v>46239</v>
      </c>
      <c r="C272" s="2">
        <v>46240</v>
      </c>
      <c r="D272" s="1" t="s">
        <v>710</v>
      </c>
      <c r="E272" t="s">
        <v>711</v>
      </c>
      <c r="F272" t="s">
        <v>438</v>
      </c>
      <c r="G272">
        <v>4920</v>
      </c>
      <c r="H272">
        <v>6448</v>
      </c>
      <c r="I272" s="5">
        <v>6320</v>
      </c>
      <c r="J272" s="5">
        <v>128</v>
      </c>
      <c r="K272" s="5">
        <v>131</v>
      </c>
      <c r="L272" s="5">
        <v>2</v>
      </c>
      <c r="M272" t="s">
        <v>20</v>
      </c>
      <c r="N272" t="s">
        <v>421</v>
      </c>
    </row>
    <row r="273" spans="1:14" x14ac:dyDescent="0.3">
      <c r="A273" t="s">
        <v>1377</v>
      </c>
      <c r="B273" s="2">
        <v>46239</v>
      </c>
      <c r="C273" s="2">
        <v>46240</v>
      </c>
      <c r="D273" s="1" t="s">
        <v>722</v>
      </c>
      <c r="E273" t="s">
        <v>723</v>
      </c>
      <c r="F273" t="s">
        <v>438</v>
      </c>
      <c r="G273">
        <v>16320</v>
      </c>
      <c r="H273">
        <v>16224</v>
      </c>
      <c r="I273" s="5">
        <v>15960</v>
      </c>
      <c r="J273" s="5">
        <v>264</v>
      </c>
      <c r="K273" s="5">
        <v>99</v>
      </c>
      <c r="L273" s="5">
        <v>2</v>
      </c>
      <c r="M273" t="s">
        <v>20</v>
      </c>
      <c r="N273" t="s">
        <v>421</v>
      </c>
    </row>
    <row r="274" spans="1:14" x14ac:dyDescent="0.3">
      <c r="A274" t="s">
        <v>1384</v>
      </c>
      <c r="B274" s="2">
        <v>46239</v>
      </c>
      <c r="C274" s="2">
        <v>46240</v>
      </c>
      <c r="D274" s="1" t="s">
        <v>754</v>
      </c>
      <c r="E274" t="s">
        <v>755</v>
      </c>
      <c r="F274" t="s">
        <v>438</v>
      </c>
      <c r="G274">
        <v>429</v>
      </c>
      <c r="H274">
        <v>429</v>
      </c>
      <c r="I274" s="5">
        <v>421</v>
      </c>
      <c r="J274" s="5">
        <v>8</v>
      </c>
      <c r="K274" s="5">
        <v>100</v>
      </c>
      <c r="L274" s="5">
        <v>2</v>
      </c>
      <c r="M274" t="s">
        <v>20</v>
      </c>
      <c r="N274" t="s">
        <v>421</v>
      </c>
    </row>
    <row r="275" spans="1:14" x14ac:dyDescent="0.3">
      <c r="A275" t="s">
        <v>1324</v>
      </c>
      <c r="B275" s="2">
        <v>46239</v>
      </c>
      <c r="C275" s="2">
        <v>46240</v>
      </c>
      <c r="D275" s="1" t="s">
        <v>436</v>
      </c>
      <c r="E275" t="s">
        <v>437</v>
      </c>
      <c r="F275" t="s">
        <v>438</v>
      </c>
      <c r="G275">
        <v>501</v>
      </c>
      <c r="H275">
        <v>464</v>
      </c>
      <c r="I275" s="5">
        <v>460</v>
      </c>
      <c r="J275" s="5">
        <v>4</v>
      </c>
      <c r="K275" s="5">
        <v>93</v>
      </c>
      <c r="L275" s="5">
        <v>1</v>
      </c>
      <c r="M275" t="s">
        <v>20</v>
      </c>
      <c r="N275" t="s">
        <v>421</v>
      </c>
    </row>
    <row r="276" spans="1:14" x14ac:dyDescent="0.3">
      <c r="A276" t="s">
        <v>1353</v>
      </c>
      <c r="B276" s="2">
        <v>46239</v>
      </c>
      <c r="C276" s="2">
        <v>46240</v>
      </c>
      <c r="D276" s="1" t="s">
        <v>647</v>
      </c>
      <c r="E276" t="s">
        <v>648</v>
      </c>
      <c r="F276" t="s">
        <v>532</v>
      </c>
      <c r="G276">
        <v>2760</v>
      </c>
      <c r="H276">
        <v>2775</v>
      </c>
      <c r="I276" s="5">
        <v>2754</v>
      </c>
      <c r="J276" s="5">
        <v>21</v>
      </c>
      <c r="K276" s="5">
        <v>101</v>
      </c>
      <c r="L276" s="5">
        <v>1</v>
      </c>
      <c r="M276" t="s">
        <v>20</v>
      </c>
      <c r="N276" t="s">
        <v>421</v>
      </c>
    </row>
    <row r="277" spans="1:14" x14ac:dyDescent="0.3">
      <c r="A277" t="s">
        <v>1378</v>
      </c>
      <c r="B277" s="2">
        <v>46239</v>
      </c>
      <c r="C277" s="2">
        <v>46240</v>
      </c>
      <c r="D277" s="1" t="s">
        <v>741</v>
      </c>
      <c r="E277" t="s">
        <v>742</v>
      </c>
      <c r="F277" t="s">
        <v>438</v>
      </c>
      <c r="G277">
        <v>127</v>
      </c>
      <c r="H277">
        <v>130</v>
      </c>
      <c r="I277" s="5">
        <v>129</v>
      </c>
      <c r="J277" s="5">
        <v>1</v>
      </c>
      <c r="K277" s="5">
        <v>102</v>
      </c>
      <c r="L277" s="5">
        <v>1</v>
      </c>
      <c r="M277" t="s">
        <v>20</v>
      </c>
      <c r="N277" t="s">
        <v>421</v>
      </c>
    </row>
    <row r="278" spans="1:14" x14ac:dyDescent="0.3">
      <c r="A278" t="s">
        <v>1379</v>
      </c>
      <c r="B278" s="2">
        <v>46239</v>
      </c>
      <c r="C278" s="2">
        <v>46240</v>
      </c>
      <c r="D278" s="1" t="s">
        <v>747</v>
      </c>
      <c r="E278" t="s">
        <v>748</v>
      </c>
      <c r="F278" t="s">
        <v>438</v>
      </c>
      <c r="G278">
        <v>70</v>
      </c>
      <c r="H278">
        <v>69</v>
      </c>
      <c r="I278" s="5">
        <v>68</v>
      </c>
      <c r="J278" s="5">
        <v>1</v>
      </c>
      <c r="K278" s="5">
        <v>99</v>
      </c>
      <c r="L278" s="5">
        <v>1</v>
      </c>
      <c r="M278" t="s">
        <v>20</v>
      </c>
      <c r="N278" t="s">
        <v>421</v>
      </c>
    </row>
    <row r="279" spans="1:14" x14ac:dyDescent="0.3">
      <c r="A279" t="s">
        <v>1441</v>
      </c>
      <c r="B279" s="2">
        <v>46239</v>
      </c>
      <c r="C279" s="2">
        <v>46240</v>
      </c>
      <c r="D279" s="1" t="s">
        <v>1011</v>
      </c>
      <c r="E279" t="s">
        <v>1012</v>
      </c>
      <c r="F279" t="s">
        <v>438</v>
      </c>
      <c r="G279">
        <v>2010</v>
      </c>
      <c r="H279">
        <v>2322</v>
      </c>
      <c r="I279" s="5">
        <v>2304</v>
      </c>
      <c r="J279" s="5">
        <v>18</v>
      </c>
      <c r="K279" s="5">
        <v>116</v>
      </c>
      <c r="L279" s="5">
        <v>1</v>
      </c>
      <c r="M279" t="s">
        <v>20</v>
      </c>
      <c r="N279" t="s">
        <v>421</v>
      </c>
    </row>
    <row r="280" spans="1:14" x14ac:dyDescent="0.3">
      <c r="A280" t="s">
        <v>1337</v>
      </c>
      <c r="B280" s="2">
        <v>46239</v>
      </c>
      <c r="C280" s="2">
        <v>46240</v>
      </c>
      <c r="D280" s="1" t="s">
        <v>506</v>
      </c>
      <c r="E280" t="s">
        <v>507</v>
      </c>
      <c r="F280" t="s">
        <v>425</v>
      </c>
      <c r="G280">
        <v>115</v>
      </c>
      <c r="H280">
        <v>113</v>
      </c>
      <c r="I280" s="5">
        <v>113</v>
      </c>
      <c r="J280" s="5">
        <v>0</v>
      </c>
      <c r="K280" s="5">
        <v>98</v>
      </c>
      <c r="L280" s="5">
        <v>0</v>
      </c>
      <c r="M280" t="s">
        <v>20</v>
      </c>
      <c r="N280" t="s">
        <v>421</v>
      </c>
    </row>
    <row r="281" spans="1:14" x14ac:dyDescent="0.3">
      <c r="A281" t="s">
        <v>1361</v>
      </c>
      <c r="B281" s="2">
        <v>46239</v>
      </c>
      <c r="C281" s="2">
        <v>46240</v>
      </c>
      <c r="D281" s="1" t="s">
        <v>675</v>
      </c>
      <c r="E281" t="s">
        <v>676</v>
      </c>
      <c r="F281" t="s">
        <v>677</v>
      </c>
      <c r="G281">
        <v>500</v>
      </c>
      <c r="H281">
        <v>590</v>
      </c>
      <c r="I281" s="5">
        <v>590</v>
      </c>
      <c r="J281" s="5">
        <v>0</v>
      </c>
      <c r="K281" s="5">
        <v>118</v>
      </c>
      <c r="L281" s="5">
        <v>0</v>
      </c>
      <c r="M281" t="s">
        <v>20</v>
      </c>
      <c r="N281" t="s">
        <v>421</v>
      </c>
    </row>
    <row r="282" spans="1:14" x14ac:dyDescent="0.3">
      <c r="A282" t="s">
        <v>1363</v>
      </c>
      <c r="B282" s="2">
        <v>46239</v>
      </c>
      <c r="C282" s="2">
        <v>46240</v>
      </c>
      <c r="D282" s="1" t="s">
        <v>680</v>
      </c>
      <c r="E282" t="s">
        <v>681</v>
      </c>
      <c r="F282" t="s">
        <v>677</v>
      </c>
      <c r="G282">
        <v>782</v>
      </c>
      <c r="H282">
        <v>780</v>
      </c>
      <c r="I282" s="5">
        <v>780</v>
      </c>
      <c r="J282" s="5">
        <v>0</v>
      </c>
      <c r="K282" s="5">
        <v>100</v>
      </c>
      <c r="L282" s="5">
        <v>0</v>
      </c>
      <c r="M282" t="s">
        <v>20</v>
      </c>
      <c r="N282" t="s">
        <v>421</v>
      </c>
    </row>
    <row r="283" spans="1:14" x14ac:dyDescent="0.3">
      <c r="A283" t="s">
        <v>1366</v>
      </c>
      <c r="B283" s="2">
        <v>46239</v>
      </c>
      <c r="C283" s="2">
        <v>46240</v>
      </c>
      <c r="D283" s="1" t="s">
        <v>696</v>
      </c>
      <c r="E283" t="s">
        <v>697</v>
      </c>
      <c r="F283" t="s">
        <v>532</v>
      </c>
      <c r="G283">
        <v>1500</v>
      </c>
      <c r="H283">
        <v>1480</v>
      </c>
      <c r="I283" s="5">
        <v>1480</v>
      </c>
      <c r="J283" s="5">
        <v>0</v>
      </c>
      <c r="K283" s="5">
        <v>99</v>
      </c>
      <c r="L283" s="5">
        <v>0</v>
      </c>
      <c r="M283" t="s">
        <v>20</v>
      </c>
      <c r="N283" t="s">
        <v>421</v>
      </c>
    </row>
    <row r="284" spans="1:14" x14ac:dyDescent="0.3">
      <c r="A284" t="s">
        <v>1388</v>
      </c>
      <c r="B284" s="2">
        <v>46239</v>
      </c>
      <c r="C284" s="2">
        <v>46240</v>
      </c>
      <c r="D284" s="1" t="s">
        <v>773</v>
      </c>
      <c r="E284" t="s">
        <v>774</v>
      </c>
      <c r="F284" t="s">
        <v>420</v>
      </c>
      <c r="G284">
        <v>880</v>
      </c>
      <c r="H284">
        <v>880</v>
      </c>
      <c r="I284" s="5">
        <v>880</v>
      </c>
      <c r="J284" s="5">
        <v>0</v>
      </c>
      <c r="K284" s="5">
        <v>100</v>
      </c>
      <c r="L284" s="5">
        <v>0</v>
      </c>
      <c r="M284" t="s">
        <v>20</v>
      </c>
      <c r="N284" t="s">
        <v>421</v>
      </c>
    </row>
    <row r="285" spans="1:14" x14ac:dyDescent="0.3">
      <c r="A285" t="s">
        <v>1392</v>
      </c>
      <c r="B285" s="2">
        <v>46239</v>
      </c>
      <c r="C285" s="2">
        <v>46240</v>
      </c>
      <c r="D285" s="1" t="s">
        <v>788</v>
      </c>
      <c r="E285" t="s">
        <v>789</v>
      </c>
      <c r="F285" t="s">
        <v>420</v>
      </c>
      <c r="G285">
        <v>390</v>
      </c>
      <c r="H285">
        <v>390</v>
      </c>
      <c r="I285" s="5">
        <v>390</v>
      </c>
      <c r="J285" s="5">
        <v>0</v>
      </c>
      <c r="K285" s="5">
        <v>100</v>
      </c>
      <c r="L285" s="5">
        <v>0</v>
      </c>
      <c r="M285" t="s">
        <v>20</v>
      </c>
      <c r="N285" t="s">
        <v>421</v>
      </c>
    </row>
    <row r="286" spans="1:14" x14ac:dyDescent="0.3">
      <c r="A286" t="s">
        <v>1398</v>
      </c>
      <c r="B286" s="2">
        <v>46239</v>
      </c>
      <c r="C286" s="2">
        <v>46240</v>
      </c>
      <c r="D286" s="1" t="s">
        <v>805</v>
      </c>
      <c r="E286" t="s">
        <v>806</v>
      </c>
      <c r="F286" t="s">
        <v>420</v>
      </c>
      <c r="G286">
        <v>1138</v>
      </c>
      <c r="H286">
        <v>1138</v>
      </c>
      <c r="I286" s="5">
        <v>1138</v>
      </c>
      <c r="J286" s="5">
        <v>0</v>
      </c>
      <c r="K286" s="5">
        <v>100</v>
      </c>
      <c r="L286" s="5">
        <v>0</v>
      </c>
      <c r="M286" t="s">
        <v>20</v>
      </c>
      <c r="N286" t="s">
        <v>421</v>
      </c>
    </row>
    <row r="287" spans="1:14" x14ac:dyDescent="0.3">
      <c r="A287" t="s">
        <v>1433</v>
      </c>
      <c r="B287" s="2">
        <v>46239</v>
      </c>
      <c r="C287" s="2">
        <v>46240</v>
      </c>
      <c r="D287" s="1" t="s">
        <v>958</v>
      </c>
      <c r="E287" t="s">
        <v>959</v>
      </c>
      <c r="F287" t="s">
        <v>420</v>
      </c>
      <c r="G287">
        <v>66</v>
      </c>
      <c r="H287">
        <v>66</v>
      </c>
      <c r="I287" s="5">
        <v>66</v>
      </c>
      <c r="J287" s="5">
        <v>0</v>
      </c>
      <c r="K287" s="5">
        <v>100</v>
      </c>
      <c r="L287" s="5">
        <v>0</v>
      </c>
      <c r="M287" t="s">
        <v>20</v>
      </c>
      <c r="N287" t="s">
        <v>421</v>
      </c>
    </row>
    <row r="288" spans="1:14" x14ac:dyDescent="0.3">
      <c r="A288" t="s">
        <v>1445</v>
      </c>
      <c r="B288" s="2">
        <v>46239</v>
      </c>
      <c r="C288" s="2">
        <v>46240</v>
      </c>
      <c r="D288" s="1" t="s">
        <v>1025</v>
      </c>
      <c r="E288" t="s">
        <v>1026</v>
      </c>
      <c r="F288" t="s">
        <v>420</v>
      </c>
      <c r="G288">
        <v>120</v>
      </c>
      <c r="H288">
        <v>130</v>
      </c>
      <c r="I288" s="5">
        <v>130</v>
      </c>
      <c r="J288" s="5">
        <v>0</v>
      </c>
      <c r="K288" s="5">
        <v>108</v>
      </c>
      <c r="L288" s="5">
        <v>0</v>
      </c>
      <c r="M288" t="s">
        <v>20</v>
      </c>
      <c r="N288" t="s">
        <v>421</v>
      </c>
    </row>
    <row r="289" spans="1:14" x14ac:dyDescent="0.3">
      <c r="A289" t="s">
        <v>1456</v>
      </c>
      <c r="B289" s="2">
        <v>46239</v>
      </c>
      <c r="C289" s="2">
        <v>46240</v>
      </c>
      <c r="D289" s="1" t="s">
        <v>1085</v>
      </c>
      <c r="E289" t="s">
        <v>1086</v>
      </c>
      <c r="F289" t="s">
        <v>438</v>
      </c>
      <c r="G289">
        <v>600</v>
      </c>
      <c r="H289">
        <v>564</v>
      </c>
      <c r="I289" s="5">
        <v>564</v>
      </c>
      <c r="J289" s="5">
        <v>0</v>
      </c>
      <c r="K289" s="5">
        <v>94</v>
      </c>
      <c r="L289" s="5">
        <v>0</v>
      </c>
      <c r="M289" t="s">
        <v>20</v>
      </c>
      <c r="N289" t="s">
        <v>421</v>
      </c>
    </row>
    <row r="290" spans="1:14" x14ac:dyDescent="0.3">
      <c r="A290" t="s">
        <v>1463</v>
      </c>
      <c r="B290" s="2">
        <v>46239</v>
      </c>
      <c r="C290" s="2">
        <v>46240</v>
      </c>
      <c r="D290" s="1" t="s">
        <v>1110</v>
      </c>
      <c r="E290" t="s">
        <v>1111</v>
      </c>
      <c r="F290" t="s">
        <v>677</v>
      </c>
      <c r="G290">
        <v>2000</v>
      </c>
      <c r="H290">
        <v>1995</v>
      </c>
      <c r="I290" s="5">
        <v>1995</v>
      </c>
      <c r="J290" s="5">
        <v>0</v>
      </c>
      <c r="K290" s="5">
        <v>100</v>
      </c>
      <c r="L290" s="5">
        <v>0</v>
      </c>
      <c r="M290" t="s">
        <v>20</v>
      </c>
      <c r="N290" t="s">
        <v>421</v>
      </c>
    </row>
  </sheetData>
  <autoFilter ref="A109:N109" xr:uid="{490C1AA3-C7C1-47D9-BE4E-3766F5BDA903}">
    <sortState xmlns:xlrd2="http://schemas.microsoft.com/office/spreadsheetml/2017/richdata2" ref="A110:N290">
      <sortCondition ref="B109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D774E-2DEF-4AE4-AD84-0E4C298CCAC3}">
  <dimension ref="A1:N525"/>
  <sheetViews>
    <sheetView workbookViewId="0">
      <selection activeCell="L330" sqref="L330"/>
    </sheetView>
  </sheetViews>
  <sheetFormatPr baseColWidth="10" defaultRowHeight="14.4" x14ac:dyDescent="0.3"/>
  <cols>
    <col min="5" max="5" width="25.44140625" customWidth="1"/>
  </cols>
  <sheetData>
    <row r="1" spans="1:14" x14ac:dyDescent="0.3">
      <c r="A1" t="s">
        <v>1</v>
      </c>
    </row>
    <row r="2" spans="1:14" x14ac:dyDescent="0.3">
      <c r="A2" t="s">
        <v>2</v>
      </c>
      <c r="B2" t="s">
        <v>3</v>
      </c>
      <c r="C2" t="s">
        <v>4</v>
      </c>
      <c r="D2" s="1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</row>
    <row r="3" spans="1:14" x14ac:dyDescent="0.3">
      <c r="A3" t="s">
        <v>1471</v>
      </c>
      <c r="B3" s="2">
        <v>46246</v>
      </c>
      <c r="C3" s="2">
        <v>46246</v>
      </c>
      <c r="D3" s="1" t="s">
        <v>17</v>
      </c>
      <c r="E3" t="s">
        <v>18</v>
      </c>
      <c r="F3" t="s">
        <v>19</v>
      </c>
      <c r="G3">
        <v>33</v>
      </c>
      <c r="H3">
        <v>33</v>
      </c>
      <c r="I3">
        <v>33</v>
      </c>
      <c r="J3">
        <v>0</v>
      </c>
      <c r="K3" s="46">
        <f>(H3/G3)*100</f>
        <v>100</v>
      </c>
      <c r="L3" s="8">
        <f t="shared" ref="L3:L66" si="0">((H3-I3)/I3)*100</f>
        <v>0</v>
      </c>
      <c r="M3" t="s">
        <v>20</v>
      </c>
      <c r="N3" t="s">
        <v>21</v>
      </c>
    </row>
    <row r="4" spans="1:14" x14ac:dyDescent="0.3">
      <c r="A4" t="s">
        <v>1472</v>
      </c>
      <c r="B4" s="2">
        <v>46245</v>
      </c>
      <c r="C4" s="2">
        <v>46246</v>
      </c>
      <c r="D4" s="1" t="s">
        <v>17</v>
      </c>
      <c r="E4" t="s">
        <v>18</v>
      </c>
      <c r="F4" t="s">
        <v>19</v>
      </c>
      <c r="G4">
        <v>22</v>
      </c>
      <c r="H4">
        <v>22</v>
      </c>
      <c r="I4">
        <v>22</v>
      </c>
      <c r="J4">
        <v>0</v>
      </c>
      <c r="K4" s="46">
        <f t="shared" ref="K4:K66" si="1">(H4/G4)*100</f>
        <v>100</v>
      </c>
      <c r="L4" s="8">
        <f t="shared" si="0"/>
        <v>0</v>
      </c>
      <c r="M4" t="s">
        <v>20</v>
      </c>
      <c r="N4" t="s">
        <v>21</v>
      </c>
    </row>
    <row r="5" spans="1:14" x14ac:dyDescent="0.3">
      <c r="A5" t="s">
        <v>1317</v>
      </c>
      <c r="B5" s="2">
        <v>46239</v>
      </c>
      <c r="C5" s="2">
        <v>46240</v>
      </c>
      <c r="D5" s="1" t="s">
        <v>27</v>
      </c>
      <c r="E5" t="s">
        <v>28</v>
      </c>
      <c r="F5" t="s">
        <v>19</v>
      </c>
      <c r="G5">
        <v>500</v>
      </c>
      <c r="H5">
        <v>500</v>
      </c>
      <c r="I5">
        <v>500</v>
      </c>
      <c r="J5">
        <v>0</v>
      </c>
      <c r="K5" s="46">
        <f t="shared" si="1"/>
        <v>100</v>
      </c>
      <c r="L5" s="8">
        <f t="shared" si="0"/>
        <v>0</v>
      </c>
      <c r="M5" t="s">
        <v>20</v>
      </c>
      <c r="N5" t="s">
        <v>21</v>
      </c>
    </row>
    <row r="6" spans="1:14" x14ac:dyDescent="0.3">
      <c r="A6" t="s">
        <v>1473</v>
      </c>
      <c r="B6" s="2">
        <v>46244</v>
      </c>
      <c r="C6" s="2">
        <v>46244</v>
      </c>
      <c r="D6" s="1" t="s">
        <v>27</v>
      </c>
      <c r="E6" t="s">
        <v>28</v>
      </c>
      <c r="F6" t="s">
        <v>19</v>
      </c>
      <c r="G6">
        <v>500</v>
      </c>
      <c r="H6">
        <v>500</v>
      </c>
      <c r="I6">
        <v>500</v>
      </c>
      <c r="J6">
        <v>0</v>
      </c>
      <c r="K6" s="46">
        <f t="shared" si="1"/>
        <v>100</v>
      </c>
      <c r="L6" s="8">
        <f t="shared" si="0"/>
        <v>0</v>
      </c>
      <c r="M6" t="s">
        <v>20</v>
      </c>
      <c r="N6" t="s">
        <v>21</v>
      </c>
    </row>
    <row r="7" spans="1:14" x14ac:dyDescent="0.3">
      <c r="A7" t="s">
        <v>1474</v>
      </c>
      <c r="B7" s="2">
        <v>46246</v>
      </c>
      <c r="C7" s="2">
        <v>46246</v>
      </c>
      <c r="D7" s="1" t="s">
        <v>27</v>
      </c>
      <c r="E7" t="s">
        <v>28</v>
      </c>
      <c r="F7" t="s">
        <v>19</v>
      </c>
      <c r="G7">
        <v>500</v>
      </c>
      <c r="H7">
        <v>500</v>
      </c>
      <c r="I7">
        <v>500</v>
      </c>
      <c r="J7">
        <v>0</v>
      </c>
      <c r="K7" s="46">
        <f t="shared" si="1"/>
        <v>100</v>
      </c>
      <c r="L7" s="8">
        <f t="shared" si="0"/>
        <v>0</v>
      </c>
      <c r="M7" t="s">
        <v>20</v>
      </c>
      <c r="N7" t="s">
        <v>21</v>
      </c>
    </row>
    <row r="8" spans="1:14" x14ac:dyDescent="0.3">
      <c r="A8" t="s">
        <v>1475</v>
      </c>
      <c r="B8" s="2">
        <v>46248</v>
      </c>
      <c r="C8" s="2">
        <v>46248</v>
      </c>
      <c r="D8" s="1" t="s">
        <v>27</v>
      </c>
      <c r="E8" t="s">
        <v>28</v>
      </c>
      <c r="F8" t="s">
        <v>19</v>
      </c>
      <c r="G8">
        <v>500</v>
      </c>
      <c r="H8">
        <v>500</v>
      </c>
      <c r="I8">
        <v>500</v>
      </c>
      <c r="J8">
        <v>0</v>
      </c>
      <c r="K8" s="46">
        <f t="shared" si="1"/>
        <v>100</v>
      </c>
      <c r="L8" s="8">
        <f t="shared" si="0"/>
        <v>0</v>
      </c>
      <c r="M8" t="s">
        <v>20</v>
      </c>
      <c r="N8" t="s">
        <v>21</v>
      </c>
    </row>
    <row r="9" spans="1:14" x14ac:dyDescent="0.3">
      <c r="A9" t="s">
        <v>1476</v>
      </c>
      <c r="B9" s="2">
        <v>46240</v>
      </c>
      <c r="C9" s="2">
        <v>46241</v>
      </c>
      <c r="D9" s="1" t="s">
        <v>37</v>
      </c>
      <c r="E9" t="s">
        <v>38</v>
      </c>
      <c r="F9" t="s">
        <v>39</v>
      </c>
      <c r="G9">
        <v>100</v>
      </c>
      <c r="H9">
        <v>109</v>
      </c>
      <c r="I9">
        <v>101</v>
      </c>
      <c r="J9">
        <v>8</v>
      </c>
      <c r="K9" s="46">
        <f t="shared" si="1"/>
        <v>109.00000000000001</v>
      </c>
      <c r="L9" s="8">
        <f t="shared" si="0"/>
        <v>7.9207920792079207</v>
      </c>
      <c r="M9" t="s">
        <v>20</v>
      </c>
      <c r="N9" t="s">
        <v>21</v>
      </c>
    </row>
    <row r="10" spans="1:14" x14ac:dyDescent="0.3">
      <c r="A10" t="s">
        <v>1477</v>
      </c>
      <c r="B10" s="2">
        <v>46241</v>
      </c>
      <c r="C10" s="2">
        <v>46241</v>
      </c>
      <c r="D10" s="1" t="s">
        <v>37</v>
      </c>
      <c r="E10" t="s">
        <v>38</v>
      </c>
      <c r="F10" t="s">
        <v>39</v>
      </c>
      <c r="G10">
        <v>100</v>
      </c>
      <c r="H10">
        <v>110</v>
      </c>
      <c r="I10">
        <v>106</v>
      </c>
      <c r="J10">
        <v>4</v>
      </c>
      <c r="K10" s="46">
        <f t="shared" si="1"/>
        <v>110.00000000000001</v>
      </c>
      <c r="L10" s="8">
        <f t="shared" si="0"/>
        <v>3.7735849056603774</v>
      </c>
      <c r="M10" t="s">
        <v>20</v>
      </c>
      <c r="N10" t="s">
        <v>21</v>
      </c>
    </row>
    <row r="11" spans="1:14" x14ac:dyDescent="0.3">
      <c r="A11" t="s">
        <v>1478</v>
      </c>
      <c r="B11" s="2">
        <v>46246</v>
      </c>
      <c r="C11" s="2">
        <v>46247</v>
      </c>
      <c r="D11" s="1" t="s">
        <v>37</v>
      </c>
      <c r="E11" t="s">
        <v>38</v>
      </c>
      <c r="F11" t="s">
        <v>39</v>
      </c>
      <c r="G11">
        <v>88</v>
      </c>
      <c r="H11">
        <v>93</v>
      </c>
      <c r="I11">
        <v>85</v>
      </c>
      <c r="J11">
        <v>8</v>
      </c>
      <c r="K11" s="46">
        <f t="shared" si="1"/>
        <v>105.68181818181819</v>
      </c>
      <c r="L11" s="8">
        <f t="shared" si="0"/>
        <v>9.4117647058823533</v>
      </c>
      <c r="M11" t="s">
        <v>20</v>
      </c>
      <c r="N11" t="s">
        <v>21</v>
      </c>
    </row>
    <row r="12" spans="1:14" x14ac:dyDescent="0.3">
      <c r="A12" t="s">
        <v>1479</v>
      </c>
      <c r="B12" s="2">
        <v>46247</v>
      </c>
      <c r="C12" s="2">
        <v>46248</v>
      </c>
      <c r="D12" s="1" t="s">
        <v>37</v>
      </c>
      <c r="E12" t="s">
        <v>38</v>
      </c>
      <c r="F12" t="s">
        <v>39</v>
      </c>
      <c r="G12">
        <v>88</v>
      </c>
      <c r="H12">
        <v>94</v>
      </c>
      <c r="I12">
        <v>93</v>
      </c>
      <c r="J12">
        <v>1</v>
      </c>
      <c r="K12" s="46">
        <f t="shared" si="1"/>
        <v>106.81818181818181</v>
      </c>
      <c r="L12" s="8">
        <f t="shared" si="0"/>
        <v>1.0752688172043012</v>
      </c>
      <c r="M12" t="s">
        <v>20</v>
      </c>
      <c r="N12" t="s">
        <v>21</v>
      </c>
    </row>
    <row r="13" spans="1:14" x14ac:dyDescent="0.3">
      <c r="A13" t="s">
        <v>1480</v>
      </c>
      <c r="B13" s="2">
        <v>46253</v>
      </c>
      <c r="C13" s="2">
        <v>46253</v>
      </c>
      <c r="D13" s="1" t="s">
        <v>37</v>
      </c>
      <c r="E13" t="s">
        <v>38</v>
      </c>
      <c r="F13" t="s">
        <v>39</v>
      </c>
      <c r="G13">
        <v>88</v>
      </c>
      <c r="H13">
        <v>93</v>
      </c>
      <c r="I13">
        <v>88</v>
      </c>
      <c r="J13">
        <v>5</v>
      </c>
      <c r="K13" s="46">
        <f t="shared" si="1"/>
        <v>105.68181818181819</v>
      </c>
      <c r="L13" s="8">
        <f t="shared" si="0"/>
        <v>5.6818181818181817</v>
      </c>
      <c r="M13" t="s">
        <v>20</v>
      </c>
      <c r="N13" t="s">
        <v>21</v>
      </c>
    </row>
    <row r="14" spans="1:14" x14ac:dyDescent="0.3">
      <c r="A14" t="s">
        <v>1481</v>
      </c>
      <c r="B14" s="2">
        <v>46245</v>
      </c>
      <c r="C14" s="2">
        <v>46246</v>
      </c>
      <c r="D14" s="1" t="s">
        <v>1482</v>
      </c>
      <c r="E14" t="s">
        <v>1483</v>
      </c>
      <c r="F14" t="s">
        <v>39</v>
      </c>
      <c r="G14">
        <v>100</v>
      </c>
      <c r="H14">
        <v>100</v>
      </c>
      <c r="I14">
        <v>97</v>
      </c>
      <c r="J14">
        <v>3</v>
      </c>
      <c r="K14" s="46">
        <f t="shared" si="1"/>
        <v>100</v>
      </c>
      <c r="L14" s="8">
        <f t="shared" si="0"/>
        <v>3.0927835051546393</v>
      </c>
      <c r="M14" t="s">
        <v>20</v>
      </c>
      <c r="N14" t="s">
        <v>21</v>
      </c>
    </row>
    <row r="15" spans="1:14" x14ac:dyDescent="0.3">
      <c r="A15" t="s">
        <v>1484</v>
      </c>
      <c r="B15" s="2">
        <v>46246</v>
      </c>
      <c r="C15" s="2">
        <v>46247</v>
      </c>
      <c r="D15" s="1" t="s">
        <v>1482</v>
      </c>
      <c r="E15" t="s">
        <v>1483</v>
      </c>
      <c r="F15" t="s">
        <v>39</v>
      </c>
      <c r="G15">
        <v>100</v>
      </c>
      <c r="H15">
        <v>109</v>
      </c>
      <c r="I15">
        <v>102</v>
      </c>
      <c r="J15">
        <v>7</v>
      </c>
      <c r="K15" s="46">
        <f t="shared" si="1"/>
        <v>109.00000000000001</v>
      </c>
      <c r="L15" s="8">
        <f t="shared" si="0"/>
        <v>6.8627450980392162</v>
      </c>
      <c r="M15" t="s">
        <v>20</v>
      </c>
      <c r="N15" t="s">
        <v>21</v>
      </c>
    </row>
    <row r="16" spans="1:14" x14ac:dyDescent="0.3">
      <c r="A16" t="s">
        <v>1485</v>
      </c>
      <c r="B16" s="2">
        <v>46247</v>
      </c>
      <c r="C16" s="2">
        <v>46248</v>
      </c>
      <c r="D16" s="1" t="s">
        <v>1482</v>
      </c>
      <c r="E16" t="s">
        <v>1483</v>
      </c>
      <c r="F16" t="s">
        <v>39</v>
      </c>
      <c r="G16">
        <v>100</v>
      </c>
      <c r="H16">
        <v>108</v>
      </c>
      <c r="I16">
        <v>107</v>
      </c>
      <c r="J16">
        <v>1</v>
      </c>
      <c r="K16" s="46">
        <f t="shared" si="1"/>
        <v>108</v>
      </c>
      <c r="L16" s="8">
        <f t="shared" si="0"/>
        <v>0.93457943925233633</v>
      </c>
      <c r="M16" t="s">
        <v>20</v>
      </c>
      <c r="N16" t="s">
        <v>21</v>
      </c>
    </row>
    <row r="17" spans="1:14" x14ac:dyDescent="0.3">
      <c r="A17" t="s">
        <v>1486</v>
      </c>
      <c r="B17" s="2">
        <v>46252</v>
      </c>
      <c r="C17" s="2">
        <v>46253</v>
      </c>
      <c r="D17" s="1" t="s">
        <v>1482</v>
      </c>
      <c r="E17" t="s">
        <v>1483</v>
      </c>
      <c r="F17" t="s">
        <v>39</v>
      </c>
      <c r="G17">
        <v>100</v>
      </c>
      <c r="H17">
        <v>93</v>
      </c>
      <c r="I17">
        <v>91</v>
      </c>
      <c r="J17">
        <v>2</v>
      </c>
      <c r="K17" s="46">
        <f t="shared" si="1"/>
        <v>93</v>
      </c>
      <c r="L17" s="8">
        <f t="shared" si="0"/>
        <v>2.197802197802198</v>
      </c>
      <c r="M17" t="s">
        <v>20</v>
      </c>
      <c r="N17" t="s">
        <v>21</v>
      </c>
    </row>
    <row r="18" spans="1:14" x14ac:dyDescent="0.3">
      <c r="A18" t="s">
        <v>1487</v>
      </c>
      <c r="B18" s="2">
        <v>46241</v>
      </c>
      <c r="C18" s="2">
        <v>46241</v>
      </c>
      <c r="D18" s="1" t="s">
        <v>44</v>
      </c>
      <c r="E18" t="s">
        <v>45</v>
      </c>
      <c r="F18" t="s">
        <v>46</v>
      </c>
      <c r="G18">
        <v>78</v>
      </c>
      <c r="H18">
        <v>75</v>
      </c>
      <c r="I18">
        <v>74</v>
      </c>
      <c r="J18">
        <v>1</v>
      </c>
      <c r="K18" s="46">
        <f t="shared" si="1"/>
        <v>96.15384615384616</v>
      </c>
      <c r="L18" s="8">
        <f t="shared" si="0"/>
        <v>1.3513513513513513</v>
      </c>
      <c r="M18" t="s">
        <v>20</v>
      </c>
      <c r="N18" t="s">
        <v>21</v>
      </c>
    </row>
    <row r="19" spans="1:14" x14ac:dyDescent="0.3">
      <c r="A19" t="s">
        <v>1488</v>
      </c>
      <c r="B19" s="2">
        <v>46246</v>
      </c>
      <c r="C19" s="2">
        <v>46246</v>
      </c>
      <c r="D19" s="1" t="s">
        <v>44</v>
      </c>
      <c r="E19" t="s">
        <v>45</v>
      </c>
      <c r="F19" t="s">
        <v>46</v>
      </c>
      <c r="G19">
        <v>39</v>
      </c>
      <c r="H19">
        <v>39</v>
      </c>
      <c r="I19">
        <v>38</v>
      </c>
      <c r="J19">
        <v>1</v>
      </c>
      <c r="K19" s="46">
        <f t="shared" si="1"/>
        <v>100</v>
      </c>
      <c r="L19" s="8">
        <f t="shared" si="0"/>
        <v>2.6315789473684208</v>
      </c>
      <c r="M19" t="s">
        <v>20</v>
      </c>
      <c r="N19" t="s">
        <v>21</v>
      </c>
    </row>
    <row r="20" spans="1:14" x14ac:dyDescent="0.3">
      <c r="A20" t="s">
        <v>1489</v>
      </c>
      <c r="B20" s="2">
        <v>46251</v>
      </c>
      <c r="C20" s="2">
        <v>46252</v>
      </c>
      <c r="D20" s="1" t="s">
        <v>44</v>
      </c>
      <c r="E20" t="s">
        <v>45</v>
      </c>
      <c r="F20" t="s">
        <v>46</v>
      </c>
      <c r="G20">
        <v>39</v>
      </c>
      <c r="H20">
        <v>38</v>
      </c>
      <c r="I20">
        <v>37</v>
      </c>
      <c r="J20">
        <v>1</v>
      </c>
      <c r="K20" s="46">
        <f t="shared" si="1"/>
        <v>97.435897435897431</v>
      </c>
      <c r="L20" s="8">
        <f t="shared" si="0"/>
        <v>2.7027027027027026</v>
      </c>
      <c r="M20" t="s">
        <v>20</v>
      </c>
      <c r="N20" t="s">
        <v>21</v>
      </c>
    </row>
    <row r="21" spans="1:14" x14ac:dyDescent="0.3">
      <c r="A21" t="s">
        <v>1490</v>
      </c>
      <c r="B21" s="2">
        <v>46253</v>
      </c>
      <c r="C21" s="2">
        <v>46253</v>
      </c>
      <c r="D21" s="1" t="s">
        <v>44</v>
      </c>
      <c r="E21" t="s">
        <v>45</v>
      </c>
      <c r="F21" t="s">
        <v>46</v>
      </c>
      <c r="G21">
        <v>39</v>
      </c>
      <c r="H21">
        <v>37</v>
      </c>
      <c r="I21">
        <v>37</v>
      </c>
      <c r="J21">
        <v>0</v>
      </c>
      <c r="K21" s="46">
        <f t="shared" si="1"/>
        <v>94.871794871794862</v>
      </c>
      <c r="L21" s="8">
        <f t="shared" si="0"/>
        <v>0</v>
      </c>
      <c r="M21" t="s">
        <v>20</v>
      </c>
      <c r="N21" t="s">
        <v>21</v>
      </c>
    </row>
    <row r="22" spans="1:14" x14ac:dyDescent="0.3">
      <c r="A22" t="s">
        <v>1274</v>
      </c>
      <c r="B22" s="2">
        <v>46238</v>
      </c>
      <c r="C22" s="2">
        <v>46240</v>
      </c>
      <c r="D22" s="1" t="s">
        <v>48</v>
      </c>
      <c r="E22" t="s">
        <v>49</v>
      </c>
      <c r="F22" t="s">
        <v>39</v>
      </c>
      <c r="G22">
        <v>280</v>
      </c>
      <c r="H22">
        <v>220</v>
      </c>
      <c r="I22">
        <v>218</v>
      </c>
      <c r="J22">
        <v>2</v>
      </c>
      <c r="K22" s="46">
        <f t="shared" si="1"/>
        <v>78.571428571428569</v>
      </c>
      <c r="L22" s="8">
        <f t="shared" si="0"/>
        <v>0.91743119266055051</v>
      </c>
      <c r="M22" t="s">
        <v>20</v>
      </c>
      <c r="N22" t="s">
        <v>21</v>
      </c>
    </row>
    <row r="23" spans="1:14" x14ac:dyDescent="0.3">
      <c r="A23" t="s">
        <v>1268</v>
      </c>
      <c r="B23" s="2">
        <v>46237</v>
      </c>
      <c r="C23" s="2">
        <v>46240</v>
      </c>
      <c r="D23" s="1" t="s">
        <v>66</v>
      </c>
      <c r="E23" t="s">
        <v>67</v>
      </c>
      <c r="F23" t="s">
        <v>61</v>
      </c>
      <c r="G23">
        <v>300</v>
      </c>
      <c r="H23">
        <v>312</v>
      </c>
      <c r="I23">
        <v>312</v>
      </c>
      <c r="J23">
        <v>0</v>
      </c>
      <c r="K23" s="46">
        <f t="shared" si="1"/>
        <v>104</v>
      </c>
      <c r="L23" s="8">
        <f t="shared" si="0"/>
        <v>0</v>
      </c>
      <c r="M23" t="s">
        <v>20</v>
      </c>
      <c r="N23" t="s">
        <v>21</v>
      </c>
    </row>
    <row r="24" spans="1:14" x14ac:dyDescent="0.3">
      <c r="A24" t="s">
        <v>1284</v>
      </c>
      <c r="B24" s="2">
        <v>46238</v>
      </c>
      <c r="C24" s="2">
        <v>46240</v>
      </c>
      <c r="D24" s="1" t="s">
        <v>66</v>
      </c>
      <c r="E24" t="s">
        <v>67</v>
      </c>
      <c r="F24" t="s">
        <v>61</v>
      </c>
      <c r="G24">
        <v>300</v>
      </c>
      <c r="H24">
        <v>320</v>
      </c>
      <c r="I24">
        <v>320</v>
      </c>
      <c r="J24">
        <v>0</v>
      </c>
      <c r="K24" s="46">
        <f t="shared" si="1"/>
        <v>106.66666666666667</v>
      </c>
      <c r="L24" s="8">
        <f t="shared" si="0"/>
        <v>0</v>
      </c>
      <c r="M24" t="s">
        <v>20</v>
      </c>
      <c r="N24" t="s">
        <v>21</v>
      </c>
    </row>
    <row r="25" spans="1:14" x14ac:dyDescent="0.3">
      <c r="A25" t="s">
        <v>1491</v>
      </c>
      <c r="B25" s="2">
        <v>46241</v>
      </c>
      <c r="C25" s="2">
        <v>46241</v>
      </c>
      <c r="D25" s="1" t="s">
        <v>66</v>
      </c>
      <c r="E25" t="s">
        <v>67</v>
      </c>
      <c r="F25" t="s">
        <v>61</v>
      </c>
      <c r="G25">
        <v>300</v>
      </c>
      <c r="H25">
        <v>300</v>
      </c>
      <c r="I25">
        <v>300</v>
      </c>
      <c r="J25">
        <v>0</v>
      </c>
      <c r="K25" s="46">
        <f t="shared" si="1"/>
        <v>100</v>
      </c>
      <c r="L25" s="8">
        <f t="shared" si="0"/>
        <v>0</v>
      </c>
      <c r="M25" t="s">
        <v>20</v>
      </c>
      <c r="N25" t="s">
        <v>21</v>
      </c>
    </row>
    <row r="26" spans="1:14" x14ac:dyDescent="0.3">
      <c r="A26" t="s">
        <v>1492</v>
      </c>
      <c r="B26" s="2">
        <v>46244</v>
      </c>
      <c r="C26" s="2">
        <v>46244</v>
      </c>
      <c r="D26" s="1" t="s">
        <v>66</v>
      </c>
      <c r="E26" t="s">
        <v>67</v>
      </c>
      <c r="F26" t="s">
        <v>61</v>
      </c>
      <c r="G26">
        <v>400</v>
      </c>
      <c r="H26">
        <v>400</v>
      </c>
      <c r="I26">
        <v>396</v>
      </c>
      <c r="J26">
        <v>4</v>
      </c>
      <c r="K26" s="46">
        <f t="shared" si="1"/>
        <v>100</v>
      </c>
      <c r="L26" s="8">
        <f t="shared" si="0"/>
        <v>1.0101010101010102</v>
      </c>
      <c r="M26" t="s">
        <v>20</v>
      </c>
      <c r="N26" t="s">
        <v>21</v>
      </c>
    </row>
    <row r="27" spans="1:14" x14ac:dyDescent="0.3">
      <c r="A27" t="s">
        <v>1493</v>
      </c>
      <c r="B27" s="2">
        <v>46246</v>
      </c>
      <c r="C27" s="2">
        <v>46246</v>
      </c>
      <c r="D27" s="1" t="s">
        <v>66</v>
      </c>
      <c r="E27" t="s">
        <v>67</v>
      </c>
      <c r="F27" t="s">
        <v>61</v>
      </c>
      <c r="G27">
        <v>400</v>
      </c>
      <c r="H27">
        <v>408</v>
      </c>
      <c r="I27">
        <v>396</v>
      </c>
      <c r="J27">
        <v>12</v>
      </c>
      <c r="K27" s="46">
        <f t="shared" si="1"/>
        <v>102</v>
      </c>
      <c r="L27" s="8">
        <f t="shared" si="0"/>
        <v>3.0303030303030303</v>
      </c>
      <c r="M27" t="s">
        <v>20</v>
      </c>
      <c r="N27" t="s">
        <v>21</v>
      </c>
    </row>
    <row r="28" spans="1:14" x14ac:dyDescent="0.3">
      <c r="A28" t="s">
        <v>1494</v>
      </c>
      <c r="B28" s="2">
        <v>46248</v>
      </c>
      <c r="C28" s="2">
        <v>46248</v>
      </c>
      <c r="D28" s="1" t="s">
        <v>66</v>
      </c>
      <c r="E28" t="s">
        <v>67</v>
      </c>
      <c r="F28" t="s">
        <v>61</v>
      </c>
      <c r="G28">
        <v>500</v>
      </c>
      <c r="H28">
        <v>504</v>
      </c>
      <c r="I28">
        <v>504</v>
      </c>
      <c r="J28">
        <v>0</v>
      </c>
      <c r="K28" s="46">
        <f t="shared" si="1"/>
        <v>100.8</v>
      </c>
      <c r="L28" s="8">
        <f t="shared" si="0"/>
        <v>0</v>
      </c>
      <c r="M28" t="s">
        <v>20</v>
      </c>
      <c r="N28" t="s">
        <v>21</v>
      </c>
    </row>
    <row r="29" spans="1:14" x14ac:dyDescent="0.3">
      <c r="A29" t="s">
        <v>1495</v>
      </c>
      <c r="B29" s="2">
        <v>46253</v>
      </c>
      <c r="C29" s="2">
        <v>46253</v>
      </c>
      <c r="D29" s="1" t="s">
        <v>66</v>
      </c>
      <c r="E29" t="s">
        <v>67</v>
      </c>
      <c r="F29" t="s">
        <v>61</v>
      </c>
      <c r="G29">
        <v>400</v>
      </c>
      <c r="H29">
        <v>408</v>
      </c>
      <c r="I29">
        <v>408</v>
      </c>
      <c r="J29">
        <v>0</v>
      </c>
      <c r="K29" s="46">
        <f t="shared" si="1"/>
        <v>102</v>
      </c>
      <c r="L29" s="8">
        <f t="shared" si="0"/>
        <v>0</v>
      </c>
      <c r="M29" t="s">
        <v>20</v>
      </c>
      <c r="N29" t="s">
        <v>21</v>
      </c>
    </row>
    <row r="30" spans="1:14" x14ac:dyDescent="0.3">
      <c r="A30" t="s">
        <v>1496</v>
      </c>
      <c r="B30" s="2">
        <v>46245</v>
      </c>
      <c r="C30" s="2">
        <v>46245</v>
      </c>
      <c r="D30" s="1" t="s">
        <v>81</v>
      </c>
      <c r="E30" t="s">
        <v>82</v>
      </c>
      <c r="F30" t="s">
        <v>19</v>
      </c>
      <c r="G30">
        <v>2000</v>
      </c>
      <c r="H30">
        <v>2000</v>
      </c>
      <c r="I30">
        <v>2000</v>
      </c>
      <c r="J30">
        <v>0</v>
      </c>
      <c r="K30" s="46">
        <f t="shared" si="1"/>
        <v>100</v>
      </c>
      <c r="L30" s="8">
        <f t="shared" si="0"/>
        <v>0</v>
      </c>
      <c r="M30" t="s">
        <v>20</v>
      </c>
      <c r="N30" t="s">
        <v>21</v>
      </c>
    </row>
    <row r="31" spans="1:14" x14ac:dyDescent="0.3">
      <c r="A31" t="s">
        <v>1306</v>
      </c>
      <c r="B31" s="2">
        <v>46237</v>
      </c>
      <c r="C31" s="2">
        <v>46240</v>
      </c>
      <c r="D31" s="1" t="s">
        <v>85</v>
      </c>
      <c r="E31" t="s">
        <v>86</v>
      </c>
      <c r="F31" t="s">
        <v>19</v>
      </c>
      <c r="G31">
        <v>94</v>
      </c>
      <c r="H31">
        <v>94</v>
      </c>
      <c r="I31">
        <v>94</v>
      </c>
      <c r="J31">
        <v>0</v>
      </c>
      <c r="K31" s="46">
        <f t="shared" si="1"/>
        <v>100</v>
      </c>
      <c r="L31" s="8">
        <f t="shared" si="0"/>
        <v>0</v>
      </c>
      <c r="M31" t="s">
        <v>20</v>
      </c>
      <c r="N31" t="s">
        <v>21</v>
      </c>
    </row>
    <row r="32" spans="1:14" x14ac:dyDescent="0.3">
      <c r="A32" t="s">
        <v>1310</v>
      </c>
      <c r="B32" s="2">
        <v>46239</v>
      </c>
      <c r="C32" s="2">
        <v>46240</v>
      </c>
      <c r="D32" s="1" t="s">
        <v>85</v>
      </c>
      <c r="E32" t="s">
        <v>86</v>
      </c>
      <c r="F32" t="s">
        <v>19</v>
      </c>
      <c r="G32">
        <v>116</v>
      </c>
      <c r="H32">
        <v>116</v>
      </c>
      <c r="I32">
        <v>116</v>
      </c>
      <c r="J32">
        <v>0</v>
      </c>
      <c r="K32" s="46">
        <f t="shared" si="1"/>
        <v>100</v>
      </c>
      <c r="L32" s="8">
        <f t="shared" si="0"/>
        <v>0</v>
      </c>
      <c r="M32" t="s">
        <v>20</v>
      </c>
      <c r="N32" t="s">
        <v>21</v>
      </c>
    </row>
    <row r="33" spans="1:14" x14ac:dyDescent="0.3">
      <c r="A33" t="s">
        <v>1497</v>
      </c>
      <c r="B33" s="2">
        <v>46241</v>
      </c>
      <c r="C33" s="2">
        <v>46241</v>
      </c>
      <c r="D33" s="1" t="s">
        <v>85</v>
      </c>
      <c r="E33" t="s">
        <v>86</v>
      </c>
      <c r="F33" t="s">
        <v>19</v>
      </c>
      <c r="G33">
        <v>105</v>
      </c>
      <c r="H33">
        <v>105</v>
      </c>
      <c r="I33">
        <v>105</v>
      </c>
      <c r="J33">
        <v>0</v>
      </c>
      <c r="K33" s="46">
        <f t="shared" si="1"/>
        <v>100</v>
      </c>
      <c r="L33" s="8">
        <f t="shared" si="0"/>
        <v>0</v>
      </c>
      <c r="M33" t="s">
        <v>20</v>
      </c>
      <c r="N33" t="s">
        <v>21</v>
      </c>
    </row>
    <row r="34" spans="1:14" x14ac:dyDescent="0.3">
      <c r="A34" t="s">
        <v>1498</v>
      </c>
      <c r="B34" s="2">
        <v>46244</v>
      </c>
      <c r="C34" s="2">
        <v>46244</v>
      </c>
      <c r="D34" s="1" t="s">
        <v>85</v>
      </c>
      <c r="E34" t="s">
        <v>86</v>
      </c>
      <c r="F34" t="s">
        <v>19</v>
      </c>
      <c r="G34">
        <v>105</v>
      </c>
      <c r="H34">
        <v>105</v>
      </c>
      <c r="I34">
        <v>105</v>
      </c>
      <c r="J34">
        <v>0</v>
      </c>
      <c r="K34" s="46">
        <f t="shared" si="1"/>
        <v>100</v>
      </c>
      <c r="L34" s="8">
        <f t="shared" si="0"/>
        <v>0</v>
      </c>
      <c r="M34" t="s">
        <v>20</v>
      </c>
      <c r="N34" t="s">
        <v>21</v>
      </c>
    </row>
    <row r="35" spans="1:14" x14ac:dyDescent="0.3">
      <c r="A35" t="s">
        <v>1499</v>
      </c>
      <c r="B35" s="2">
        <v>46246</v>
      </c>
      <c r="C35" s="2">
        <v>46246</v>
      </c>
      <c r="D35" s="1" t="s">
        <v>85</v>
      </c>
      <c r="E35" t="s">
        <v>86</v>
      </c>
      <c r="F35" t="s">
        <v>19</v>
      </c>
      <c r="G35">
        <v>135</v>
      </c>
      <c r="H35">
        <v>135</v>
      </c>
      <c r="I35">
        <v>135</v>
      </c>
      <c r="J35">
        <v>0</v>
      </c>
      <c r="K35" s="46">
        <f t="shared" si="1"/>
        <v>100</v>
      </c>
      <c r="L35" s="8">
        <f t="shared" si="0"/>
        <v>0</v>
      </c>
      <c r="M35" t="s">
        <v>20</v>
      </c>
      <c r="N35" t="s">
        <v>21</v>
      </c>
    </row>
    <row r="36" spans="1:14" x14ac:dyDescent="0.3">
      <c r="A36" t="s">
        <v>1500</v>
      </c>
      <c r="B36" s="2">
        <v>46248</v>
      </c>
      <c r="C36" s="2">
        <v>46248</v>
      </c>
      <c r="D36" s="1" t="s">
        <v>85</v>
      </c>
      <c r="E36" t="s">
        <v>86</v>
      </c>
      <c r="F36" t="s">
        <v>19</v>
      </c>
      <c r="G36">
        <v>100</v>
      </c>
      <c r="H36">
        <v>100</v>
      </c>
      <c r="I36">
        <v>100</v>
      </c>
      <c r="J36">
        <v>0</v>
      </c>
      <c r="K36" s="46">
        <f t="shared" si="1"/>
        <v>100</v>
      </c>
      <c r="L36" s="8">
        <f t="shared" si="0"/>
        <v>0</v>
      </c>
      <c r="M36" t="s">
        <v>20</v>
      </c>
      <c r="N36" t="s">
        <v>21</v>
      </c>
    </row>
    <row r="37" spans="1:14" x14ac:dyDescent="0.3">
      <c r="A37" t="s">
        <v>1501</v>
      </c>
      <c r="B37" s="2">
        <v>46251</v>
      </c>
      <c r="C37" s="2">
        <v>46252</v>
      </c>
      <c r="D37" s="1" t="s">
        <v>85</v>
      </c>
      <c r="E37" t="s">
        <v>86</v>
      </c>
      <c r="F37" t="s">
        <v>19</v>
      </c>
      <c r="G37">
        <v>105</v>
      </c>
      <c r="H37">
        <v>105</v>
      </c>
      <c r="I37">
        <v>105</v>
      </c>
      <c r="J37">
        <v>0</v>
      </c>
      <c r="K37" s="46">
        <f t="shared" si="1"/>
        <v>100</v>
      </c>
      <c r="L37" s="8">
        <f t="shared" si="0"/>
        <v>0</v>
      </c>
      <c r="M37" t="s">
        <v>20</v>
      </c>
      <c r="N37" t="s">
        <v>21</v>
      </c>
    </row>
    <row r="38" spans="1:14" x14ac:dyDescent="0.3">
      <c r="A38" t="s">
        <v>1502</v>
      </c>
      <c r="B38" s="2">
        <v>46253</v>
      </c>
      <c r="C38" s="2">
        <v>46253</v>
      </c>
      <c r="D38" s="1" t="s">
        <v>85</v>
      </c>
      <c r="E38" t="s">
        <v>86</v>
      </c>
      <c r="F38" t="s">
        <v>19</v>
      </c>
      <c r="G38">
        <v>84</v>
      </c>
      <c r="H38">
        <v>84</v>
      </c>
      <c r="I38">
        <v>84</v>
      </c>
      <c r="J38">
        <v>0</v>
      </c>
      <c r="K38" s="46">
        <f t="shared" si="1"/>
        <v>100</v>
      </c>
      <c r="L38" s="8">
        <f t="shared" si="0"/>
        <v>0</v>
      </c>
      <c r="M38" t="s">
        <v>20</v>
      </c>
      <c r="N38" t="s">
        <v>21</v>
      </c>
    </row>
    <row r="39" spans="1:14" x14ac:dyDescent="0.3">
      <c r="A39" t="s">
        <v>1275</v>
      </c>
      <c r="B39" s="2">
        <v>46238</v>
      </c>
      <c r="C39" s="2">
        <v>46240</v>
      </c>
      <c r="D39" s="1" t="s">
        <v>95</v>
      </c>
      <c r="E39" t="s">
        <v>96</v>
      </c>
      <c r="F39" t="s">
        <v>97</v>
      </c>
      <c r="G39">
        <v>910</v>
      </c>
      <c r="H39">
        <v>980</v>
      </c>
      <c r="I39">
        <v>976</v>
      </c>
      <c r="J39">
        <v>4</v>
      </c>
      <c r="K39" s="46">
        <f t="shared" si="1"/>
        <v>107.69230769230769</v>
      </c>
      <c r="L39" s="8">
        <f t="shared" si="0"/>
        <v>0.4098360655737705</v>
      </c>
      <c r="M39" t="s">
        <v>20</v>
      </c>
      <c r="N39" t="s">
        <v>21</v>
      </c>
    </row>
    <row r="40" spans="1:14" x14ac:dyDescent="0.3">
      <c r="A40" t="s">
        <v>1503</v>
      </c>
      <c r="B40" s="2">
        <v>46240</v>
      </c>
      <c r="C40" s="2">
        <v>46241</v>
      </c>
      <c r="D40" s="1" t="s">
        <v>95</v>
      </c>
      <c r="E40" t="s">
        <v>96</v>
      </c>
      <c r="F40" t="s">
        <v>97</v>
      </c>
      <c r="G40">
        <v>910</v>
      </c>
      <c r="H40">
        <v>976</v>
      </c>
      <c r="I40">
        <v>974</v>
      </c>
      <c r="J40">
        <v>2</v>
      </c>
      <c r="K40" s="46">
        <f t="shared" si="1"/>
        <v>107.25274725274726</v>
      </c>
      <c r="L40" s="8">
        <f t="shared" si="0"/>
        <v>0.20533880903490762</v>
      </c>
      <c r="M40" t="s">
        <v>20</v>
      </c>
      <c r="N40" t="s">
        <v>21</v>
      </c>
    </row>
    <row r="41" spans="1:14" x14ac:dyDescent="0.3">
      <c r="A41" t="s">
        <v>1504</v>
      </c>
      <c r="B41" s="2">
        <v>46245</v>
      </c>
      <c r="C41" s="2">
        <v>46246</v>
      </c>
      <c r="D41" s="1" t="s">
        <v>95</v>
      </c>
      <c r="E41" t="s">
        <v>96</v>
      </c>
      <c r="F41" t="s">
        <v>97</v>
      </c>
      <c r="G41">
        <v>600</v>
      </c>
      <c r="H41">
        <v>630</v>
      </c>
      <c r="I41">
        <v>624</v>
      </c>
      <c r="J41">
        <v>6</v>
      </c>
      <c r="K41" s="46">
        <f t="shared" si="1"/>
        <v>105</v>
      </c>
      <c r="L41" s="8">
        <f t="shared" si="0"/>
        <v>0.96153846153846156</v>
      </c>
      <c r="M41" t="s">
        <v>20</v>
      </c>
      <c r="N41" t="s">
        <v>21</v>
      </c>
    </row>
    <row r="42" spans="1:14" x14ac:dyDescent="0.3">
      <c r="A42" t="s">
        <v>1505</v>
      </c>
      <c r="B42" s="2">
        <v>46247</v>
      </c>
      <c r="C42" s="2">
        <v>46248</v>
      </c>
      <c r="D42" s="1" t="s">
        <v>95</v>
      </c>
      <c r="E42" t="s">
        <v>96</v>
      </c>
      <c r="F42" t="s">
        <v>97</v>
      </c>
      <c r="G42">
        <v>600</v>
      </c>
      <c r="H42">
        <v>700</v>
      </c>
      <c r="I42">
        <v>700</v>
      </c>
      <c r="J42">
        <v>0</v>
      </c>
      <c r="K42" s="46">
        <f t="shared" si="1"/>
        <v>116.66666666666667</v>
      </c>
      <c r="L42" s="8">
        <f t="shared" si="0"/>
        <v>0</v>
      </c>
      <c r="M42" t="s">
        <v>20</v>
      </c>
      <c r="N42" t="s">
        <v>21</v>
      </c>
    </row>
    <row r="43" spans="1:14" x14ac:dyDescent="0.3">
      <c r="A43" t="s">
        <v>1506</v>
      </c>
      <c r="B43" s="2">
        <v>46252</v>
      </c>
      <c r="C43" s="2">
        <v>46253</v>
      </c>
      <c r="D43" s="1" t="s">
        <v>95</v>
      </c>
      <c r="E43" t="s">
        <v>96</v>
      </c>
      <c r="F43" t="s">
        <v>97</v>
      </c>
      <c r="G43">
        <v>600</v>
      </c>
      <c r="H43">
        <v>665</v>
      </c>
      <c r="I43">
        <v>665</v>
      </c>
      <c r="J43">
        <v>0</v>
      </c>
      <c r="K43" s="46">
        <f t="shared" si="1"/>
        <v>110.83333333333334</v>
      </c>
      <c r="L43" s="8">
        <f t="shared" si="0"/>
        <v>0</v>
      </c>
      <c r="M43" t="s">
        <v>20</v>
      </c>
      <c r="N43" t="s">
        <v>21</v>
      </c>
    </row>
    <row r="44" spans="1:14" x14ac:dyDescent="0.3">
      <c r="A44" t="s">
        <v>1507</v>
      </c>
      <c r="B44" s="2">
        <v>46241</v>
      </c>
      <c r="C44" s="2">
        <v>46241</v>
      </c>
      <c r="D44" s="1" t="s">
        <v>102</v>
      </c>
      <c r="E44" t="s">
        <v>103</v>
      </c>
      <c r="F44" t="s">
        <v>61</v>
      </c>
      <c r="G44">
        <v>144</v>
      </c>
      <c r="H44">
        <v>144</v>
      </c>
      <c r="I44">
        <v>144</v>
      </c>
      <c r="J44">
        <v>0</v>
      </c>
      <c r="K44" s="46">
        <f t="shared" si="1"/>
        <v>100</v>
      </c>
      <c r="L44" s="8">
        <f t="shared" si="0"/>
        <v>0</v>
      </c>
      <c r="M44" t="s">
        <v>20</v>
      </c>
      <c r="N44" t="s">
        <v>21</v>
      </c>
    </row>
    <row r="45" spans="1:14" x14ac:dyDescent="0.3">
      <c r="A45" t="s">
        <v>1508</v>
      </c>
      <c r="B45" s="2">
        <v>46241</v>
      </c>
      <c r="C45" s="2">
        <v>46241</v>
      </c>
      <c r="D45" s="1" t="s">
        <v>102</v>
      </c>
      <c r="E45" t="s">
        <v>103</v>
      </c>
      <c r="F45" t="s">
        <v>61</v>
      </c>
      <c r="G45">
        <v>288</v>
      </c>
      <c r="H45">
        <v>306</v>
      </c>
      <c r="I45">
        <v>306</v>
      </c>
      <c r="J45">
        <v>0</v>
      </c>
      <c r="K45" s="46">
        <f t="shared" si="1"/>
        <v>106.25</v>
      </c>
      <c r="L45" s="8">
        <f t="shared" si="0"/>
        <v>0</v>
      </c>
      <c r="M45" t="s">
        <v>20</v>
      </c>
      <c r="N45" t="s">
        <v>21</v>
      </c>
    </row>
    <row r="46" spans="1:14" x14ac:dyDescent="0.3">
      <c r="A46" t="s">
        <v>1509</v>
      </c>
      <c r="B46" s="2">
        <v>46242</v>
      </c>
      <c r="C46" s="2">
        <v>46242</v>
      </c>
      <c r="D46" s="1" t="s">
        <v>102</v>
      </c>
      <c r="E46" t="s">
        <v>103</v>
      </c>
      <c r="F46" t="s">
        <v>61</v>
      </c>
      <c r="G46">
        <v>136</v>
      </c>
      <c r="H46">
        <v>139</v>
      </c>
      <c r="I46">
        <v>139</v>
      </c>
      <c r="J46">
        <v>0</v>
      </c>
      <c r="K46" s="46">
        <f t="shared" si="1"/>
        <v>102.20588235294117</v>
      </c>
      <c r="L46" s="8">
        <f t="shared" si="0"/>
        <v>0</v>
      </c>
      <c r="M46" t="s">
        <v>20</v>
      </c>
      <c r="N46" t="s">
        <v>21</v>
      </c>
    </row>
    <row r="47" spans="1:14" x14ac:dyDescent="0.3">
      <c r="A47" t="s">
        <v>1510</v>
      </c>
      <c r="B47" s="2">
        <v>46242</v>
      </c>
      <c r="C47" s="2">
        <v>46242</v>
      </c>
      <c r="D47" s="1" t="s">
        <v>102</v>
      </c>
      <c r="E47" t="s">
        <v>103</v>
      </c>
      <c r="F47" t="s">
        <v>61</v>
      </c>
      <c r="G47">
        <v>272</v>
      </c>
      <c r="H47">
        <v>275</v>
      </c>
      <c r="I47">
        <v>275</v>
      </c>
      <c r="J47">
        <v>0</v>
      </c>
      <c r="K47" s="46">
        <f t="shared" si="1"/>
        <v>101.10294117647058</v>
      </c>
      <c r="L47" s="8">
        <f t="shared" si="0"/>
        <v>0</v>
      </c>
      <c r="M47" t="s">
        <v>20</v>
      </c>
      <c r="N47" t="s">
        <v>21</v>
      </c>
    </row>
    <row r="48" spans="1:14" x14ac:dyDescent="0.3">
      <c r="A48" t="s">
        <v>1511</v>
      </c>
      <c r="B48" s="2">
        <v>46244</v>
      </c>
      <c r="C48" s="2">
        <v>46244</v>
      </c>
      <c r="D48" s="1" t="s">
        <v>102</v>
      </c>
      <c r="E48" t="s">
        <v>103</v>
      </c>
      <c r="F48" t="s">
        <v>61</v>
      </c>
      <c r="G48">
        <v>132</v>
      </c>
      <c r="H48">
        <v>134</v>
      </c>
      <c r="I48">
        <v>134</v>
      </c>
      <c r="J48">
        <v>0</v>
      </c>
      <c r="K48" s="46">
        <f t="shared" si="1"/>
        <v>101.51515151515152</v>
      </c>
      <c r="L48" s="8">
        <f t="shared" si="0"/>
        <v>0</v>
      </c>
      <c r="M48" t="s">
        <v>20</v>
      </c>
      <c r="N48" t="s">
        <v>21</v>
      </c>
    </row>
    <row r="49" spans="1:14" x14ac:dyDescent="0.3">
      <c r="A49" t="s">
        <v>1512</v>
      </c>
      <c r="B49" s="2">
        <v>46244</v>
      </c>
      <c r="C49" s="2">
        <v>46244</v>
      </c>
      <c r="D49" s="1" t="s">
        <v>102</v>
      </c>
      <c r="E49" t="s">
        <v>103</v>
      </c>
      <c r="F49" t="s">
        <v>61</v>
      </c>
      <c r="G49">
        <v>264</v>
      </c>
      <c r="H49">
        <v>268</v>
      </c>
      <c r="I49">
        <v>268</v>
      </c>
      <c r="J49">
        <v>0</v>
      </c>
      <c r="K49" s="46">
        <f t="shared" si="1"/>
        <v>101.51515151515152</v>
      </c>
      <c r="L49" s="8">
        <f t="shared" si="0"/>
        <v>0</v>
      </c>
      <c r="M49" t="s">
        <v>20</v>
      </c>
      <c r="N49" t="s">
        <v>21</v>
      </c>
    </row>
    <row r="50" spans="1:14" x14ac:dyDescent="0.3">
      <c r="A50" t="s">
        <v>1513</v>
      </c>
      <c r="B50" s="2">
        <v>46245</v>
      </c>
      <c r="C50" s="2">
        <v>46246</v>
      </c>
      <c r="D50" s="1" t="s">
        <v>102</v>
      </c>
      <c r="E50" t="s">
        <v>103</v>
      </c>
      <c r="F50" t="s">
        <v>61</v>
      </c>
      <c r="G50">
        <v>136</v>
      </c>
      <c r="H50">
        <v>136</v>
      </c>
      <c r="I50">
        <v>136</v>
      </c>
      <c r="J50">
        <v>0</v>
      </c>
      <c r="K50" s="46">
        <f t="shared" si="1"/>
        <v>100</v>
      </c>
      <c r="L50" s="8">
        <f t="shared" si="0"/>
        <v>0</v>
      </c>
      <c r="M50" t="s">
        <v>20</v>
      </c>
      <c r="N50" t="s">
        <v>21</v>
      </c>
    </row>
    <row r="51" spans="1:14" x14ac:dyDescent="0.3">
      <c r="A51" t="s">
        <v>1514</v>
      </c>
      <c r="B51" s="2">
        <v>46245</v>
      </c>
      <c r="C51" s="2">
        <v>46246</v>
      </c>
      <c r="D51" s="1" t="s">
        <v>102</v>
      </c>
      <c r="E51" t="s">
        <v>103</v>
      </c>
      <c r="F51" t="s">
        <v>61</v>
      </c>
      <c r="G51">
        <v>272</v>
      </c>
      <c r="H51">
        <v>278</v>
      </c>
      <c r="I51">
        <v>278</v>
      </c>
      <c r="J51">
        <v>0</v>
      </c>
      <c r="K51" s="46">
        <f t="shared" si="1"/>
        <v>102.20588235294117</v>
      </c>
      <c r="L51" s="8">
        <f t="shared" si="0"/>
        <v>0</v>
      </c>
      <c r="M51" t="s">
        <v>20</v>
      </c>
      <c r="N51" t="s">
        <v>21</v>
      </c>
    </row>
    <row r="52" spans="1:14" x14ac:dyDescent="0.3">
      <c r="A52" t="s">
        <v>1515</v>
      </c>
      <c r="B52" s="2">
        <v>46246</v>
      </c>
      <c r="C52" s="2">
        <v>46246</v>
      </c>
      <c r="D52" s="1" t="s">
        <v>102</v>
      </c>
      <c r="E52" t="s">
        <v>103</v>
      </c>
      <c r="F52" t="s">
        <v>61</v>
      </c>
      <c r="G52">
        <v>134</v>
      </c>
      <c r="H52">
        <v>134</v>
      </c>
      <c r="I52">
        <v>134</v>
      </c>
      <c r="J52">
        <v>0</v>
      </c>
      <c r="K52" s="46">
        <f t="shared" si="1"/>
        <v>100</v>
      </c>
      <c r="L52" s="8">
        <f t="shared" si="0"/>
        <v>0</v>
      </c>
      <c r="M52" t="s">
        <v>20</v>
      </c>
      <c r="N52" t="s">
        <v>21</v>
      </c>
    </row>
    <row r="53" spans="1:14" x14ac:dyDescent="0.3">
      <c r="A53" t="s">
        <v>1516</v>
      </c>
      <c r="B53" s="2">
        <v>46246</v>
      </c>
      <c r="C53" s="2">
        <v>46246</v>
      </c>
      <c r="D53" s="1" t="s">
        <v>102</v>
      </c>
      <c r="E53" t="s">
        <v>103</v>
      </c>
      <c r="F53" t="s">
        <v>61</v>
      </c>
      <c r="G53">
        <v>268</v>
      </c>
      <c r="H53">
        <v>280</v>
      </c>
      <c r="I53">
        <v>280</v>
      </c>
      <c r="J53">
        <v>0</v>
      </c>
      <c r="K53" s="46">
        <f t="shared" si="1"/>
        <v>104.4776119402985</v>
      </c>
      <c r="L53" s="8">
        <f t="shared" si="0"/>
        <v>0</v>
      </c>
      <c r="M53" t="s">
        <v>20</v>
      </c>
      <c r="N53" t="s">
        <v>21</v>
      </c>
    </row>
    <row r="54" spans="1:14" x14ac:dyDescent="0.3">
      <c r="A54" t="s">
        <v>1517</v>
      </c>
      <c r="B54" s="2">
        <v>46247</v>
      </c>
      <c r="C54" s="2">
        <v>46248</v>
      </c>
      <c r="D54" s="1" t="s">
        <v>102</v>
      </c>
      <c r="E54" t="s">
        <v>103</v>
      </c>
      <c r="F54" t="s">
        <v>61</v>
      </c>
      <c r="G54">
        <v>144</v>
      </c>
      <c r="H54">
        <v>144</v>
      </c>
      <c r="I54">
        <v>144</v>
      </c>
      <c r="J54">
        <v>0</v>
      </c>
      <c r="K54" s="46">
        <f t="shared" si="1"/>
        <v>100</v>
      </c>
      <c r="L54" s="8">
        <f t="shared" si="0"/>
        <v>0</v>
      </c>
      <c r="M54" t="s">
        <v>20</v>
      </c>
      <c r="N54" t="s">
        <v>21</v>
      </c>
    </row>
    <row r="55" spans="1:14" x14ac:dyDescent="0.3">
      <c r="A55" t="s">
        <v>1518</v>
      </c>
      <c r="B55" s="2">
        <v>46247</v>
      </c>
      <c r="C55" s="2">
        <v>46248</v>
      </c>
      <c r="D55" s="1" t="s">
        <v>102</v>
      </c>
      <c r="E55" t="s">
        <v>103</v>
      </c>
      <c r="F55" t="s">
        <v>61</v>
      </c>
      <c r="G55">
        <v>288</v>
      </c>
      <c r="H55">
        <v>294</v>
      </c>
      <c r="I55">
        <v>294</v>
      </c>
      <c r="J55">
        <v>0</v>
      </c>
      <c r="K55" s="46">
        <f t="shared" si="1"/>
        <v>102.08333333333333</v>
      </c>
      <c r="L55" s="8">
        <f t="shared" si="0"/>
        <v>0</v>
      </c>
      <c r="M55" t="s">
        <v>20</v>
      </c>
      <c r="N55" t="s">
        <v>21</v>
      </c>
    </row>
    <row r="56" spans="1:14" x14ac:dyDescent="0.3">
      <c r="A56" t="s">
        <v>1519</v>
      </c>
      <c r="B56" s="2">
        <v>46248</v>
      </c>
      <c r="C56" s="2">
        <v>46248</v>
      </c>
      <c r="D56" s="1" t="s">
        <v>102</v>
      </c>
      <c r="E56" t="s">
        <v>103</v>
      </c>
      <c r="F56" t="s">
        <v>61</v>
      </c>
      <c r="G56">
        <v>142</v>
      </c>
      <c r="H56">
        <v>142</v>
      </c>
      <c r="I56">
        <v>142</v>
      </c>
      <c r="J56">
        <v>0</v>
      </c>
      <c r="K56" s="46">
        <f t="shared" si="1"/>
        <v>100</v>
      </c>
      <c r="L56" s="8">
        <f t="shared" si="0"/>
        <v>0</v>
      </c>
      <c r="M56" t="s">
        <v>20</v>
      </c>
      <c r="N56" t="s">
        <v>21</v>
      </c>
    </row>
    <row r="57" spans="1:14" x14ac:dyDescent="0.3">
      <c r="A57" t="s">
        <v>1520</v>
      </c>
      <c r="B57" s="2">
        <v>46248</v>
      </c>
      <c r="C57" s="2">
        <v>46248</v>
      </c>
      <c r="D57" s="1" t="s">
        <v>102</v>
      </c>
      <c r="E57" t="s">
        <v>103</v>
      </c>
      <c r="F57" t="s">
        <v>61</v>
      </c>
      <c r="G57">
        <v>284</v>
      </c>
      <c r="H57">
        <v>272</v>
      </c>
      <c r="I57">
        <v>272</v>
      </c>
      <c r="J57">
        <v>0</v>
      </c>
      <c r="K57" s="46">
        <f t="shared" si="1"/>
        <v>95.774647887323937</v>
      </c>
      <c r="L57" s="8">
        <f t="shared" si="0"/>
        <v>0</v>
      </c>
      <c r="M57" t="s">
        <v>20</v>
      </c>
      <c r="N57" t="s">
        <v>21</v>
      </c>
    </row>
    <row r="58" spans="1:14" x14ac:dyDescent="0.3">
      <c r="A58" t="s">
        <v>1269</v>
      </c>
      <c r="B58" s="2">
        <v>46237</v>
      </c>
      <c r="C58" s="2">
        <v>46240</v>
      </c>
      <c r="D58" s="1" t="s">
        <v>129</v>
      </c>
      <c r="E58" t="s">
        <v>130</v>
      </c>
      <c r="F58" t="s">
        <v>61</v>
      </c>
      <c r="G58">
        <v>300</v>
      </c>
      <c r="H58">
        <v>304</v>
      </c>
      <c r="I58">
        <v>300</v>
      </c>
      <c r="J58">
        <v>4</v>
      </c>
      <c r="K58" s="46">
        <f t="shared" si="1"/>
        <v>101.33333333333334</v>
      </c>
      <c r="L58" s="8">
        <f t="shared" si="0"/>
        <v>1.3333333333333335</v>
      </c>
      <c r="M58" t="s">
        <v>20</v>
      </c>
      <c r="N58" t="s">
        <v>21</v>
      </c>
    </row>
    <row r="59" spans="1:14" x14ac:dyDescent="0.3">
      <c r="A59" t="s">
        <v>1273</v>
      </c>
      <c r="B59" s="2">
        <v>46235</v>
      </c>
      <c r="C59" s="2">
        <v>46240</v>
      </c>
      <c r="D59" s="1" t="s">
        <v>129</v>
      </c>
      <c r="E59" t="s">
        <v>130</v>
      </c>
      <c r="F59" t="s">
        <v>61</v>
      </c>
      <c r="G59">
        <v>300</v>
      </c>
      <c r="H59">
        <v>318</v>
      </c>
      <c r="I59">
        <v>318</v>
      </c>
      <c r="J59">
        <v>0</v>
      </c>
      <c r="K59" s="46">
        <f t="shared" si="1"/>
        <v>106</v>
      </c>
      <c r="L59" s="8">
        <f t="shared" si="0"/>
        <v>0</v>
      </c>
      <c r="M59" t="s">
        <v>20</v>
      </c>
      <c r="N59" t="s">
        <v>21</v>
      </c>
    </row>
    <row r="60" spans="1:14" x14ac:dyDescent="0.3">
      <c r="A60" t="s">
        <v>1285</v>
      </c>
      <c r="B60" s="2">
        <v>46238</v>
      </c>
      <c r="C60" s="2">
        <v>46240</v>
      </c>
      <c r="D60" s="1" t="s">
        <v>129</v>
      </c>
      <c r="E60" t="s">
        <v>130</v>
      </c>
      <c r="F60" t="s">
        <v>61</v>
      </c>
      <c r="G60">
        <v>318</v>
      </c>
      <c r="H60">
        <v>318</v>
      </c>
      <c r="I60">
        <v>318</v>
      </c>
      <c r="J60">
        <v>0</v>
      </c>
      <c r="K60" s="46">
        <f t="shared" si="1"/>
        <v>100</v>
      </c>
      <c r="L60" s="8">
        <f t="shared" si="0"/>
        <v>0</v>
      </c>
      <c r="M60" t="s">
        <v>20</v>
      </c>
      <c r="N60" t="s">
        <v>21</v>
      </c>
    </row>
    <row r="61" spans="1:14" x14ac:dyDescent="0.3">
      <c r="A61" t="s">
        <v>1291</v>
      </c>
      <c r="B61" s="2">
        <v>46239</v>
      </c>
      <c r="C61" s="2">
        <v>46240</v>
      </c>
      <c r="D61" s="1" t="s">
        <v>129</v>
      </c>
      <c r="E61" t="s">
        <v>130</v>
      </c>
      <c r="F61" t="s">
        <v>61</v>
      </c>
      <c r="G61">
        <v>282</v>
      </c>
      <c r="H61">
        <v>306</v>
      </c>
      <c r="I61">
        <v>306</v>
      </c>
      <c r="J61">
        <v>0</v>
      </c>
      <c r="K61" s="46">
        <f t="shared" si="1"/>
        <v>108.51063829787233</v>
      </c>
      <c r="L61" s="8">
        <f t="shared" si="0"/>
        <v>0</v>
      </c>
      <c r="M61" t="s">
        <v>20</v>
      </c>
      <c r="N61" t="s">
        <v>21</v>
      </c>
    </row>
    <row r="62" spans="1:14" x14ac:dyDescent="0.3">
      <c r="A62" t="s">
        <v>1521</v>
      </c>
      <c r="B62" s="2">
        <v>46240</v>
      </c>
      <c r="C62" s="2">
        <v>46245</v>
      </c>
      <c r="D62" s="1" t="s">
        <v>129</v>
      </c>
      <c r="E62" t="s">
        <v>130</v>
      </c>
      <c r="F62" t="s">
        <v>61</v>
      </c>
      <c r="G62">
        <v>366</v>
      </c>
      <c r="H62">
        <v>318</v>
      </c>
      <c r="I62">
        <v>318</v>
      </c>
      <c r="J62">
        <v>0</v>
      </c>
      <c r="K62" s="46">
        <f t="shared" si="1"/>
        <v>86.885245901639337</v>
      </c>
      <c r="L62" s="8">
        <f t="shared" si="0"/>
        <v>0</v>
      </c>
      <c r="M62" t="s">
        <v>20</v>
      </c>
      <c r="N62" t="s">
        <v>21</v>
      </c>
    </row>
    <row r="63" spans="1:14" x14ac:dyDescent="0.3">
      <c r="A63" t="s">
        <v>1522</v>
      </c>
      <c r="B63" s="2">
        <v>46240</v>
      </c>
      <c r="C63" s="2">
        <v>46241</v>
      </c>
      <c r="D63" s="1" t="s">
        <v>129</v>
      </c>
      <c r="E63" t="s">
        <v>130</v>
      </c>
      <c r="F63" t="s">
        <v>61</v>
      </c>
      <c r="G63">
        <v>284</v>
      </c>
      <c r="H63">
        <v>296</v>
      </c>
      <c r="I63">
        <v>294</v>
      </c>
      <c r="J63">
        <v>2</v>
      </c>
      <c r="K63" s="46">
        <f t="shared" si="1"/>
        <v>104.22535211267605</v>
      </c>
      <c r="L63" s="8">
        <f t="shared" si="0"/>
        <v>0.68027210884353739</v>
      </c>
      <c r="M63" t="s">
        <v>20</v>
      </c>
      <c r="N63" t="s">
        <v>21</v>
      </c>
    </row>
    <row r="64" spans="1:14" x14ac:dyDescent="0.3">
      <c r="A64" t="s">
        <v>1523</v>
      </c>
      <c r="B64" s="2">
        <v>46241</v>
      </c>
      <c r="C64" s="2">
        <v>46241</v>
      </c>
      <c r="D64" s="1" t="s">
        <v>129</v>
      </c>
      <c r="E64" t="s">
        <v>130</v>
      </c>
      <c r="F64" t="s">
        <v>61</v>
      </c>
      <c r="G64">
        <v>312</v>
      </c>
      <c r="H64">
        <v>300</v>
      </c>
      <c r="I64">
        <v>300</v>
      </c>
      <c r="J64">
        <v>0</v>
      </c>
      <c r="K64" s="46">
        <f t="shared" si="1"/>
        <v>96.15384615384616</v>
      </c>
      <c r="L64" s="8">
        <f t="shared" si="0"/>
        <v>0</v>
      </c>
      <c r="M64" t="s">
        <v>20</v>
      </c>
      <c r="N64" t="s">
        <v>21</v>
      </c>
    </row>
    <row r="65" spans="1:14" x14ac:dyDescent="0.3">
      <c r="A65" t="s">
        <v>1524</v>
      </c>
      <c r="B65" s="2">
        <v>46242</v>
      </c>
      <c r="C65" s="2">
        <v>46242</v>
      </c>
      <c r="D65" s="1" t="s">
        <v>129</v>
      </c>
      <c r="E65" t="s">
        <v>130</v>
      </c>
      <c r="F65" t="s">
        <v>61</v>
      </c>
      <c r="G65">
        <v>312</v>
      </c>
      <c r="H65">
        <v>320</v>
      </c>
      <c r="I65">
        <v>318</v>
      </c>
      <c r="J65">
        <v>2</v>
      </c>
      <c r="K65" s="46">
        <f t="shared" si="1"/>
        <v>102.56410256410255</v>
      </c>
      <c r="L65" s="8">
        <f t="shared" si="0"/>
        <v>0.62893081761006298</v>
      </c>
      <c r="M65" t="s">
        <v>20</v>
      </c>
      <c r="N65" t="s">
        <v>21</v>
      </c>
    </row>
    <row r="66" spans="1:14" x14ac:dyDescent="0.3">
      <c r="A66" t="s">
        <v>1525</v>
      </c>
      <c r="B66" s="2">
        <v>46244</v>
      </c>
      <c r="C66" s="2">
        <v>46246</v>
      </c>
      <c r="D66" s="1" t="s">
        <v>129</v>
      </c>
      <c r="E66" t="s">
        <v>130</v>
      </c>
      <c r="F66" t="s">
        <v>61</v>
      </c>
      <c r="G66">
        <v>294</v>
      </c>
      <c r="H66">
        <v>303</v>
      </c>
      <c r="I66">
        <v>294</v>
      </c>
      <c r="J66">
        <v>9</v>
      </c>
      <c r="K66" s="46">
        <f t="shared" si="1"/>
        <v>103.0612244897959</v>
      </c>
      <c r="L66" s="8">
        <f t="shared" si="0"/>
        <v>3.0612244897959182</v>
      </c>
      <c r="M66" t="s">
        <v>20</v>
      </c>
      <c r="N66" t="s">
        <v>21</v>
      </c>
    </row>
    <row r="67" spans="1:14" x14ac:dyDescent="0.3">
      <c r="A67" t="s">
        <v>1526</v>
      </c>
      <c r="B67" s="2">
        <v>46245</v>
      </c>
      <c r="C67" s="2">
        <v>46246</v>
      </c>
      <c r="D67" s="1" t="s">
        <v>129</v>
      </c>
      <c r="E67" t="s">
        <v>130</v>
      </c>
      <c r="F67" t="s">
        <v>61</v>
      </c>
      <c r="G67">
        <v>294</v>
      </c>
      <c r="H67">
        <v>300</v>
      </c>
      <c r="I67">
        <v>300</v>
      </c>
      <c r="J67">
        <v>0</v>
      </c>
      <c r="K67" s="46">
        <f t="shared" ref="K67:K130" si="2">(H67/G67)*100</f>
        <v>102.04081632653062</v>
      </c>
      <c r="L67" s="8">
        <f t="shared" ref="L67:L130" si="3">((H67-I67)/I67)*100</f>
        <v>0</v>
      </c>
      <c r="M67" t="s">
        <v>20</v>
      </c>
      <c r="N67" t="s">
        <v>21</v>
      </c>
    </row>
    <row r="68" spans="1:14" x14ac:dyDescent="0.3">
      <c r="A68" t="s">
        <v>1527</v>
      </c>
      <c r="B68" s="2">
        <v>46246</v>
      </c>
      <c r="C68" s="2">
        <v>46248</v>
      </c>
      <c r="D68" s="1" t="s">
        <v>129</v>
      </c>
      <c r="E68" t="s">
        <v>130</v>
      </c>
      <c r="F68" t="s">
        <v>61</v>
      </c>
      <c r="G68">
        <v>312</v>
      </c>
      <c r="H68">
        <v>318</v>
      </c>
      <c r="I68">
        <v>318</v>
      </c>
      <c r="J68">
        <v>0</v>
      </c>
      <c r="K68" s="46">
        <f t="shared" si="2"/>
        <v>101.92307692307692</v>
      </c>
      <c r="L68" s="8">
        <f t="shared" si="3"/>
        <v>0</v>
      </c>
      <c r="M68" t="s">
        <v>20</v>
      </c>
      <c r="N68" t="s">
        <v>21</v>
      </c>
    </row>
    <row r="69" spans="1:14" x14ac:dyDescent="0.3">
      <c r="A69" t="s">
        <v>1528</v>
      </c>
      <c r="B69" s="2">
        <v>46247</v>
      </c>
      <c r="C69" s="2">
        <v>46248</v>
      </c>
      <c r="D69" s="1" t="s">
        <v>129</v>
      </c>
      <c r="E69" t="s">
        <v>130</v>
      </c>
      <c r="F69" t="s">
        <v>61</v>
      </c>
      <c r="G69">
        <v>348</v>
      </c>
      <c r="H69">
        <v>348</v>
      </c>
      <c r="I69">
        <v>348</v>
      </c>
      <c r="J69">
        <v>0</v>
      </c>
      <c r="K69" s="46">
        <f t="shared" si="2"/>
        <v>100</v>
      </c>
      <c r="L69" s="8">
        <f t="shared" si="3"/>
        <v>0</v>
      </c>
      <c r="M69" t="s">
        <v>20</v>
      </c>
      <c r="N69" t="s">
        <v>21</v>
      </c>
    </row>
    <row r="70" spans="1:14" x14ac:dyDescent="0.3">
      <c r="A70" t="s">
        <v>1529</v>
      </c>
      <c r="B70" s="2">
        <v>46248</v>
      </c>
      <c r="C70" s="2">
        <v>46251</v>
      </c>
      <c r="D70" s="1" t="s">
        <v>129</v>
      </c>
      <c r="E70" t="s">
        <v>130</v>
      </c>
      <c r="F70" t="s">
        <v>61</v>
      </c>
      <c r="G70">
        <v>288</v>
      </c>
      <c r="H70">
        <v>300</v>
      </c>
      <c r="I70">
        <v>300</v>
      </c>
      <c r="J70">
        <v>0</v>
      </c>
      <c r="K70" s="46">
        <f t="shared" si="2"/>
        <v>104.16666666666667</v>
      </c>
      <c r="L70" s="8">
        <f t="shared" si="3"/>
        <v>0</v>
      </c>
      <c r="M70" t="s">
        <v>20</v>
      </c>
      <c r="N70" t="s">
        <v>21</v>
      </c>
    </row>
    <row r="71" spans="1:14" x14ac:dyDescent="0.3">
      <c r="A71" t="s">
        <v>1530</v>
      </c>
      <c r="B71" s="2">
        <v>46251</v>
      </c>
      <c r="C71" s="2">
        <v>46253</v>
      </c>
      <c r="D71" s="1" t="s">
        <v>129</v>
      </c>
      <c r="E71" t="s">
        <v>130</v>
      </c>
      <c r="F71" t="s">
        <v>61</v>
      </c>
      <c r="G71">
        <v>294</v>
      </c>
      <c r="H71">
        <v>299</v>
      </c>
      <c r="I71">
        <v>299</v>
      </c>
      <c r="J71">
        <v>0</v>
      </c>
      <c r="K71" s="46">
        <f t="shared" si="2"/>
        <v>101.70068027210884</v>
      </c>
      <c r="L71" s="8">
        <f t="shared" si="3"/>
        <v>0</v>
      </c>
      <c r="M71" t="s">
        <v>20</v>
      </c>
      <c r="N71" t="s">
        <v>21</v>
      </c>
    </row>
    <row r="72" spans="1:14" x14ac:dyDescent="0.3">
      <c r="A72" t="s">
        <v>1531</v>
      </c>
      <c r="B72" s="2">
        <v>46252</v>
      </c>
      <c r="C72" s="2">
        <v>46253</v>
      </c>
      <c r="D72" s="1" t="s">
        <v>129</v>
      </c>
      <c r="E72" t="s">
        <v>130</v>
      </c>
      <c r="F72" t="s">
        <v>61</v>
      </c>
      <c r="G72">
        <v>294</v>
      </c>
      <c r="H72">
        <v>305</v>
      </c>
      <c r="I72">
        <v>305</v>
      </c>
      <c r="J72">
        <v>0</v>
      </c>
      <c r="K72" s="46">
        <f t="shared" si="2"/>
        <v>103.74149659863944</v>
      </c>
      <c r="L72" s="8">
        <f t="shared" si="3"/>
        <v>0</v>
      </c>
      <c r="M72" t="s">
        <v>20</v>
      </c>
      <c r="N72" t="s">
        <v>21</v>
      </c>
    </row>
    <row r="73" spans="1:14" x14ac:dyDescent="0.3">
      <c r="A73" t="s">
        <v>1295</v>
      </c>
      <c r="B73" s="2">
        <v>46239</v>
      </c>
      <c r="C73" s="2">
        <v>46240</v>
      </c>
      <c r="D73" s="1" t="s">
        <v>1296</v>
      </c>
      <c r="E73" t="s">
        <v>1297</v>
      </c>
      <c r="F73" t="s">
        <v>39</v>
      </c>
      <c r="G73">
        <v>180</v>
      </c>
      <c r="H73">
        <v>195</v>
      </c>
      <c r="I73">
        <v>195</v>
      </c>
      <c r="J73">
        <v>0</v>
      </c>
      <c r="K73" s="46">
        <f t="shared" si="2"/>
        <v>108.33333333333333</v>
      </c>
      <c r="L73" s="8">
        <f t="shared" si="3"/>
        <v>0</v>
      </c>
      <c r="M73" t="s">
        <v>20</v>
      </c>
      <c r="N73" t="s">
        <v>21</v>
      </c>
    </row>
    <row r="74" spans="1:14" x14ac:dyDescent="0.3">
      <c r="A74" t="s">
        <v>1532</v>
      </c>
      <c r="B74" s="2">
        <v>46240</v>
      </c>
      <c r="C74" s="2">
        <v>46241</v>
      </c>
      <c r="D74" s="1" t="s">
        <v>1533</v>
      </c>
      <c r="E74" t="s">
        <v>1534</v>
      </c>
      <c r="F74" t="s">
        <v>1304</v>
      </c>
      <c r="G74">
        <v>2008</v>
      </c>
      <c r="H74">
        <v>2006</v>
      </c>
      <c r="I74">
        <v>2006</v>
      </c>
      <c r="J74">
        <v>0</v>
      </c>
      <c r="K74" s="46">
        <f t="shared" si="2"/>
        <v>99.900398406374507</v>
      </c>
      <c r="L74" s="8">
        <f t="shared" si="3"/>
        <v>0</v>
      </c>
      <c r="M74" t="s">
        <v>20</v>
      </c>
      <c r="N74" t="s">
        <v>21</v>
      </c>
    </row>
    <row r="75" spans="1:14" x14ac:dyDescent="0.3">
      <c r="A75" t="s">
        <v>1535</v>
      </c>
      <c r="B75" s="2">
        <v>46244</v>
      </c>
      <c r="C75" s="2">
        <v>46246</v>
      </c>
      <c r="D75" s="1" t="s">
        <v>1533</v>
      </c>
      <c r="E75" t="s">
        <v>1534</v>
      </c>
      <c r="F75" t="s">
        <v>1304</v>
      </c>
      <c r="G75">
        <v>266</v>
      </c>
      <c r="H75">
        <v>266</v>
      </c>
      <c r="I75">
        <v>266</v>
      </c>
      <c r="J75">
        <v>0</v>
      </c>
      <c r="K75" s="46">
        <f t="shared" si="2"/>
        <v>100</v>
      </c>
      <c r="L75" s="8">
        <f t="shared" si="3"/>
        <v>0</v>
      </c>
      <c r="M75" t="s">
        <v>20</v>
      </c>
      <c r="N75" t="s">
        <v>21</v>
      </c>
    </row>
    <row r="76" spans="1:14" x14ac:dyDescent="0.3">
      <c r="A76" t="s">
        <v>1536</v>
      </c>
      <c r="B76" s="2">
        <v>46245</v>
      </c>
      <c r="C76" s="2">
        <v>46248</v>
      </c>
      <c r="D76" s="1" t="s">
        <v>1533</v>
      </c>
      <c r="E76" t="s">
        <v>1534</v>
      </c>
      <c r="F76" t="s">
        <v>1304</v>
      </c>
      <c r="G76">
        <v>266</v>
      </c>
      <c r="H76">
        <v>266</v>
      </c>
      <c r="I76">
        <v>266</v>
      </c>
      <c r="J76">
        <v>0</v>
      </c>
      <c r="K76" s="46">
        <f t="shared" si="2"/>
        <v>100</v>
      </c>
      <c r="L76" s="8">
        <f t="shared" si="3"/>
        <v>0</v>
      </c>
      <c r="M76" t="s">
        <v>20</v>
      </c>
      <c r="N76" t="s">
        <v>21</v>
      </c>
    </row>
    <row r="77" spans="1:14" x14ac:dyDescent="0.3">
      <c r="A77" t="s">
        <v>1537</v>
      </c>
      <c r="B77" s="2">
        <v>46248</v>
      </c>
      <c r="C77" s="2">
        <v>46248</v>
      </c>
      <c r="D77" s="1" t="s">
        <v>1533</v>
      </c>
      <c r="E77" t="s">
        <v>1534</v>
      </c>
      <c r="F77" t="s">
        <v>1304</v>
      </c>
      <c r="G77">
        <v>784</v>
      </c>
      <c r="H77">
        <v>784</v>
      </c>
      <c r="I77">
        <v>784</v>
      </c>
      <c r="J77">
        <v>0</v>
      </c>
      <c r="K77" s="46">
        <f t="shared" si="2"/>
        <v>100</v>
      </c>
      <c r="L77" s="8">
        <f t="shared" si="3"/>
        <v>0</v>
      </c>
      <c r="M77" t="s">
        <v>20</v>
      </c>
      <c r="N77" t="s">
        <v>21</v>
      </c>
    </row>
    <row r="78" spans="1:14" x14ac:dyDescent="0.3">
      <c r="A78" t="s">
        <v>1538</v>
      </c>
      <c r="B78" s="2">
        <v>46252</v>
      </c>
      <c r="C78" s="2">
        <v>46253</v>
      </c>
      <c r="D78" s="1" t="s">
        <v>1539</v>
      </c>
      <c r="E78" t="s">
        <v>1540</v>
      </c>
      <c r="F78" t="s">
        <v>39</v>
      </c>
      <c r="G78">
        <v>65</v>
      </c>
      <c r="H78">
        <v>53</v>
      </c>
      <c r="I78">
        <v>53</v>
      </c>
      <c r="J78">
        <v>0</v>
      </c>
      <c r="K78" s="46">
        <f t="shared" si="2"/>
        <v>81.538461538461533</v>
      </c>
      <c r="L78" s="8">
        <f t="shared" si="3"/>
        <v>0</v>
      </c>
      <c r="M78" t="s">
        <v>20</v>
      </c>
      <c r="N78" t="s">
        <v>21</v>
      </c>
    </row>
    <row r="79" spans="1:14" x14ac:dyDescent="0.3">
      <c r="A79" t="s">
        <v>1541</v>
      </c>
      <c r="B79" s="2">
        <v>46244</v>
      </c>
      <c r="C79" s="2">
        <v>46244</v>
      </c>
      <c r="D79" s="1" t="s">
        <v>147</v>
      </c>
      <c r="E79" t="s">
        <v>148</v>
      </c>
      <c r="F79" t="s">
        <v>39</v>
      </c>
      <c r="G79">
        <v>142</v>
      </c>
      <c r="H79">
        <v>179</v>
      </c>
      <c r="I79">
        <v>179</v>
      </c>
      <c r="J79">
        <v>0</v>
      </c>
      <c r="K79" s="46">
        <f t="shared" si="2"/>
        <v>126.05633802816902</v>
      </c>
      <c r="L79" s="8">
        <f t="shared" si="3"/>
        <v>0</v>
      </c>
      <c r="M79" t="s">
        <v>20</v>
      </c>
      <c r="N79" t="s">
        <v>21</v>
      </c>
    </row>
    <row r="80" spans="1:14" x14ac:dyDescent="0.3">
      <c r="A80" t="s">
        <v>1542</v>
      </c>
      <c r="B80" s="2">
        <v>46246</v>
      </c>
      <c r="C80" s="2">
        <v>46246</v>
      </c>
      <c r="D80" s="1" t="s">
        <v>147</v>
      </c>
      <c r="E80" t="s">
        <v>148</v>
      </c>
      <c r="F80" t="s">
        <v>39</v>
      </c>
      <c r="G80">
        <v>142</v>
      </c>
      <c r="H80">
        <v>161</v>
      </c>
      <c r="I80">
        <v>161</v>
      </c>
      <c r="J80">
        <v>0</v>
      </c>
      <c r="K80" s="46">
        <f t="shared" si="2"/>
        <v>113.38028169014085</v>
      </c>
      <c r="L80" s="8">
        <f t="shared" si="3"/>
        <v>0</v>
      </c>
      <c r="M80" t="s">
        <v>20</v>
      </c>
      <c r="N80" t="s">
        <v>21</v>
      </c>
    </row>
    <row r="81" spans="1:14" x14ac:dyDescent="0.3">
      <c r="A81" t="s">
        <v>1543</v>
      </c>
      <c r="B81" s="2">
        <v>46248</v>
      </c>
      <c r="C81" s="2">
        <v>46248</v>
      </c>
      <c r="D81" s="1" t="s">
        <v>147</v>
      </c>
      <c r="E81" t="s">
        <v>148</v>
      </c>
      <c r="F81" t="s">
        <v>39</v>
      </c>
      <c r="G81">
        <v>142</v>
      </c>
      <c r="H81">
        <v>156</v>
      </c>
      <c r="I81">
        <v>156</v>
      </c>
      <c r="J81">
        <v>0</v>
      </c>
      <c r="K81" s="46">
        <f t="shared" si="2"/>
        <v>109.85915492957747</v>
      </c>
      <c r="L81" s="8">
        <f t="shared" si="3"/>
        <v>0</v>
      </c>
      <c r="M81" t="s">
        <v>20</v>
      </c>
      <c r="N81" t="s">
        <v>21</v>
      </c>
    </row>
    <row r="82" spans="1:14" x14ac:dyDescent="0.3">
      <c r="A82" t="s">
        <v>1544</v>
      </c>
      <c r="B82" s="2">
        <v>46253</v>
      </c>
      <c r="C82" s="2">
        <v>46253</v>
      </c>
      <c r="D82" s="1" t="s">
        <v>147</v>
      </c>
      <c r="E82" t="s">
        <v>148</v>
      </c>
      <c r="F82" t="s">
        <v>39</v>
      </c>
      <c r="G82">
        <v>142</v>
      </c>
      <c r="H82">
        <v>168</v>
      </c>
      <c r="I82">
        <v>168</v>
      </c>
      <c r="J82">
        <v>0</v>
      </c>
      <c r="K82" s="46">
        <f t="shared" si="2"/>
        <v>118.30985915492957</v>
      </c>
      <c r="L82" s="8">
        <f t="shared" si="3"/>
        <v>0</v>
      </c>
      <c r="M82" t="s">
        <v>20</v>
      </c>
      <c r="N82" t="s">
        <v>21</v>
      </c>
    </row>
    <row r="83" spans="1:14" x14ac:dyDescent="0.3">
      <c r="A83" t="s">
        <v>1545</v>
      </c>
      <c r="B83" s="2">
        <v>46253</v>
      </c>
      <c r="C83" s="2">
        <v>46253</v>
      </c>
      <c r="D83" s="1" t="s">
        <v>147</v>
      </c>
      <c r="E83" t="s">
        <v>148</v>
      </c>
      <c r="F83" t="s">
        <v>39</v>
      </c>
      <c r="G83">
        <v>142</v>
      </c>
      <c r="H83">
        <v>168</v>
      </c>
      <c r="I83">
        <v>168</v>
      </c>
      <c r="J83">
        <v>0</v>
      </c>
      <c r="K83" s="46">
        <f t="shared" si="2"/>
        <v>118.30985915492957</v>
      </c>
      <c r="L83" s="8">
        <f t="shared" si="3"/>
        <v>0</v>
      </c>
      <c r="M83" t="s">
        <v>20</v>
      </c>
      <c r="N83" t="s">
        <v>21</v>
      </c>
    </row>
    <row r="84" spans="1:14" x14ac:dyDescent="0.3">
      <c r="A84" t="s">
        <v>1546</v>
      </c>
      <c r="B84" s="2">
        <v>46240</v>
      </c>
      <c r="C84" s="2">
        <v>46241</v>
      </c>
      <c r="D84" s="1" t="s">
        <v>1547</v>
      </c>
      <c r="E84" t="s">
        <v>1548</v>
      </c>
      <c r="F84" t="s">
        <v>39</v>
      </c>
      <c r="G84">
        <v>432</v>
      </c>
      <c r="H84">
        <v>394</v>
      </c>
      <c r="I84">
        <v>394</v>
      </c>
      <c r="J84">
        <v>0</v>
      </c>
      <c r="K84" s="46">
        <f t="shared" si="2"/>
        <v>91.203703703703709</v>
      </c>
      <c r="L84" s="8">
        <f t="shared" si="3"/>
        <v>0</v>
      </c>
      <c r="M84" t="s">
        <v>20</v>
      </c>
      <c r="N84" t="s">
        <v>21</v>
      </c>
    </row>
    <row r="85" spans="1:14" x14ac:dyDescent="0.3">
      <c r="A85" t="s">
        <v>1549</v>
      </c>
      <c r="B85" s="2">
        <v>46241</v>
      </c>
      <c r="C85" s="2">
        <v>46242</v>
      </c>
      <c r="D85" s="1" t="s">
        <v>1547</v>
      </c>
      <c r="E85" t="s">
        <v>1548</v>
      </c>
      <c r="F85" t="s">
        <v>39</v>
      </c>
      <c r="G85">
        <v>432</v>
      </c>
      <c r="H85">
        <v>431</v>
      </c>
      <c r="I85">
        <v>431</v>
      </c>
      <c r="J85">
        <v>0</v>
      </c>
      <c r="K85" s="46">
        <f t="shared" si="2"/>
        <v>99.768518518518519</v>
      </c>
      <c r="L85" s="8">
        <f t="shared" si="3"/>
        <v>0</v>
      </c>
      <c r="M85" t="s">
        <v>20</v>
      </c>
      <c r="N85" t="s">
        <v>21</v>
      </c>
    </row>
    <row r="86" spans="1:14" x14ac:dyDescent="0.3">
      <c r="A86" t="s">
        <v>1550</v>
      </c>
      <c r="B86" s="2">
        <v>46244</v>
      </c>
      <c r="C86" s="2">
        <v>46244</v>
      </c>
      <c r="D86" s="1" t="s">
        <v>1547</v>
      </c>
      <c r="E86" t="s">
        <v>1548</v>
      </c>
      <c r="F86" t="s">
        <v>39</v>
      </c>
      <c r="G86">
        <v>232</v>
      </c>
      <c r="H86">
        <v>220</v>
      </c>
      <c r="I86">
        <v>219</v>
      </c>
      <c r="J86">
        <v>1</v>
      </c>
      <c r="K86" s="46">
        <f t="shared" si="2"/>
        <v>94.827586206896555</v>
      </c>
      <c r="L86" s="8">
        <f t="shared" si="3"/>
        <v>0.45662100456621002</v>
      </c>
      <c r="M86" t="s">
        <v>20</v>
      </c>
      <c r="N86" t="s">
        <v>21</v>
      </c>
    </row>
    <row r="87" spans="1:14" x14ac:dyDescent="0.3">
      <c r="A87" t="s">
        <v>1262</v>
      </c>
      <c r="B87" s="2">
        <v>46237</v>
      </c>
      <c r="C87" s="2">
        <v>46240</v>
      </c>
      <c r="D87" s="1" t="s">
        <v>152</v>
      </c>
      <c r="E87" t="s">
        <v>153</v>
      </c>
      <c r="F87" t="s">
        <v>39</v>
      </c>
      <c r="G87">
        <v>142</v>
      </c>
      <c r="H87">
        <v>153</v>
      </c>
      <c r="I87">
        <v>152</v>
      </c>
      <c r="J87">
        <v>1</v>
      </c>
      <c r="K87" s="46">
        <f t="shared" si="2"/>
        <v>107.74647887323943</v>
      </c>
      <c r="L87" s="8">
        <f t="shared" si="3"/>
        <v>0.6578947368421052</v>
      </c>
      <c r="M87" t="s">
        <v>20</v>
      </c>
      <c r="N87" t="s">
        <v>21</v>
      </c>
    </row>
    <row r="88" spans="1:14" x14ac:dyDescent="0.3">
      <c r="A88" t="s">
        <v>1298</v>
      </c>
      <c r="B88" s="2">
        <v>46239</v>
      </c>
      <c r="C88" s="2">
        <v>46240</v>
      </c>
      <c r="D88" s="1" t="s">
        <v>152</v>
      </c>
      <c r="E88" t="s">
        <v>153</v>
      </c>
      <c r="F88" t="s">
        <v>39</v>
      </c>
      <c r="G88">
        <v>142</v>
      </c>
      <c r="H88">
        <v>154</v>
      </c>
      <c r="I88">
        <v>154</v>
      </c>
      <c r="J88">
        <v>0</v>
      </c>
      <c r="K88" s="46">
        <f t="shared" si="2"/>
        <v>108.45070422535213</v>
      </c>
      <c r="L88" s="8">
        <f t="shared" si="3"/>
        <v>0</v>
      </c>
      <c r="M88" t="s">
        <v>20</v>
      </c>
      <c r="N88" t="s">
        <v>21</v>
      </c>
    </row>
    <row r="89" spans="1:14" x14ac:dyDescent="0.3">
      <c r="A89" t="s">
        <v>1551</v>
      </c>
      <c r="B89" s="2">
        <v>46240</v>
      </c>
      <c r="C89" s="2">
        <v>46241</v>
      </c>
      <c r="D89" s="1" t="s">
        <v>152</v>
      </c>
      <c r="E89" t="s">
        <v>153</v>
      </c>
      <c r="F89" t="s">
        <v>39</v>
      </c>
      <c r="G89">
        <v>138</v>
      </c>
      <c r="H89">
        <v>162</v>
      </c>
      <c r="I89">
        <v>162</v>
      </c>
      <c r="J89">
        <v>0</v>
      </c>
      <c r="K89" s="46">
        <f t="shared" si="2"/>
        <v>117.39130434782609</v>
      </c>
      <c r="L89" s="8">
        <f t="shared" si="3"/>
        <v>0</v>
      </c>
      <c r="M89" t="s">
        <v>20</v>
      </c>
      <c r="N89" t="s">
        <v>21</v>
      </c>
    </row>
    <row r="90" spans="1:14" x14ac:dyDescent="0.3">
      <c r="A90" t="s">
        <v>1552</v>
      </c>
      <c r="B90" s="2">
        <v>46241</v>
      </c>
      <c r="C90" s="2">
        <v>46241</v>
      </c>
      <c r="D90" s="1" t="s">
        <v>152</v>
      </c>
      <c r="E90" t="s">
        <v>153</v>
      </c>
      <c r="F90" t="s">
        <v>39</v>
      </c>
      <c r="G90">
        <v>138</v>
      </c>
      <c r="H90">
        <v>165</v>
      </c>
      <c r="I90">
        <v>165</v>
      </c>
      <c r="J90">
        <v>0</v>
      </c>
      <c r="K90" s="46">
        <f t="shared" si="2"/>
        <v>119.56521739130434</v>
      </c>
      <c r="L90" s="8">
        <f t="shared" si="3"/>
        <v>0</v>
      </c>
      <c r="M90" t="s">
        <v>20</v>
      </c>
      <c r="N90" t="s">
        <v>21</v>
      </c>
    </row>
    <row r="91" spans="1:14" x14ac:dyDescent="0.3">
      <c r="A91" t="s">
        <v>1553</v>
      </c>
      <c r="B91" s="2">
        <v>46251</v>
      </c>
      <c r="C91" s="2">
        <v>46252</v>
      </c>
      <c r="D91" s="1" t="s">
        <v>152</v>
      </c>
      <c r="E91" t="s">
        <v>153</v>
      </c>
      <c r="F91" t="s">
        <v>39</v>
      </c>
      <c r="G91">
        <v>142</v>
      </c>
      <c r="H91">
        <v>161</v>
      </c>
      <c r="I91">
        <v>161</v>
      </c>
      <c r="J91">
        <v>0</v>
      </c>
      <c r="K91" s="46">
        <f t="shared" si="2"/>
        <v>113.38028169014085</v>
      </c>
      <c r="L91" s="8">
        <f t="shared" si="3"/>
        <v>0</v>
      </c>
      <c r="M91" t="s">
        <v>20</v>
      </c>
      <c r="N91" t="s">
        <v>21</v>
      </c>
    </row>
    <row r="92" spans="1:14" x14ac:dyDescent="0.3">
      <c r="A92" t="s">
        <v>1299</v>
      </c>
      <c r="B92" s="2">
        <v>46239</v>
      </c>
      <c r="C92" s="2">
        <v>46240</v>
      </c>
      <c r="D92" s="1" t="s">
        <v>158</v>
      </c>
      <c r="E92" t="s">
        <v>159</v>
      </c>
      <c r="F92" t="s">
        <v>39</v>
      </c>
      <c r="G92">
        <v>180</v>
      </c>
      <c r="H92">
        <v>182</v>
      </c>
      <c r="I92">
        <v>181</v>
      </c>
      <c r="J92">
        <v>1</v>
      </c>
      <c r="K92" s="46">
        <f t="shared" si="2"/>
        <v>101.11111111111111</v>
      </c>
      <c r="L92" s="8">
        <f t="shared" si="3"/>
        <v>0.55248618784530379</v>
      </c>
      <c r="M92" t="s">
        <v>20</v>
      </c>
      <c r="N92" t="s">
        <v>21</v>
      </c>
    </row>
    <row r="93" spans="1:14" x14ac:dyDescent="0.3">
      <c r="A93" t="s">
        <v>1554</v>
      </c>
      <c r="B93" s="2">
        <v>46240</v>
      </c>
      <c r="C93" s="2">
        <v>46241</v>
      </c>
      <c r="D93" s="1" t="s">
        <v>158</v>
      </c>
      <c r="E93" t="s">
        <v>159</v>
      </c>
      <c r="F93" t="s">
        <v>39</v>
      </c>
      <c r="G93">
        <v>180</v>
      </c>
      <c r="H93">
        <v>180</v>
      </c>
      <c r="I93">
        <v>179</v>
      </c>
      <c r="J93">
        <v>1</v>
      </c>
      <c r="K93" s="46">
        <f t="shared" si="2"/>
        <v>100</v>
      </c>
      <c r="L93" s="8">
        <f t="shared" si="3"/>
        <v>0.55865921787709494</v>
      </c>
      <c r="M93" t="s">
        <v>20</v>
      </c>
      <c r="N93" t="s">
        <v>21</v>
      </c>
    </row>
    <row r="94" spans="1:14" x14ac:dyDescent="0.3">
      <c r="A94" t="s">
        <v>1555</v>
      </c>
      <c r="B94" s="2">
        <v>46241</v>
      </c>
      <c r="C94" s="2">
        <v>46241</v>
      </c>
      <c r="D94" s="1" t="s">
        <v>158</v>
      </c>
      <c r="E94" t="s">
        <v>159</v>
      </c>
      <c r="F94" t="s">
        <v>39</v>
      </c>
      <c r="G94">
        <v>180</v>
      </c>
      <c r="H94">
        <v>200</v>
      </c>
      <c r="I94">
        <v>200</v>
      </c>
      <c r="J94">
        <v>0</v>
      </c>
      <c r="K94" s="46">
        <f t="shared" si="2"/>
        <v>111.11111111111111</v>
      </c>
      <c r="L94" s="8">
        <f t="shared" si="3"/>
        <v>0</v>
      </c>
      <c r="M94" t="s">
        <v>20</v>
      </c>
      <c r="N94" t="s">
        <v>21</v>
      </c>
    </row>
    <row r="95" spans="1:14" x14ac:dyDescent="0.3">
      <c r="A95" t="s">
        <v>1556</v>
      </c>
      <c r="B95" s="2">
        <v>46251</v>
      </c>
      <c r="C95" s="2">
        <v>46253</v>
      </c>
      <c r="D95" s="1" t="s">
        <v>158</v>
      </c>
      <c r="E95" t="s">
        <v>159</v>
      </c>
      <c r="F95" t="s">
        <v>39</v>
      </c>
      <c r="G95">
        <v>180</v>
      </c>
      <c r="H95">
        <v>188</v>
      </c>
      <c r="I95">
        <v>188</v>
      </c>
      <c r="J95">
        <v>0</v>
      </c>
      <c r="K95" s="46">
        <f t="shared" si="2"/>
        <v>104.44444444444446</v>
      </c>
      <c r="L95" s="8">
        <f t="shared" si="3"/>
        <v>0</v>
      </c>
      <c r="M95" t="s">
        <v>20</v>
      </c>
      <c r="N95" t="s">
        <v>21</v>
      </c>
    </row>
    <row r="96" spans="1:14" x14ac:dyDescent="0.3">
      <c r="A96" t="s">
        <v>1557</v>
      </c>
      <c r="B96" s="2">
        <v>46252</v>
      </c>
      <c r="C96" s="2">
        <v>46253</v>
      </c>
      <c r="D96" s="1" t="s">
        <v>1558</v>
      </c>
      <c r="E96" t="s">
        <v>1559</v>
      </c>
      <c r="F96" t="s">
        <v>39</v>
      </c>
      <c r="G96">
        <v>100</v>
      </c>
      <c r="H96">
        <v>105</v>
      </c>
      <c r="I96">
        <v>105</v>
      </c>
      <c r="J96">
        <v>0</v>
      </c>
      <c r="K96" s="46">
        <f t="shared" si="2"/>
        <v>105</v>
      </c>
      <c r="L96" s="8">
        <f t="shared" si="3"/>
        <v>0</v>
      </c>
      <c r="M96" t="s">
        <v>20</v>
      </c>
      <c r="N96" t="s">
        <v>21</v>
      </c>
    </row>
    <row r="97" spans="1:14" x14ac:dyDescent="0.3">
      <c r="A97" t="s">
        <v>1301</v>
      </c>
      <c r="B97" s="2">
        <v>46239</v>
      </c>
      <c r="C97" s="2">
        <v>46240</v>
      </c>
      <c r="D97" s="1" t="s">
        <v>1302</v>
      </c>
      <c r="E97" t="s">
        <v>1303</v>
      </c>
      <c r="F97" t="s">
        <v>1304</v>
      </c>
      <c r="G97">
        <v>224</v>
      </c>
      <c r="H97">
        <v>224</v>
      </c>
      <c r="I97">
        <v>224</v>
      </c>
      <c r="J97">
        <v>0</v>
      </c>
      <c r="K97" s="46">
        <f t="shared" si="2"/>
        <v>100</v>
      </c>
      <c r="L97" s="8">
        <f t="shared" si="3"/>
        <v>0</v>
      </c>
      <c r="M97" t="s">
        <v>20</v>
      </c>
      <c r="N97" t="s">
        <v>21</v>
      </c>
    </row>
    <row r="98" spans="1:14" x14ac:dyDescent="0.3">
      <c r="A98" t="s">
        <v>1305</v>
      </c>
      <c r="B98" s="2">
        <v>46238</v>
      </c>
      <c r="C98" s="2">
        <v>46240</v>
      </c>
      <c r="D98" s="1" t="s">
        <v>1302</v>
      </c>
      <c r="E98" t="s">
        <v>1303</v>
      </c>
      <c r="F98" t="s">
        <v>1304</v>
      </c>
      <c r="G98">
        <v>1559</v>
      </c>
      <c r="H98">
        <v>1559</v>
      </c>
      <c r="I98">
        <v>1559</v>
      </c>
      <c r="J98">
        <v>0</v>
      </c>
      <c r="K98" s="46">
        <f t="shared" si="2"/>
        <v>100</v>
      </c>
      <c r="L98" s="8">
        <f t="shared" si="3"/>
        <v>0</v>
      </c>
      <c r="M98" t="s">
        <v>20</v>
      </c>
      <c r="N98" t="s">
        <v>21</v>
      </c>
    </row>
    <row r="99" spans="1:14" x14ac:dyDescent="0.3">
      <c r="A99" t="s">
        <v>1560</v>
      </c>
      <c r="B99" s="2">
        <v>46241</v>
      </c>
      <c r="C99" s="2">
        <v>46241</v>
      </c>
      <c r="D99" s="1" t="s">
        <v>1302</v>
      </c>
      <c r="E99" t="s">
        <v>1303</v>
      </c>
      <c r="F99" t="s">
        <v>1304</v>
      </c>
      <c r="G99">
        <v>224</v>
      </c>
      <c r="H99">
        <v>224</v>
      </c>
      <c r="I99">
        <v>224</v>
      </c>
      <c r="J99">
        <v>0</v>
      </c>
      <c r="K99" s="46">
        <f t="shared" si="2"/>
        <v>100</v>
      </c>
      <c r="L99" s="8">
        <f t="shared" si="3"/>
        <v>0</v>
      </c>
      <c r="M99" t="s">
        <v>20</v>
      </c>
      <c r="N99" t="s">
        <v>21</v>
      </c>
    </row>
    <row r="100" spans="1:14" x14ac:dyDescent="0.3">
      <c r="A100" t="s">
        <v>1561</v>
      </c>
      <c r="B100" s="2">
        <v>46242</v>
      </c>
      <c r="C100" s="2">
        <v>46244</v>
      </c>
      <c r="D100" s="1" t="s">
        <v>1302</v>
      </c>
      <c r="E100" t="s">
        <v>1303</v>
      </c>
      <c r="F100" t="s">
        <v>1304</v>
      </c>
      <c r="G100">
        <v>140</v>
      </c>
      <c r="H100">
        <v>140</v>
      </c>
      <c r="I100">
        <v>140</v>
      </c>
      <c r="J100">
        <v>0</v>
      </c>
      <c r="K100" s="46">
        <f t="shared" si="2"/>
        <v>100</v>
      </c>
      <c r="L100" s="8">
        <f t="shared" si="3"/>
        <v>0</v>
      </c>
      <c r="M100" t="s">
        <v>20</v>
      </c>
      <c r="N100" t="s">
        <v>21</v>
      </c>
    </row>
    <row r="101" spans="1:14" x14ac:dyDescent="0.3">
      <c r="A101" t="s">
        <v>1562</v>
      </c>
      <c r="B101" s="2">
        <v>46246</v>
      </c>
      <c r="C101" s="2">
        <v>46246</v>
      </c>
      <c r="D101" s="1" t="s">
        <v>1302</v>
      </c>
      <c r="E101" t="s">
        <v>1303</v>
      </c>
      <c r="F101" t="s">
        <v>1304</v>
      </c>
      <c r="G101">
        <v>140</v>
      </c>
      <c r="H101">
        <v>140</v>
      </c>
      <c r="I101">
        <v>140</v>
      </c>
      <c r="J101">
        <v>0</v>
      </c>
      <c r="K101" s="46">
        <f t="shared" si="2"/>
        <v>100</v>
      </c>
      <c r="L101" s="8">
        <f t="shared" si="3"/>
        <v>0</v>
      </c>
      <c r="M101" t="s">
        <v>20</v>
      </c>
      <c r="N101" t="s">
        <v>21</v>
      </c>
    </row>
    <row r="102" spans="1:14" x14ac:dyDescent="0.3">
      <c r="A102" t="s">
        <v>1563</v>
      </c>
      <c r="B102" s="2">
        <v>46248</v>
      </c>
      <c r="C102" s="2">
        <v>46248</v>
      </c>
      <c r="D102" s="1" t="s">
        <v>1564</v>
      </c>
      <c r="E102" t="s">
        <v>1565</v>
      </c>
      <c r="F102" t="s">
        <v>61</v>
      </c>
      <c r="G102">
        <v>50</v>
      </c>
      <c r="H102">
        <v>54</v>
      </c>
      <c r="I102">
        <v>54</v>
      </c>
      <c r="J102">
        <v>0</v>
      </c>
      <c r="K102" s="46">
        <f t="shared" si="2"/>
        <v>108</v>
      </c>
      <c r="L102" s="8">
        <f t="shared" si="3"/>
        <v>0</v>
      </c>
      <c r="M102" t="s">
        <v>20</v>
      </c>
      <c r="N102" t="s">
        <v>21</v>
      </c>
    </row>
    <row r="103" spans="1:14" x14ac:dyDescent="0.3">
      <c r="A103" t="s">
        <v>1566</v>
      </c>
      <c r="B103" s="2">
        <v>46247</v>
      </c>
      <c r="C103" s="2">
        <v>46248</v>
      </c>
      <c r="D103" s="1" t="s">
        <v>1564</v>
      </c>
      <c r="E103" t="s">
        <v>1565</v>
      </c>
      <c r="F103" t="s">
        <v>61</v>
      </c>
      <c r="G103">
        <v>50</v>
      </c>
      <c r="H103">
        <v>60</v>
      </c>
      <c r="I103">
        <v>60</v>
      </c>
      <c r="J103">
        <v>0</v>
      </c>
      <c r="K103" s="46">
        <f t="shared" si="2"/>
        <v>120</v>
      </c>
      <c r="L103" s="8">
        <f t="shared" si="3"/>
        <v>0</v>
      </c>
      <c r="M103" t="s">
        <v>20</v>
      </c>
      <c r="N103" t="s">
        <v>21</v>
      </c>
    </row>
    <row r="104" spans="1:14" x14ac:dyDescent="0.3">
      <c r="A104" t="s">
        <v>1567</v>
      </c>
      <c r="B104" s="2">
        <v>46253</v>
      </c>
      <c r="C104" s="2">
        <v>46253</v>
      </c>
      <c r="D104" s="1" t="s">
        <v>1564</v>
      </c>
      <c r="E104" t="s">
        <v>1565</v>
      </c>
      <c r="F104" t="s">
        <v>61</v>
      </c>
      <c r="G104">
        <v>50</v>
      </c>
      <c r="H104">
        <v>56</v>
      </c>
      <c r="I104">
        <v>56</v>
      </c>
      <c r="J104">
        <v>0</v>
      </c>
      <c r="K104" s="46">
        <f t="shared" si="2"/>
        <v>112.00000000000001</v>
      </c>
      <c r="L104" s="8">
        <f t="shared" si="3"/>
        <v>0</v>
      </c>
      <c r="M104" t="s">
        <v>20</v>
      </c>
      <c r="N104" t="s">
        <v>21</v>
      </c>
    </row>
    <row r="105" spans="1:14" x14ac:dyDescent="0.3">
      <c r="A105" t="s">
        <v>1266</v>
      </c>
      <c r="B105" s="2">
        <v>46237</v>
      </c>
      <c r="C105" s="2">
        <v>46240</v>
      </c>
      <c r="D105" s="1" t="s">
        <v>164</v>
      </c>
      <c r="E105" t="s">
        <v>165</v>
      </c>
      <c r="F105" t="s">
        <v>97</v>
      </c>
      <c r="G105">
        <v>150</v>
      </c>
      <c r="H105">
        <v>156</v>
      </c>
      <c r="I105">
        <v>156</v>
      </c>
      <c r="J105">
        <v>0</v>
      </c>
      <c r="K105" s="46">
        <f t="shared" si="2"/>
        <v>104</v>
      </c>
      <c r="L105" s="8">
        <f t="shared" si="3"/>
        <v>0</v>
      </c>
      <c r="M105" t="s">
        <v>20</v>
      </c>
      <c r="N105" t="s">
        <v>21</v>
      </c>
    </row>
    <row r="106" spans="1:14" x14ac:dyDescent="0.3">
      <c r="A106" t="s">
        <v>1300</v>
      </c>
      <c r="B106" s="2">
        <v>46239</v>
      </c>
      <c r="C106" s="2">
        <v>46240</v>
      </c>
      <c r="D106" s="1" t="s">
        <v>164</v>
      </c>
      <c r="E106" t="s">
        <v>165</v>
      </c>
      <c r="F106" t="s">
        <v>97</v>
      </c>
      <c r="G106">
        <v>75</v>
      </c>
      <c r="H106">
        <v>77</v>
      </c>
      <c r="I106">
        <v>77</v>
      </c>
      <c r="J106">
        <v>0</v>
      </c>
      <c r="K106" s="46">
        <f t="shared" si="2"/>
        <v>102.66666666666666</v>
      </c>
      <c r="L106" s="8">
        <f t="shared" si="3"/>
        <v>0</v>
      </c>
      <c r="M106" t="s">
        <v>20</v>
      </c>
      <c r="N106" t="s">
        <v>21</v>
      </c>
    </row>
    <row r="107" spans="1:14" x14ac:dyDescent="0.3">
      <c r="A107" t="s">
        <v>1568</v>
      </c>
      <c r="B107" s="2">
        <v>46248</v>
      </c>
      <c r="C107" s="2">
        <v>46248</v>
      </c>
      <c r="D107" s="1" t="s">
        <v>164</v>
      </c>
      <c r="E107" t="s">
        <v>165</v>
      </c>
      <c r="F107" t="s">
        <v>97</v>
      </c>
      <c r="G107">
        <v>375</v>
      </c>
      <c r="H107">
        <v>398</v>
      </c>
      <c r="I107">
        <v>398</v>
      </c>
      <c r="J107">
        <v>0</v>
      </c>
      <c r="K107" s="46">
        <f t="shared" si="2"/>
        <v>106.13333333333333</v>
      </c>
      <c r="L107" s="8">
        <f t="shared" si="3"/>
        <v>0</v>
      </c>
      <c r="M107" t="s">
        <v>20</v>
      </c>
      <c r="N107" t="s">
        <v>21</v>
      </c>
    </row>
    <row r="108" spans="1:14" x14ac:dyDescent="0.3">
      <c r="A108" t="s">
        <v>1264</v>
      </c>
      <c r="B108" s="2">
        <v>46237</v>
      </c>
      <c r="C108" s="2">
        <v>46240</v>
      </c>
      <c r="D108" s="1" t="s">
        <v>171</v>
      </c>
      <c r="E108" t="s">
        <v>172</v>
      </c>
      <c r="F108" t="s">
        <v>97</v>
      </c>
      <c r="G108">
        <v>150</v>
      </c>
      <c r="H108">
        <v>155</v>
      </c>
      <c r="I108">
        <v>155</v>
      </c>
      <c r="J108">
        <v>0</v>
      </c>
      <c r="K108" s="46">
        <f t="shared" si="2"/>
        <v>103.33333333333334</v>
      </c>
      <c r="L108" s="8">
        <f t="shared" si="3"/>
        <v>0</v>
      </c>
      <c r="M108" t="s">
        <v>20</v>
      </c>
      <c r="N108" t="s">
        <v>21</v>
      </c>
    </row>
    <row r="109" spans="1:14" x14ac:dyDescent="0.3">
      <c r="A109" t="s">
        <v>1569</v>
      </c>
      <c r="B109" s="2">
        <v>46247</v>
      </c>
      <c r="C109" s="2">
        <v>46248</v>
      </c>
      <c r="D109" s="1" t="s">
        <v>171</v>
      </c>
      <c r="E109" t="s">
        <v>172</v>
      </c>
      <c r="F109" t="s">
        <v>97</v>
      </c>
      <c r="G109">
        <v>300</v>
      </c>
      <c r="H109">
        <v>309</v>
      </c>
      <c r="I109">
        <v>309</v>
      </c>
      <c r="J109">
        <v>0</v>
      </c>
      <c r="K109" s="46">
        <f t="shared" si="2"/>
        <v>103</v>
      </c>
      <c r="L109" s="8">
        <f t="shared" si="3"/>
        <v>0</v>
      </c>
      <c r="M109" t="s">
        <v>20</v>
      </c>
      <c r="N109" t="s">
        <v>21</v>
      </c>
    </row>
    <row r="110" spans="1:14" x14ac:dyDescent="0.3">
      <c r="A110" t="s">
        <v>1289</v>
      </c>
      <c r="B110" s="2">
        <v>46239</v>
      </c>
      <c r="C110" s="2">
        <v>46240</v>
      </c>
      <c r="D110" s="1" t="s">
        <v>178</v>
      </c>
      <c r="E110" t="s">
        <v>179</v>
      </c>
      <c r="F110" t="s">
        <v>97</v>
      </c>
      <c r="G110">
        <v>150</v>
      </c>
      <c r="H110">
        <v>155</v>
      </c>
      <c r="I110">
        <v>153</v>
      </c>
      <c r="J110">
        <v>2</v>
      </c>
      <c r="K110" s="46">
        <f t="shared" si="2"/>
        <v>103.33333333333334</v>
      </c>
      <c r="L110" s="8">
        <f t="shared" si="3"/>
        <v>1.3071895424836601</v>
      </c>
      <c r="M110" t="s">
        <v>20</v>
      </c>
      <c r="N110" t="s">
        <v>21</v>
      </c>
    </row>
    <row r="111" spans="1:14" x14ac:dyDescent="0.3">
      <c r="A111" t="s">
        <v>1570</v>
      </c>
      <c r="B111" s="2">
        <v>46247</v>
      </c>
      <c r="C111" s="2">
        <v>46248</v>
      </c>
      <c r="D111" s="1" t="s">
        <v>178</v>
      </c>
      <c r="E111" t="s">
        <v>179</v>
      </c>
      <c r="F111" t="s">
        <v>97</v>
      </c>
      <c r="G111">
        <v>290</v>
      </c>
      <c r="H111">
        <v>290</v>
      </c>
      <c r="I111">
        <v>289</v>
      </c>
      <c r="J111">
        <v>1</v>
      </c>
      <c r="K111" s="46">
        <f t="shared" si="2"/>
        <v>100</v>
      </c>
      <c r="L111" s="8">
        <f t="shared" si="3"/>
        <v>0.34602076124567477</v>
      </c>
      <c r="M111" t="s">
        <v>20</v>
      </c>
      <c r="N111" t="s">
        <v>21</v>
      </c>
    </row>
    <row r="112" spans="1:14" x14ac:dyDescent="0.3">
      <c r="A112" t="s">
        <v>1265</v>
      </c>
      <c r="B112" s="2">
        <v>46237</v>
      </c>
      <c r="C112" s="2">
        <v>46240</v>
      </c>
      <c r="D112" s="1" t="s">
        <v>183</v>
      </c>
      <c r="E112" t="s">
        <v>184</v>
      </c>
      <c r="F112" t="s">
        <v>97</v>
      </c>
      <c r="G112">
        <v>150</v>
      </c>
      <c r="H112">
        <v>154</v>
      </c>
      <c r="I112">
        <v>153</v>
      </c>
      <c r="J112">
        <v>1</v>
      </c>
      <c r="K112" s="46">
        <f t="shared" si="2"/>
        <v>102.66666666666666</v>
      </c>
      <c r="L112" s="8">
        <f t="shared" si="3"/>
        <v>0.65359477124183007</v>
      </c>
      <c r="M112" t="s">
        <v>20</v>
      </c>
      <c r="N112" t="s">
        <v>21</v>
      </c>
    </row>
    <row r="113" spans="1:14" x14ac:dyDescent="0.3">
      <c r="A113" t="s">
        <v>1288</v>
      </c>
      <c r="B113" s="2">
        <v>46239</v>
      </c>
      <c r="C113" s="2">
        <v>46240</v>
      </c>
      <c r="D113" s="1" t="s">
        <v>183</v>
      </c>
      <c r="E113" t="s">
        <v>184</v>
      </c>
      <c r="F113" t="s">
        <v>97</v>
      </c>
      <c r="G113">
        <v>150</v>
      </c>
      <c r="H113">
        <v>153</v>
      </c>
      <c r="I113">
        <v>153</v>
      </c>
      <c r="J113">
        <v>0</v>
      </c>
      <c r="K113" s="46">
        <f t="shared" si="2"/>
        <v>102</v>
      </c>
      <c r="L113" s="8">
        <f t="shared" si="3"/>
        <v>0</v>
      </c>
      <c r="M113" t="s">
        <v>20</v>
      </c>
      <c r="N113" t="s">
        <v>21</v>
      </c>
    </row>
    <row r="114" spans="1:14" x14ac:dyDescent="0.3">
      <c r="A114" t="s">
        <v>1571</v>
      </c>
      <c r="B114" s="2">
        <v>46248</v>
      </c>
      <c r="C114" s="2">
        <v>46248</v>
      </c>
      <c r="D114" s="1" t="s">
        <v>183</v>
      </c>
      <c r="E114" t="s">
        <v>184</v>
      </c>
      <c r="F114" t="s">
        <v>97</v>
      </c>
      <c r="G114">
        <v>375</v>
      </c>
      <c r="H114">
        <v>392</v>
      </c>
      <c r="I114">
        <v>392</v>
      </c>
      <c r="J114">
        <v>0</v>
      </c>
      <c r="K114" s="46">
        <f t="shared" si="2"/>
        <v>104.53333333333332</v>
      </c>
      <c r="L114" s="8">
        <f t="shared" si="3"/>
        <v>0</v>
      </c>
      <c r="M114" t="s">
        <v>20</v>
      </c>
      <c r="N114" t="s">
        <v>21</v>
      </c>
    </row>
    <row r="115" spans="1:14" x14ac:dyDescent="0.3">
      <c r="A115" t="s">
        <v>1263</v>
      </c>
      <c r="B115" s="2">
        <v>46237</v>
      </c>
      <c r="C115" s="2">
        <v>46240</v>
      </c>
      <c r="D115" s="1" t="s">
        <v>189</v>
      </c>
      <c r="E115" t="s">
        <v>190</v>
      </c>
      <c r="F115" t="s">
        <v>97</v>
      </c>
      <c r="G115">
        <v>150</v>
      </c>
      <c r="H115">
        <v>168</v>
      </c>
      <c r="I115">
        <v>164</v>
      </c>
      <c r="J115">
        <v>4</v>
      </c>
      <c r="K115" s="46">
        <f t="shared" si="2"/>
        <v>112.00000000000001</v>
      </c>
      <c r="L115" s="8">
        <f t="shared" si="3"/>
        <v>2.4390243902439024</v>
      </c>
      <c r="M115" t="s">
        <v>20</v>
      </c>
      <c r="N115" t="s">
        <v>21</v>
      </c>
    </row>
    <row r="116" spans="1:14" x14ac:dyDescent="0.3">
      <c r="A116" t="s">
        <v>1287</v>
      </c>
      <c r="B116" s="2">
        <v>46239</v>
      </c>
      <c r="C116" s="2">
        <v>46240</v>
      </c>
      <c r="D116" s="1" t="s">
        <v>189</v>
      </c>
      <c r="E116" t="s">
        <v>190</v>
      </c>
      <c r="F116" t="s">
        <v>97</v>
      </c>
      <c r="G116">
        <v>150</v>
      </c>
      <c r="H116">
        <v>162</v>
      </c>
      <c r="I116">
        <v>162</v>
      </c>
      <c r="J116">
        <v>0</v>
      </c>
      <c r="K116" s="46">
        <f t="shared" si="2"/>
        <v>108</v>
      </c>
      <c r="L116" s="8">
        <f t="shared" si="3"/>
        <v>0</v>
      </c>
      <c r="M116" t="s">
        <v>20</v>
      </c>
      <c r="N116" t="s">
        <v>21</v>
      </c>
    </row>
    <row r="117" spans="1:14" x14ac:dyDescent="0.3">
      <c r="A117" t="s">
        <v>1572</v>
      </c>
      <c r="B117" s="2">
        <v>46244</v>
      </c>
      <c r="C117" s="2">
        <v>46244</v>
      </c>
      <c r="D117" s="1" t="s">
        <v>189</v>
      </c>
      <c r="E117" t="s">
        <v>190</v>
      </c>
      <c r="F117" t="s">
        <v>97</v>
      </c>
      <c r="G117">
        <v>150</v>
      </c>
      <c r="H117">
        <v>162</v>
      </c>
      <c r="I117">
        <v>162</v>
      </c>
      <c r="J117">
        <v>0</v>
      </c>
      <c r="K117" s="46">
        <f t="shared" si="2"/>
        <v>108</v>
      </c>
      <c r="L117" s="8">
        <f t="shared" si="3"/>
        <v>0</v>
      </c>
      <c r="M117" t="s">
        <v>20</v>
      </c>
      <c r="N117" t="s">
        <v>21</v>
      </c>
    </row>
    <row r="118" spans="1:14" x14ac:dyDescent="0.3">
      <c r="A118" t="s">
        <v>1573</v>
      </c>
      <c r="B118" s="2">
        <v>46247</v>
      </c>
      <c r="C118" s="2">
        <v>46248</v>
      </c>
      <c r="D118" s="1" t="s">
        <v>189</v>
      </c>
      <c r="E118" t="s">
        <v>190</v>
      </c>
      <c r="F118" t="s">
        <v>97</v>
      </c>
      <c r="G118">
        <v>150</v>
      </c>
      <c r="H118">
        <v>160</v>
      </c>
      <c r="I118">
        <v>159</v>
      </c>
      <c r="J118">
        <v>1</v>
      </c>
      <c r="K118" s="46">
        <f t="shared" si="2"/>
        <v>106.66666666666667</v>
      </c>
      <c r="L118" s="8">
        <f t="shared" si="3"/>
        <v>0.62893081761006298</v>
      </c>
      <c r="M118" t="s">
        <v>20</v>
      </c>
      <c r="N118" t="s">
        <v>21</v>
      </c>
    </row>
    <row r="119" spans="1:14" x14ac:dyDescent="0.3">
      <c r="A119" t="s">
        <v>1307</v>
      </c>
      <c r="B119" s="2">
        <v>46237</v>
      </c>
      <c r="C119" s="2">
        <v>46240</v>
      </c>
      <c r="D119" s="1" t="s">
        <v>198</v>
      </c>
      <c r="E119" t="s">
        <v>199</v>
      </c>
      <c r="F119" t="s">
        <v>19</v>
      </c>
      <c r="G119">
        <v>32</v>
      </c>
      <c r="H119">
        <v>32</v>
      </c>
      <c r="I119">
        <v>32</v>
      </c>
      <c r="J119">
        <v>0</v>
      </c>
      <c r="K119" s="46">
        <f t="shared" si="2"/>
        <v>100</v>
      </c>
      <c r="L119" s="8">
        <f t="shared" si="3"/>
        <v>0</v>
      </c>
      <c r="M119" t="s">
        <v>20</v>
      </c>
      <c r="N119" t="s">
        <v>21</v>
      </c>
    </row>
    <row r="120" spans="1:14" x14ac:dyDescent="0.3">
      <c r="A120" t="s">
        <v>1308</v>
      </c>
      <c r="B120" s="2">
        <v>46237</v>
      </c>
      <c r="C120" s="2">
        <v>46240</v>
      </c>
      <c r="D120" s="1" t="s">
        <v>198</v>
      </c>
      <c r="E120" t="s">
        <v>199</v>
      </c>
      <c r="F120" t="s">
        <v>19</v>
      </c>
      <c r="G120">
        <v>27</v>
      </c>
      <c r="H120">
        <v>27</v>
      </c>
      <c r="I120">
        <v>27</v>
      </c>
      <c r="J120">
        <v>0</v>
      </c>
      <c r="K120" s="46">
        <f t="shared" si="2"/>
        <v>100</v>
      </c>
      <c r="L120" s="8">
        <f t="shared" si="3"/>
        <v>0</v>
      </c>
      <c r="M120" t="s">
        <v>20</v>
      </c>
      <c r="N120" t="s">
        <v>21</v>
      </c>
    </row>
    <row r="121" spans="1:14" x14ac:dyDescent="0.3">
      <c r="A121" t="s">
        <v>1309</v>
      </c>
      <c r="B121" s="2">
        <v>46238</v>
      </c>
      <c r="C121" s="2">
        <v>46240</v>
      </c>
      <c r="D121" s="1" t="s">
        <v>198</v>
      </c>
      <c r="E121" t="s">
        <v>199</v>
      </c>
      <c r="F121" t="s">
        <v>19</v>
      </c>
      <c r="G121">
        <v>28</v>
      </c>
      <c r="H121">
        <v>28</v>
      </c>
      <c r="I121">
        <v>28</v>
      </c>
      <c r="J121">
        <v>0</v>
      </c>
      <c r="K121" s="46">
        <f t="shared" si="2"/>
        <v>100</v>
      </c>
      <c r="L121" s="8">
        <f t="shared" si="3"/>
        <v>0</v>
      </c>
      <c r="M121" t="s">
        <v>20</v>
      </c>
      <c r="N121" t="s">
        <v>21</v>
      </c>
    </row>
    <row r="122" spans="1:14" x14ac:dyDescent="0.3">
      <c r="A122" t="s">
        <v>1574</v>
      </c>
      <c r="B122" s="2">
        <v>46240</v>
      </c>
      <c r="C122" s="2">
        <v>46241</v>
      </c>
      <c r="D122" s="1" t="s">
        <v>198</v>
      </c>
      <c r="E122" t="s">
        <v>199</v>
      </c>
      <c r="F122" t="s">
        <v>19</v>
      </c>
      <c r="G122">
        <v>25</v>
      </c>
      <c r="H122">
        <v>25</v>
      </c>
      <c r="I122">
        <v>25</v>
      </c>
      <c r="J122">
        <v>0</v>
      </c>
      <c r="K122" s="46">
        <f t="shared" si="2"/>
        <v>100</v>
      </c>
      <c r="L122" s="8">
        <f t="shared" si="3"/>
        <v>0</v>
      </c>
      <c r="M122" t="s">
        <v>20</v>
      </c>
      <c r="N122" t="s">
        <v>21</v>
      </c>
    </row>
    <row r="123" spans="1:14" x14ac:dyDescent="0.3">
      <c r="A123" t="s">
        <v>1575</v>
      </c>
      <c r="B123" s="2">
        <v>46241</v>
      </c>
      <c r="C123" s="2">
        <v>46241</v>
      </c>
      <c r="D123" s="1" t="s">
        <v>198</v>
      </c>
      <c r="E123" t="s">
        <v>199</v>
      </c>
      <c r="F123" t="s">
        <v>19</v>
      </c>
      <c r="G123">
        <v>43</v>
      </c>
      <c r="H123">
        <v>43</v>
      </c>
      <c r="I123">
        <v>43</v>
      </c>
      <c r="J123">
        <v>0</v>
      </c>
      <c r="K123" s="46">
        <f t="shared" si="2"/>
        <v>100</v>
      </c>
      <c r="L123" s="8">
        <f t="shared" si="3"/>
        <v>0</v>
      </c>
      <c r="M123" t="s">
        <v>20</v>
      </c>
      <c r="N123" t="s">
        <v>21</v>
      </c>
    </row>
    <row r="124" spans="1:14" x14ac:dyDescent="0.3">
      <c r="A124" t="s">
        <v>1576</v>
      </c>
      <c r="B124" s="2">
        <v>46241</v>
      </c>
      <c r="C124" s="2">
        <v>46241</v>
      </c>
      <c r="D124" s="1" t="s">
        <v>198</v>
      </c>
      <c r="E124" t="s">
        <v>199</v>
      </c>
      <c r="F124" t="s">
        <v>19</v>
      </c>
      <c r="G124">
        <v>28</v>
      </c>
      <c r="H124">
        <v>28</v>
      </c>
      <c r="I124">
        <v>28</v>
      </c>
      <c r="J124">
        <v>0</v>
      </c>
      <c r="K124" s="46">
        <f t="shared" si="2"/>
        <v>100</v>
      </c>
      <c r="L124" s="8">
        <f t="shared" si="3"/>
        <v>0</v>
      </c>
      <c r="M124" t="s">
        <v>20</v>
      </c>
      <c r="N124" t="s">
        <v>21</v>
      </c>
    </row>
    <row r="125" spans="1:14" x14ac:dyDescent="0.3">
      <c r="A125" t="s">
        <v>1577</v>
      </c>
      <c r="B125" s="2">
        <v>46242</v>
      </c>
      <c r="C125" s="2">
        <v>46242</v>
      </c>
      <c r="D125" s="1" t="s">
        <v>198</v>
      </c>
      <c r="E125" t="s">
        <v>199</v>
      </c>
      <c r="F125" t="s">
        <v>19</v>
      </c>
      <c r="G125">
        <v>39</v>
      </c>
      <c r="H125">
        <v>39</v>
      </c>
      <c r="I125">
        <v>39</v>
      </c>
      <c r="J125">
        <v>0</v>
      </c>
      <c r="K125" s="46">
        <f t="shared" si="2"/>
        <v>100</v>
      </c>
      <c r="L125" s="8">
        <f t="shared" si="3"/>
        <v>0</v>
      </c>
      <c r="M125" t="s">
        <v>20</v>
      </c>
      <c r="N125" t="s">
        <v>21</v>
      </c>
    </row>
    <row r="126" spans="1:14" x14ac:dyDescent="0.3">
      <c r="A126" t="s">
        <v>1578</v>
      </c>
      <c r="B126" s="2">
        <v>46242</v>
      </c>
      <c r="C126" s="2">
        <v>46242</v>
      </c>
      <c r="D126" s="1" t="s">
        <v>198</v>
      </c>
      <c r="E126" t="s">
        <v>199</v>
      </c>
      <c r="F126" t="s">
        <v>19</v>
      </c>
      <c r="G126">
        <v>28</v>
      </c>
      <c r="H126">
        <v>28</v>
      </c>
      <c r="I126">
        <v>28</v>
      </c>
      <c r="J126">
        <v>0</v>
      </c>
      <c r="K126" s="46">
        <f t="shared" si="2"/>
        <v>100</v>
      </c>
      <c r="L126" s="8">
        <f t="shared" si="3"/>
        <v>0</v>
      </c>
      <c r="M126" t="s">
        <v>20</v>
      </c>
      <c r="N126" t="s">
        <v>21</v>
      </c>
    </row>
    <row r="127" spans="1:14" x14ac:dyDescent="0.3">
      <c r="A127" t="s">
        <v>1579</v>
      </c>
      <c r="B127" s="2">
        <v>46244</v>
      </c>
      <c r="C127" s="2">
        <v>46244</v>
      </c>
      <c r="D127" s="1" t="s">
        <v>198</v>
      </c>
      <c r="E127" t="s">
        <v>199</v>
      </c>
      <c r="F127" t="s">
        <v>19</v>
      </c>
      <c r="G127">
        <v>26</v>
      </c>
      <c r="H127">
        <v>26</v>
      </c>
      <c r="I127">
        <v>26</v>
      </c>
      <c r="J127">
        <v>0</v>
      </c>
      <c r="K127" s="46">
        <f t="shared" si="2"/>
        <v>100</v>
      </c>
      <c r="L127" s="8">
        <f t="shared" si="3"/>
        <v>0</v>
      </c>
      <c r="M127" t="s">
        <v>20</v>
      </c>
      <c r="N127" t="s">
        <v>21</v>
      </c>
    </row>
    <row r="128" spans="1:14" x14ac:dyDescent="0.3">
      <c r="A128" t="s">
        <v>1580</v>
      </c>
      <c r="B128" s="2">
        <v>46245</v>
      </c>
      <c r="C128" s="2">
        <v>46246</v>
      </c>
      <c r="D128" s="1" t="s">
        <v>198</v>
      </c>
      <c r="E128" t="s">
        <v>199</v>
      </c>
      <c r="F128" t="s">
        <v>19</v>
      </c>
      <c r="G128">
        <v>38</v>
      </c>
      <c r="H128">
        <v>38</v>
      </c>
      <c r="I128">
        <v>38</v>
      </c>
      <c r="J128">
        <v>0</v>
      </c>
      <c r="K128" s="46">
        <f t="shared" si="2"/>
        <v>100</v>
      </c>
      <c r="L128" s="8">
        <f t="shared" si="3"/>
        <v>0</v>
      </c>
      <c r="M128" t="s">
        <v>20</v>
      </c>
      <c r="N128" t="s">
        <v>21</v>
      </c>
    </row>
    <row r="129" spans="1:14" x14ac:dyDescent="0.3">
      <c r="A129" t="s">
        <v>1581</v>
      </c>
      <c r="B129" s="2">
        <v>46245</v>
      </c>
      <c r="C129" s="2">
        <v>46246</v>
      </c>
      <c r="D129" s="1" t="s">
        <v>198</v>
      </c>
      <c r="E129" t="s">
        <v>199</v>
      </c>
      <c r="F129" t="s">
        <v>19</v>
      </c>
      <c r="G129">
        <v>26</v>
      </c>
      <c r="H129">
        <v>26</v>
      </c>
      <c r="I129">
        <v>26</v>
      </c>
      <c r="J129">
        <v>0</v>
      </c>
      <c r="K129" s="46">
        <f t="shared" si="2"/>
        <v>100</v>
      </c>
      <c r="L129" s="8">
        <f t="shared" si="3"/>
        <v>0</v>
      </c>
      <c r="M129" t="s">
        <v>20</v>
      </c>
      <c r="N129" t="s">
        <v>21</v>
      </c>
    </row>
    <row r="130" spans="1:14" x14ac:dyDescent="0.3">
      <c r="A130" t="s">
        <v>1582</v>
      </c>
      <c r="B130" s="2">
        <v>46246</v>
      </c>
      <c r="C130" s="2">
        <v>46246</v>
      </c>
      <c r="D130" s="1" t="s">
        <v>198</v>
      </c>
      <c r="E130" t="s">
        <v>199</v>
      </c>
      <c r="F130" t="s">
        <v>19</v>
      </c>
      <c r="G130">
        <v>39</v>
      </c>
      <c r="H130">
        <v>39</v>
      </c>
      <c r="I130">
        <v>39</v>
      </c>
      <c r="J130">
        <v>0</v>
      </c>
      <c r="K130" s="46">
        <f t="shared" si="2"/>
        <v>100</v>
      </c>
      <c r="L130" s="8">
        <f t="shared" si="3"/>
        <v>0</v>
      </c>
      <c r="M130" t="s">
        <v>20</v>
      </c>
      <c r="N130" t="s">
        <v>21</v>
      </c>
    </row>
    <row r="131" spans="1:14" x14ac:dyDescent="0.3">
      <c r="A131" t="s">
        <v>1583</v>
      </c>
      <c r="B131" s="2">
        <v>46247</v>
      </c>
      <c r="C131" s="2">
        <v>46248</v>
      </c>
      <c r="D131" s="1" t="s">
        <v>198</v>
      </c>
      <c r="E131" t="s">
        <v>199</v>
      </c>
      <c r="F131" t="s">
        <v>19</v>
      </c>
      <c r="G131">
        <v>40</v>
      </c>
      <c r="H131">
        <v>40</v>
      </c>
      <c r="I131">
        <v>40</v>
      </c>
      <c r="J131">
        <v>0</v>
      </c>
      <c r="K131" s="46">
        <f t="shared" ref="K131:K194" si="4">(H131/G131)*100</f>
        <v>100</v>
      </c>
      <c r="L131" s="8">
        <f t="shared" ref="L131:L194" si="5">((H131-I131)/I131)*100</f>
        <v>0</v>
      </c>
      <c r="M131" t="s">
        <v>20</v>
      </c>
      <c r="N131" t="s">
        <v>21</v>
      </c>
    </row>
    <row r="132" spans="1:14" x14ac:dyDescent="0.3">
      <c r="A132" t="s">
        <v>1584</v>
      </c>
      <c r="B132" s="2">
        <v>46247</v>
      </c>
      <c r="C132" s="2">
        <v>46248</v>
      </c>
      <c r="D132" s="1" t="s">
        <v>198</v>
      </c>
      <c r="E132" t="s">
        <v>199</v>
      </c>
      <c r="F132" t="s">
        <v>19</v>
      </c>
      <c r="G132">
        <v>31</v>
      </c>
      <c r="H132">
        <v>31</v>
      </c>
      <c r="I132">
        <v>31</v>
      </c>
      <c r="J132">
        <v>0</v>
      </c>
      <c r="K132" s="46">
        <f t="shared" si="4"/>
        <v>100</v>
      </c>
      <c r="L132" s="8">
        <f t="shared" si="5"/>
        <v>0</v>
      </c>
      <c r="M132" t="s">
        <v>20</v>
      </c>
      <c r="N132" t="s">
        <v>21</v>
      </c>
    </row>
    <row r="133" spans="1:14" x14ac:dyDescent="0.3">
      <c r="A133" t="s">
        <v>1585</v>
      </c>
      <c r="B133" s="2">
        <v>46248</v>
      </c>
      <c r="C133" s="2">
        <v>46248</v>
      </c>
      <c r="D133" s="1" t="s">
        <v>198</v>
      </c>
      <c r="E133" t="s">
        <v>199</v>
      </c>
      <c r="F133" t="s">
        <v>19</v>
      </c>
      <c r="G133">
        <v>42</v>
      </c>
      <c r="H133">
        <v>42</v>
      </c>
      <c r="I133">
        <v>42</v>
      </c>
      <c r="J133">
        <v>0</v>
      </c>
      <c r="K133" s="46">
        <f t="shared" si="4"/>
        <v>100</v>
      </c>
      <c r="L133" s="8">
        <f t="shared" si="5"/>
        <v>0</v>
      </c>
      <c r="M133" t="s">
        <v>20</v>
      </c>
      <c r="N133" t="s">
        <v>21</v>
      </c>
    </row>
    <row r="134" spans="1:14" x14ac:dyDescent="0.3">
      <c r="A134" t="s">
        <v>1586</v>
      </c>
      <c r="B134" s="2">
        <v>46248</v>
      </c>
      <c r="C134" s="2">
        <v>46248</v>
      </c>
      <c r="D134" s="1" t="s">
        <v>198</v>
      </c>
      <c r="E134" t="s">
        <v>199</v>
      </c>
      <c r="F134" t="s">
        <v>19</v>
      </c>
      <c r="G134">
        <v>26</v>
      </c>
      <c r="H134">
        <v>26</v>
      </c>
      <c r="I134">
        <v>26</v>
      </c>
      <c r="J134">
        <v>0</v>
      </c>
      <c r="K134" s="46">
        <f t="shared" si="4"/>
        <v>100</v>
      </c>
      <c r="L134" s="8">
        <f t="shared" si="5"/>
        <v>0</v>
      </c>
      <c r="M134" t="s">
        <v>20</v>
      </c>
      <c r="N134" t="s">
        <v>21</v>
      </c>
    </row>
    <row r="135" spans="1:14" x14ac:dyDescent="0.3">
      <c r="A135" t="s">
        <v>1587</v>
      </c>
      <c r="B135" s="2">
        <v>46251</v>
      </c>
      <c r="C135" s="2">
        <v>46252</v>
      </c>
      <c r="D135" s="1" t="s">
        <v>198</v>
      </c>
      <c r="E135" t="s">
        <v>199</v>
      </c>
      <c r="F135" t="s">
        <v>19</v>
      </c>
      <c r="G135">
        <v>27</v>
      </c>
      <c r="H135">
        <v>27</v>
      </c>
      <c r="I135">
        <v>27</v>
      </c>
      <c r="J135">
        <v>0</v>
      </c>
      <c r="K135" s="46">
        <f t="shared" si="4"/>
        <v>100</v>
      </c>
      <c r="L135" s="8">
        <f t="shared" si="5"/>
        <v>0</v>
      </c>
      <c r="M135" t="s">
        <v>20</v>
      </c>
      <c r="N135" t="s">
        <v>21</v>
      </c>
    </row>
    <row r="136" spans="1:14" x14ac:dyDescent="0.3">
      <c r="A136" t="s">
        <v>1588</v>
      </c>
      <c r="B136" s="2">
        <v>46253</v>
      </c>
      <c r="C136" s="2">
        <v>46253</v>
      </c>
      <c r="D136" s="1" t="s">
        <v>198</v>
      </c>
      <c r="E136" t="s">
        <v>199</v>
      </c>
      <c r="F136" t="s">
        <v>19</v>
      </c>
      <c r="G136">
        <v>34</v>
      </c>
      <c r="H136">
        <v>34</v>
      </c>
      <c r="I136">
        <v>34</v>
      </c>
      <c r="J136">
        <v>0</v>
      </c>
      <c r="K136" s="46">
        <f t="shared" si="4"/>
        <v>100</v>
      </c>
      <c r="L136" s="8">
        <f t="shared" si="5"/>
        <v>0</v>
      </c>
      <c r="M136" t="s">
        <v>20</v>
      </c>
      <c r="N136" t="s">
        <v>21</v>
      </c>
    </row>
    <row r="137" spans="1:14" x14ac:dyDescent="0.3">
      <c r="A137" t="s">
        <v>1589</v>
      </c>
      <c r="B137" s="2">
        <v>46253</v>
      </c>
      <c r="C137" s="2">
        <v>46253</v>
      </c>
      <c r="D137" s="1" t="s">
        <v>198</v>
      </c>
      <c r="E137" t="s">
        <v>199</v>
      </c>
      <c r="F137" t="s">
        <v>19</v>
      </c>
      <c r="G137">
        <v>27</v>
      </c>
      <c r="H137">
        <v>27</v>
      </c>
      <c r="I137">
        <v>27</v>
      </c>
      <c r="J137">
        <v>0</v>
      </c>
      <c r="K137" s="46">
        <f t="shared" si="4"/>
        <v>100</v>
      </c>
      <c r="L137" s="8">
        <f t="shared" si="5"/>
        <v>0</v>
      </c>
      <c r="M137" t="s">
        <v>20</v>
      </c>
      <c r="N137" t="s">
        <v>21</v>
      </c>
    </row>
    <row r="138" spans="1:14" x14ac:dyDescent="0.3">
      <c r="A138" t="s">
        <v>1590</v>
      </c>
      <c r="B138" s="2">
        <v>46241</v>
      </c>
      <c r="C138" s="2">
        <v>46241</v>
      </c>
      <c r="D138" s="1" t="s">
        <v>229</v>
      </c>
      <c r="E138" t="s">
        <v>230</v>
      </c>
      <c r="F138" t="s">
        <v>19</v>
      </c>
      <c r="G138">
        <v>31</v>
      </c>
      <c r="H138">
        <v>31</v>
      </c>
      <c r="I138">
        <v>31</v>
      </c>
      <c r="J138">
        <v>0</v>
      </c>
      <c r="K138" s="46">
        <f t="shared" si="4"/>
        <v>100</v>
      </c>
      <c r="L138" s="8">
        <f t="shared" si="5"/>
        <v>0</v>
      </c>
      <c r="M138" t="s">
        <v>20</v>
      </c>
      <c r="N138" t="s">
        <v>21</v>
      </c>
    </row>
    <row r="139" spans="1:14" x14ac:dyDescent="0.3">
      <c r="A139" t="s">
        <v>1591</v>
      </c>
      <c r="B139" s="2">
        <v>46241</v>
      </c>
      <c r="C139" s="2">
        <v>46241</v>
      </c>
      <c r="D139" s="1" t="s">
        <v>232</v>
      </c>
      <c r="E139" t="s">
        <v>233</v>
      </c>
      <c r="F139" t="s">
        <v>19</v>
      </c>
      <c r="G139">
        <v>43</v>
      </c>
      <c r="H139">
        <v>43</v>
      </c>
      <c r="I139">
        <v>43</v>
      </c>
      <c r="J139">
        <v>0</v>
      </c>
      <c r="K139" s="46">
        <f t="shared" si="4"/>
        <v>100</v>
      </c>
      <c r="L139" s="8">
        <f t="shared" si="5"/>
        <v>0</v>
      </c>
      <c r="M139" t="s">
        <v>20</v>
      </c>
      <c r="N139" t="s">
        <v>21</v>
      </c>
    </row>
    <row r="140" spans="1:14" x14ac:dyDescent="0.3">
      <c r="A140" t="s">
        <v>1592</v>
      </c>
      <c r="B140" s="2">
        <v>46244</v>
      </c>
      <c r="C140" s="2">
        <v>46245</v>
      </c>
      <c r="D140" s="1" t="s">
        <v>232</v>
      </c>
      <c r="E140" t="s">
        <v>233</v>
      </c>
      <c r="F140" t="s">
        <v>19</v>
      </c>
      <c r="G140">
        <v>39</v>
      </c>
      <c r="H140">
        <v>39</v>
      </c>
      <c r="I140">
        <v>39</v>
      </c>
      <c r="J140">
        <v>0</v>
      </c>
      <c r="K140" s="46">
        <f t="shared" si="4"/>
        <v>100</v>
      </c>
      <c r="L140" s="8">
        <f t="shared" si="5"/>
        <v>0</v>
      </c>
      <c r="M140" t="s">
        <v>20</v>
      </c>
      <c r="N140" t="s">
        <v>21</v>
      </c>
    </row>
    <row r="141" spans="1:14" x14ac:dyDescent="0.3">
      <c r="A141" t="s">
        <v>1593</v>
      </c>
      <c r="B141" s="2">
        <v>46245</v>
      </c>
      <c r="C141" s="2">
        <v>46245</v>
      </c>
      <c r="D141" s="1" t="s">
        <v>232</v>
      </c>
      <c r="E141" t="s">
        <v>233</v>
      </c>
      <c r="F141" t="s">
        <v>19</v>
      </c>
      <c r="G141">
        <v>40</v>
      </c>
      <c r="H141">
        <v>40</v>
      </c>
      <c r="I141">
        <v>40</v>
      </c>
      <c r="J141">
        <v>0</v>
      </c>
      <c r="K141" s="46">
        <f t="shared" si="4"/>
        <v>100</v>
      </c>
      <c r="L141" s="8">
        <f t="shared" si="5"/>
        <v>0</v>
      </c>
      <c r="M141" t="s">
        <v>20</v>
      </c>
      <c r="N141" t="s">
        <v>21</v>
      </c>
    </row>
    <row r="142" spans="1:14" x14ac:dyDescent="0.3">
      <c r="A142" t="s">
        <v>1594</v>
      </c>
      <c r="B142" s="2">
        <v>46246</v>
      </c>
      <c r="C142" s="2">
        <v>46246</v>
      </c>
      <c r="D142" s="1" t="s">
        <v>232</v>
      </c>
      <c r="E142" t="s">
        <v>233</v>
      </c>
      <c r="F142" t="s">
        <v>19</v>
      </c>
      <c r="G142">
        <v>40</v>
      </c>
      <c r="H142">
        <v>40</v>
      </c>
      <c r="I142">
        <v>40</v>
      </c>
      <c r="J142">
        <v>0</v>
      </c>
      <c r="K142" s="46">
        <f t="shared" si="4"/>
        <v>100</v>
      </c>
      <c r="L142" s="8">
        <f t="shared" si="5"/>
        <v>0</v>
      </c>
      <c r="M142" t="s">
        <v>20</v>
      </c>
      <c r="N142" t="s">
        <v>21</v>
      </c>
    </row>
    <row r="143" spans="1:14" x14ac:dyDescent="0.3">
      <c r="A143" t="s">
        <v>1595</v>
      </c>
      <c r="B143" s="2">
        <v>46247</v>
      </c>
      <c r="C143" s="2">
        <v>46248</v>
      </c>
      <c r="D143" s="1" t="s">
        <v>232</v>
      </c>
      <c r="E143" t="s">
        <v>233</v>
      </c>
      <c r="F143" t="s">
        <v>19</v>
      </c>
      <c r="G143">
        <v>43</v>
      </c>
      <c r="H143">
        <v>43</v>
      </c>
      <c r="I143">
        <v>43</v>
      </c>
      <c r="J143">
        <v>0</v>
      </c>
      <c r="K143" s="46">
        <f t="shared" si="4"/>
        <v>100</v>
      </c>
      <c r="L143" s="8">
        <f t="shared" si="5"/>
        <v>0</v>
      </c>
      <c r="M143" t="s">
        <v>20</v>
      </c>
      <c r="N143" t="s">
        <v>21</v>
      </c>
    </row>
    <row r="144" spans="1:14" x14ac:dyDescent="0.3">
      <c r="A144" t="s">
        <v>1596</v>
      </c>
      <c r="B144" s="2">
        <v>46248</v>
      </c>
      <c r="C144" s="2">
        <v>46248</v>
      </c>
      <c r="D144" s="1" t="s">
        <v>232</v>
      </c>
      <c r="E144" t="s">
        <v>233</v>
      </c>
      <c r="F144" t="s">
        <v>19</v>
      </c>
      <c r="G144">
        <v>42</v>
      </c>
      <c r="H144">
        <v>42</v>
      </c>
      <c r="I144">
        <v>42</v>
      </c>
      <c r="J144">
        <v>0</v>
      </c>
      <c r="K144" s="46">
        <f t="shared" si="4"/>
        <v>100</v>
      </c>
      <c r="L144" s="8">
        <f t="shared" si="5"/>
        <v>0</v>
      </c>
      <c r="M144" t="s">
        <v>20</v>
      </c>
      <c r="N144" t="s">
        <v>21</v>
      </c>
    </row>
    <row r="145" spans="1:14" x14ac:dyDescent="0.3">
      <c r="A145" t="s">
        <v>1597</v>
      </c>
      <c r="B145" s="2">
        <v>46242</v>
      </c>
      <c r="C145" s="2">
        <v>46242</v>
      </c>
      <c r="D145" s="1" t="s">
        <v>245</v>
      </c>
      <c r="E145" t="s">
        <v>246</v>
      </c>
      <c r="F145" t="s">
        <v>19</v>
      </c>
      <c r="G145">
        <v>40</v>
      </c>
      <c r="H145">
        <v>40</v>
      </c>
      <c r="I145">
        <v>40</v>
      </c>
      <c r="J145">
        <v>0</v>
      </c>
      <c r="K145" s="46">
        <f t="shared" si="4"/>
        <v>100</v>
      </c>
      <c r="L145" s="8">
        <f t="shared" si="5"/>
        <v>0</v>
      </c>
      <c r="M145" t="s">
        <v>20</v>
      </c>
      <c r="N145" t="s">
        <v>21</v>
      </c>
    </row>
    <row r="146" spans="1:14" x14ac:dyDescent="0.3">
      <c r="A146" t="s">
        <v>1598</v>
      </c>
      <c r="B146" s="2">
        <v>46241</v>
      </c>
      <c r="C146" s="2">
        <v>46241</v>
      </c>
      <c r="D146" s="1" t="s">
        <v>250</v>
      </c>
      <c r="E146" t="s">
        <v>251</v>
      </c>
      <c r="F146" t="s">
        <v>19</v>
      </c>
      <c r="G146">
        <v>96</v>
      </c>
      <c r="H146">
        <v>96</v>
      </c>
      <c r="I146">
        <v>96</v>
      </c>
      <c r="J146">
        <v>0</v>
      </c>
      <c r="K146" s="46">
        <f t="shared" si="4"/>
        <v>100</v>
      </c>
      <c r="L146" s="8">
        <f t="shared" si="5"/>
        <v>0</v>
      </c>
      <c r="M146" t="s">
        <v>20</v>
      </c>
      <c r="N146" t="s">
        <v>21</v>
      </c>
    </row>
    <row r="147" spans="1:14" x14ac:dyDescent="0.3">
      <c r="A147" t="s">
        <v>1314</v>
      </c>
      <c r="B147" s="2">
        <v>46237</v>
      </c>
      <c r="C147" s="2">
        <v>46240</v>
      </c>
      <c r="D147" s="1" t="s">
        <v>256</v>
      </c>
      <c r="E147" t="s">
        <v>257</v>
      </c>
      <c r="F147" t="s">
        <v>19</v>
      </c>
      <c r="G147">
        <v>315</v>
      </c>
      <c r="H147">
        <v>315</v>
      </c>
      <c r="I147">
        <v>315</v>
      </c>
      <c r="J147">
        <v>0</v>
      </c>
      <c r="K147" s="46">
        <f t="shared" si="4"/>
        <v>100</v>
      </c>
      <c r="L147" s="8">
        <f t="shared" si="5"/>
        <v>0</v>
      </c>
      <c r="M147" t="s">
        <v>20</v>
      </c>
      <c r="N147" t="s">
        <v>21</v>
      </c>
    </row>
    <row r="148" spans="1:14" x14ac:dyDescent="0.3">
      <c r="A148" t="s">
        <v>1316</v>
      </c>
      <c r="B148" s="2">
        <v>46239</v>
      </c>
      <c r="C148" s="2">
        <v>46240</v>
      </c>
      <c r="D148" s="1" t="s">
        <v>256</v>
      </c>
      <c r="E148" t="s">
        <v>257</v>
      </c>
      <c r="F148" t="s">
        <v>19</v>
      </c>
      <c r="G148">
        <v>387</v>
      </c>
      <c r="H148">
        <v>387</v>
      </c>
      <c r="I148">
        <v>387</v>
      </c>
      <c r="J148">
        <v>0</v>
      </c>
      <c r="K148" s="46">
        <f t="shared" si="4"/>
        <v>100</v>
      </c>
      <c r="L148" s="8">
        <f t="shared" si="5"/>
        <v>0</v>
      </c>
      <c r="M148" t="s">
        <v>20</v>
      </c>
      <c r="N148" t="s">
        <v>21</v>
      </c>
    </row>
    <row r="149" spans="1:14" x14ac:dyDescent="0.3">
      <c r="A149" t="s">
        <v>1599</v>
      </c>
      <c r="B149" s="2">
        <v>46241</v>
      </c>
      <c r="C149" s="2">
        <v>46241</v>
      </c>
      <c r="D149" s="1" t="s">
        <v>256</v>
      </c>
      <c r="E149" t="s">
        <v>257</v>
      </c>
      <c r="F149" t="s">
        <v>19</v>
      </c>
      <c r="G149">
        <v>352</v>
      </c>
      <c r="H149">
        <v>352</v>
      </c>
      <c r="I149">
        <v>352</v>
      </c>
      <c r="J149">
        <v>0</v>
      </c>
      <c r="K149" s="46">
        <f t="shared" si="4"/>
        <v>100</v>
      </c>
      <c r="L149" s="8">
        <f t="shared" si="5"/>
        <v>0</v>
      </c>
      <c r="M149" t="s">
        <v>20</v>
      </c>
      <c r="N149" t="s">
        <v>21</v>
      </c>
    </row>
    <row r="150" spans="1:14" x14ac:dyDescent="0.3">
      <c r="A150" t="s">
        <v>1600</v>
      </c>
      <c r="B150" s="2">
        <v>46244</v>
      </c>
      <c r="C150" s="2">
        <v>46244</v>
      </c>
      <c r="D150" s="1" t="s">
        <v>256</v>
      </c>
      <c r="E150" t="s">
        <v>257</v>
      </c>
      <c r="F150" t="s">
        <v>19</v>
      </c>
      <c r="G150">
        <v>360</v>
      </c>
      <c r="H150">
        <v>360</v>
      </c>
      <c r="I150">
        <v>360</v>
      </c>
      <c r="J150">
        <v>0</v>
      </c>
      <c r="K150" s="46">
        <f t="shared" si="4"/>
        <v>100</v>
      </c>
      <c r="L150" s="8">
        <f t="shared" si="5"/>
        <v>0</v>
      </c>
      <c r="M150" t="s">
        <v>20</v>
      </c>
      <c r="N150" t="s">
        <v>21</v>
      </c>
    </row>
    <row r="151" spans="1:14" x14ac:dyDescent="0.3">
      <c r="A151" t="s">
        <v>1601</v>
      </c>
      <c r="B151" s="2">
        <v>46246</v>
      </c>
      <c r="C151" s="2">
        <v>46246</v>
      </c>
      <c r="D151" s="1" t="s">
        <v>256</v>
      </c>
      <c r="E151" t="s">
        <v>257</v>
      </c>
      <c r="F151" t="s">
        <v>19</v>
      </c>
      <c r="G151">
        <v>450</v>
      </c>
      <c r="H151">
        <v>450</v>
      </c>
      <c r="I151">
        <v>450</v>
      </c>
      <c r="J151">
        <v>0</v>
      </c>
      <c r="K151" s="46">
        <f t="shared" si="4"/>
        <v>100</v>
      </c>
      <c r="L151" s="8">
        <f t="shared" si="5"/>
        <v>0</v>
      </c>
      <c r="M151" t="s">
        <v>20</v>
      </c>
      <c r="N151" t="s">
        <v>21</v>
      </c>
    </row>
    <row r="152" spans="1:14" x14ac:dyDescent="0.3">
      <c r="A152" t="s">
        <v>1602</v>
      </c>
      <c r="B152" s="2">
        <v>46248</v>
      </c>
      <c r="C152" s="2">
        <v>46248</v>
      </c>
      <c r="D152" s="1" t="s">
        <v>256</v>
      </c>
      <c r="E152" t="s">
        <v>257</v>
      </c>
      <c r="F152" t="s">
        <v>19</v>
      </c>
      <c r="G152">
        <v>335</v>
      </c>
      <c r="H152">
        <v>335</v>
      </c>
      <c r="I152">
        <v>335</v>
      </c>
      <c r="J152">
        <v>0</v>
      </c>
      <c r="K152" s="46">
        <f t="shared" si="4"/>
        <v>100</v>
      </c>
      <c r="L152" s="8">
        <f t="shared" si="5"/>
        <v>0</v>
      </c>
      <c r="M152" t="s">
        <v>20</v>
      </c>
      <c r="N152" t="s">
        <v>21</v>
      </c>
    </row>
    <row r="153" spans="1:14" x14ac:dyDescent="0.3">
      <c r="A153" t="s">
        <v>1603</v>
      </c>
      <c r="B153" s="2">
        <v>46251</v>
      </c>
      <c r="C153" s="2">
        <v>46252</v>
      </c>
      <c r="D153" s="1" t="s">
        <v>256</v>
      </c>
      <c r="E153" t="s">
        <v>257</v>
      </c>
      <c r="F153" t="s">
        <v>19</v>
      </c>
      <c r="G153">
        <v>352</v>
      </c>
      <c r="H153">
        <v>352</v>
      </c>
      <c r="I153">
        <v>352</v>
      </c>
      <c r="J153">
        <v>0</v>
      </c>
      <c r="K153" s="46">
        <f t="shared" si="4"/>
        <v>100</v>
      </c>
      <c r="L153" s="8">
        <f t="shared" si="5"/>
        <v>0</v>
      </c>
      <c r="M153" t="s">
        <v>20</v>
      </c>
      <c r="N153" t="s">
        <v>21</v>
      </c>
    </row>
    <row r="154" spans="1:14" x14ac:dyDescent="0.3">
      <c r="A154" t="s">
        <v>1604</v>
      </c>
      <c r="B154" s="2">
        <v>46253</v>
      </c>
      <c r="C154" s="2">
        <v>46253</v>
      </c>
      <c r="D154" s="1" t="s">
        <v>256</v>
      </c>
      <c r="E154" t="s">
        <v>257</v>
      </c>
      <c r="F154" t="s">
        <v>19</v>
      </c>
      <c r="G154">
        <v>285</v>
      </c>
      <c r="H154">
        <v>285</v>
      </c>
      <c r="I154">
        <v>285</v>
      </c>
      <c r="J154">
        <v>0</v>
      </c>
      <c r="K154" s="46">
        <f t="shared" si="4"/>
        <v>100</v>
      </c>
      <c r="L154" s="8">
        <f t="shared" si="5"/>
        <v>0</v>
      </c>
      <c r="M154" t="s">
        <v>20</v>
      </c>
      <c r="N154" t="s">
        <v>21</v>
      </c>
    </row>
    <row r="155" spans="1:14" x14ac:dyDescent="0.3">
      <c r="A155" t="s">
        <v>1605</v>
      </c>
      <c r="B155" s="2">
        <v>46241</v>
      </c>
      <c r="C155" s="2">
        <v>46241</v>
      </c>
      <c r="D155" s="1" t="s">
        <v>266</v>
      </c>
      <c r="E155" t="s">
        <v>267</v>
      </c>
      <c r="F155" t="s">
        <v>19</v>
      </c>
      <c r="G155">
        <v>150</v>
      </c>
      <c r="H155">
        <v>150</v>
      </c>
      <c r="I155">
        <v>150</v>
      </c>
      <c r="J155">
        <v>0</v>
      </c>
      <c r="K155" s="46">
        <f t="shared" si="4"/>
        <v>100</v>
      </c>
      <c r="L155" s="8">
        <f t="shared" si="5"/>
        <v>0</v>
      </c>
      <c r="M155" t="s">
        <v>20</v>
      </c>
      <c r="N155" t="s">
        <v>21</v>
      </c>
    </row>
    <row r="156" spans="1:14" x14ac:dyDescent="0.3">
      <c r="A156" t="s">
        <v>1311</v>
      </c>
      <c r="B156" s="2">
        <v>46237</v>
      </c>
      <c r="C156" s="2">
        <v>46240</v>
      </c>
      <c r="D156" s="1" t="s">
        <v>1312</v>
      </c>
      <c r="E156" t="s">
        <v>1313</v>
      </c>
      <c r="F156" t="s">
        <v>19</v>
      </c>
      <c r="G156">
        <v>240</v>
      </c>
      <c r="H156">
        <v>240</v>
      </c>
      <c r="I156">
        <v>240</v>
      </c>
      <c r="J156">
        <v>0</v>
      </c>
      <c r="K156" s="46">
        <f t="shared" si="4"/>
        <v>100</v>
      </c>
      <c r="L156" s="8">
        <f t="shared" si="5"/>
        <v>0</v>
      </c>
      <c r="M156" t="s">
        <v>20</v>
      </c>
      <c r="N156" t="s">
        <v>21</v>
      </c>
    </row>
    <row r="157" spans="1:14" x14ac:dyDescent="0.3">
      <c r="A157" t="s">
        <v>1315</v>
      </c>
      <c r="B157" s="2">
        <v>46239</v>
      </c>
      <c r="C157" s="2">
        <v>46240</v>
      </c>
      <c r="D157" s="1" t="s">
        <v>1312</v>
      </c>
      <c r="E157" t="s">
        <v>1313</v>
      </c>
      <c r="F157" t="s">
        <v>19</v>
      </c>
      <c r="G157">
        <v>120</v>
      </c>
      <c r="H157">
        <v>120</v>
      </c>
      <c r="I157">
        <v>120</v>
      </c>
      <c r="J157">
        <v>0</v>
      </c>
      <c r="K157" s="46">
        <f t="shared" si="4"/>
        <v>100</v>
      </c>
      <c r="L157" s="8">
        <f t="shared" si="5"/>
        <v>0</v>
      </c>
      <c r="M157" t="s">
        <v>20</v>
      </c>
      <c r="N157" t="s">
        <v>21</v>
      </c>
    </row>
    <row r="158" spans="1:14" x14ac:dyDescent="0.3">
      <c r="A158" t="s">
        <v>1606</v>
      </c>
      <c r="B158" s="2">
        <v>46240</v>
      </c>
      <c r="C158" s="2">
        <v>46241</v>
      </c>
      <c r="D158" s="1" t="s">
        <v>1312</v>
      </c>
      <c r="E158" t="s">
        <v>1313</v>
      </c>
      <c r="F158" t="s">
        <v>19</v>
      </c>
      <c r="G158">
        <v>428</v>
      </c>
      <c r="H158">
        <v>428</v>
      </c>
      <c r="I158">
        <v>428</v>
      </c>
      <c r="J158">
        <v>0</v>
      </c>
      <c r="K158" s="46">
        <f t="shared" si="4"/>
        <v>100</v>
      </c>
      <c r="L158" s="8">
        <f t="shared" si="5"/>
        <v>0</v>
      </c>
      <c r="M158" t="s">
        <v>20</v>
      </c>
      <c r="N158" t="s">
        <v>21</v>
      </c>
    </row>
    <row r="159" spans="1:14" x14ac:dyDescent="0.3">
      <c r="A159" t="s">
        <v>1607</v>
      </c>
      <c r="B159" s="2">
        <v>46241</v>
      </c>
      <c r="C159" s="2">
        <v>46241</v>
      </c>
      <c r="D159" s="1" t="s">
        <v>1312</v>
      </c>
      <c r="E159" t="s">
        <v>1313</v>
      </c>
      <c r="F159" t="s">
        <v>19</v>
      </c>
      <c r="G159">
        <v>160</v>
      </c>
      <c r="H159">
        <v>160</v>
      </c>
      <c r="I159">
        <v>160</v>
      </c>
      <c r="J159">
        <v>0</v>
      </c>
      <c r="K159" s="46">
        <f t="shared" si="4"/>
        <v>100</v>
      </c>
      <c r="L159" s="8">
        <f t="shared" si="5"/>
        <v>0</v>
      </c>
      <c r="M159" t="s">
        <v>20</v>
      </c>
      <c r="N159" t="s">
        <v>21</v>
      </c>
    </row>
    <row r="160" spans="1:14" x14ac:dyDescent="0.3">
      <c r="A160" t="s">
        <v>1608</v>
      </c>
      <c r="B160" s="2">
        <v>46247</v>
      </c>
      <c r="C160" s="2">
        <v>46248</v>
      </c>
      <c r="D160" s="1" t="s">
        <v>1312</v>
      </c>
      <c r="E160" t="s">
        <v>1313</v>
      </c>
      <c r="F160" t="s">
        <v>19</v>
      </c>
      <c r="G160">
        <v>231</v>
      </c>
      <c r="H160">
        <v>231</v>
      </c>
      <c r="I160">
        <v>231</v>
      </c>
      <c r="J160">
        <v>0</v>
      </c>
      <c r="K160" s="46">
        <f t="shared" si="4"/>
        <v>100</v>
      </c>
      <c r="L160" s="8">
        <f t="shared" si="5"/>
        <v>0</v>
      </c>
      <c r="M160" t="s">
        <v>20</v>
      </c>
      <c r="N160" t="s">
        <v>21</v>
      </c>
    </row>
    <row r="161" spans="1:14" x14ac:dyDescent="0.3">
      <c r="A161" t="s">
        <v>1261</v>
      </c>
      <c r="B161" s="2">
        <v>46235</v>
      </c>
      <c r="C161" s="2">
        <v>46240</v>
      </c>
      <c r="D161" s="1" t="s">
        <v>272</v>
      </c>
      <c r="E161" t="s">
        <v>273</v>
      </c>
      <c r="F161" t="s">
        <v>61</v>
      </c>
      <c r="G161">
        <v>1820</v>
      </c>
      <c r="H161">
        <v>1830</v>
      </c>
      <c r="I161">
        <v>1820</v>
      </c>
      <c r="J161">
        <v>10</v>
      </c>
      <c r="K161" s="46">
        <f t="shared" si="4"/>
        <v>100.54945054945054</v>
      </c>
      <c r="L161" s="8">
        <f t="shared" si="5"/>
        <v>0.5494505494505495</v>
      </c>
      <c r="M161" t="s">
        <v>20</v>
      </c>
      <c r="N161" t="s">
        <v>21</v>
      </c>
    </row>
    <row r="162" spans="1:14" x14ac:dyDescent="0.3">
      <c r="A162" t="s">
        <v>1609</v>
      </c>
      <c r="B162" s="2">
        <v>46238</v>
      </c>
      <c r="C162" s="2">
        <v>46241</v>
      </c>
      <c r="D162" s="1" t="s">
        <v>272</v>
      </c>
      <c r="E162" t="s">
        <v>273</v>
      </c>
      <c r="F162" t="s">
        <v>61</v>
      </c>
      <c r="G162">
        <v>1813</v>
      </c>
      <c r="H162">
        <v>1818</v>
      </c>
      <c r="I162">
        <v>1813</v>
      </c>
      <c r="J162">
        <v>5</v>
      </c>
      <c r="K162" s="46">
        <f t="shared" si="4"/>
        <v>100.2757859900717</v>
      </c>
      <c r="L162" s="8">
        <f t="shared" si="5"/>
        <v>0.27578599007170435</v>
      </c>
      <c r="M162" t="s">
        <v>20</v>
      </c>
      <c r="N162" t="s">
        <v>21</v>
      </c>
    </row>
    <row r="163" spans="1:14" x14ac:dyDescent="0.3">
      <c r="A163" t="s">
        <v>1610</v>
      </c>
      <c r="B163" s="2">
        <v>46240</v>
      </c>
      <c r="C163" s="2">
        <v>46242</v>
      </c>
      <c r="D163" s="1" t="s">
        <v>272</v>
      </c>
      <c r="E163" t="s">
        <v>273</v>
      </c>
      <c r="F163" t="s">
        <v>61</v>
      </c>
      <c r="G163">
        <v>2128</v>
      </c>
      <c r="H163">
        <v>1952</v>
      </c>
      <c r="I163">
        <v>1939</v>
      </c>
      <c r="J163">
        <v>13</v>
      </c>
      <c r="K163" s="46">
        <f t="shared" si="4"/>
        <v>91.729323308270665</v>
      </c>
      <c r="L163" s="8">
        <f t="shared" si="5"/>
        <v>0.67044868488911813</v>
      </c>
      <c r="M163" t="s">
        <v>20</v>
      </c>
      <c r="N163" t="s">
        <v>21</v>
      </c>
    </row>
    <row r="164" spans="1:14" x14ac:dyDescent="0.3">
      <c r="A164" t="s">
        <v>1611</v>
      </c>
      <c r="B164" s="2">
        <v>46242</v>
      </c>
      <c r="C164" s="2">
        <v>46242</v>
      </c>
      <c r="D164" s="1" t="s">
        <v>272</v>
      </c>
      <c r="E164" t="s">
        <v>273</v>
      </c>
      <c r="F164" t="s">
        <v>61</v>
      </c>
      <c r="G164">
        <v>1939</v>
      </c>
      <c r="H164">
        <v>1920</v>
      </c>
      <c r="I164">
        <v>1904</v>
      </c>
      <c r="J164">
        <v>16</v>
      </c>
      <c r="K164" s="46">
        <f t="shared" si="4"/>
        <v>99.020113460546682</v>
      </c>
      <c r="L164" s="8">
        <f t="shared" si="5"/>
        <v>0.84033613445378152</v>
      </c>
      <c r="M164" t="s">
        <v>20</v>
      </c>
      <c r="N164" t="s">
        <v>21</v>
      </c>
    </row>
    <row r="165" spans="1:14" x14ac:dyDescent="0.3">
      <c r="A165" t="s">
        <v>1612</v>
      </c>
      <c r="B165" s="2">
        <v>46245</v>
      </c>
      <c r="C165" s="2">
        <v>46246</v>
      </c>
      <c r="D165" s="1" t="s">
        <v>272</v>
      </c>
      <c r="E165" t="s">
        <v>273</v>
      </c>
      <c r="F165" t="s">
        <v>61</v>
      </c>
      <c r="G165">
        <v>1939</v>
      </c>
      <c r="H165">
        <v>2010</v>
      </c>
      <c r="I165">
        <v>2009</v>
      </c>
      <c r="J165">
        <v>1</v>
      </c>
      <c r="K165" s="46">
        <f t="shared" si="4"/>
        <v>103.66168127900981</v>
      </c>
      <c r="L165" s="8">
        <f t="shared" si="5"/>
        <v>4.9776007964161276E-2</v>
      </c>
      <c r="M165" t="s">
        <v>20</v>
      </c>
      <c r="N165" t="s">
        <v>21</v>
      </c>
    </row>
    <row r="166" spans="1:14" x14ac:dyDescent="0.3">
      <c r="A166" t="s">
        <v>1613</v>
      </c>
      <c r="B166" s="2">
        <v>46247</v>
      </c>
      <c r="C166" s="2">
        <v>46248</v>
      </c>
      <c r="D166" s="1" t="s">
        <v>272</v>
      </c>
      <c r="E166" t="s">
        <v>273</v>
      </c>
      <c r="F166" t="s">
        <v>61</v>
      </c>
      <c r="G166">
        <v>2476</v>
      </c>
      <c r="H166">
        <v>2768</v>
      </c>
      <c r="I166">
        <v>2751</v>
      </c>
      <c r="J166">
        <v>17</v>
      </c>
      <c r="K166" s="46">
        <f t="shared" si="4"/>
        <v>111.79321486268175</v>
      </c>
      <c r="L166" s="8">
        <f t="shared" si="5"/>
        <v>0.61795710650672486</v>
      </c>
      <c r="M166" t="s">
        <v>20</v>
      </c>
      <c r="N166" t="s">
        <v>21</v>
      </c>
    </row>
    <row r="167" spans="1:14" x14ac:dyDescent="0.3">
      <c r="A167" t="s">
        <v>1614</v>
      </c>
      <c r="B167" s="2">
        <v>46251</v>
      </c>
      <c r="C167" s="2">
        <v>46252</v>
      </c>
      <c r="D167" s="1" t="s">
        <v>272</v>
      </c>
      <c r="E167" t="s">
        <v>273</v>
      </c>
      <c r="F167" t="s">
        <v>61</v>
      </c>
      <c r="G167">
        <v>1841</v>
      </c>
      <c r="H167">
        <v>1736</v>
      </c>
      <c r="I167">
        <v>1736</v>
      </c>
      <c r="J167">
        <v>0</v>
      </c>
      <c r="K167" s="46">
        <f t="shared" si="4"/>
        <v>94.296577946768053</v>
      </c>
      <c r="L167" s="8">
        <f t="shared" si="5"/>
        <v>0</v>
      </c>
      <c r="M167" t="s">
        <v>20</v>
      </c>
      <c r="N167" t="s">
        <v>21</v>
      </c>
    </row>
    <row r="168" spans="1:14" x14ac:dyDescent="0.3">
      <c r="A168" t="s">
        <v>1615</v>
      </c>
      <c r="B168" s="2">
        <v>46252</v>
      </c>
      <c r="C168" s="2">
        <v>46253</v>
      </c>
      <c r="D168" s="1" t="s">
        <v>272</v>
      </c>
      <c r="E168" t="s">
        <v>273</v>
      </c>
      <c r="F168" t="s">
        <v>61</v>
      </c>
      <c r="G168">
        <v>1939</v>
      </c>
      <c r="H168">
        <v>1984</v>
      </c>
      <c r="I168">
        <v>1981</v>
      </c>
      <c r="J168">
        <v>3</v>
      </c>
      <c r="K168" s="46">
        <f t="shared" si="4"/>
        <v>102.32078390923157</v>
      </c>
      <c r="L168" s="8">
        <f t="shared" si="5"/>
        <v>0.15143866733972741</v>
      </c>
      <c r="M168" t="s">
        <v>20</v>
      </c>
      <c r="N168" t="s">
        <v>21</v>
      </c>
    </row>
    <row r="169" spans="1:14" x14ac:dyDescent="0.3">
      <c r="A169" t="s">
        <v>1282</v>
      </c>
      <c r="B169" s="2">
        <v>46238</v>
      </c>
      <c r="C169" s="2">
        <v>46240</v>
      </c>
      <c r="D169" s="1" t="s">
        <v>281</v>
      </c>
      <c r="E169" t="s">
        <v>282</v>
      </c>
      <c r="F169" t="s">
        <v>97</v>
      </c>
      <c r="G169">
        <v>528</v>
      </c>
      <c r="H169">
        <v>583</v>
      </c>
      <c r="I169">
        <v>580</v>
      </c>
      <c r="J169">
        <v>3</v>
      </c>
      <c r="K169" s="46">
        <f t="shared" si="4"/>
        <v>110.41666666666667</v>
      </c>
      <c r="L169" s="8">
        <f t="shared" si="5"/>
        <v>0.51724137931034486</v>
      </c>
      <c r="M169" t="s">
        <v>20</v>
      </c>
      <c r="N169" t="s">
        <v>21</v>
      </c>
    </row>
    <row r="170" spans="1:14" x14ac:dyDescent="0.3">
      <c r="A170" t="s">
        <v>1616</v>
      </c>
      <c r="B170" s="2">
        <v>46248</v>
      </c>
      <c r="C170" s="2">
        <v>46248</v>
      </c>
      <c r="D170" s="1" t="s">
        <v>281</v>
      </c>
      <c r="E170" t="s">
        <v>282</v>
      </c>
      <c r="F170" t="s">
        <v>97</v>
      </c>
      <c r="G170">
        <v>524</v>
      </c>
      <c r="H170">
        <v>620</v>
      </c>
      <c r="I170">
        <v>620</v>
      </c>
      <c r="J170">
        <v>0</v>
      </c>
      <c r="K170" s="46">
        <f t="shared" si="4"/>
        <v>118.32061068702291</v>
      </c>
      <c r="L170" s="8">
        <f t="shared" si="5"/>
        <v>0</v>
      </c>
      <c r="M170" t="s">
        <v>20</v>
      </c>
      <c r="N170" t="s">
        <v>21</v>
      </c>
    </row>
    <row r="171" spans="1:14" x14ac:dyDescent="0.3">
      <c r="A171" t="s">
        <v>1617</v>
      </c>
      <c r="B171" s="2">
        <v>46252</v>
      </c>
      <c r="C171" s="2">
        <v>46253</v>
      </c>
      <c r="D171" s="1" t="s">
        <v>281</v>
      </c>
      <c r="E171" t="s">
        <v>282</v>
      </c>
      <c r="F171" t="s">
        <v>97</v>
      </c>
      <c r="G171">
        <v>524</v>
      </c>
      <c r="H171">
        <v>576</v>
      </c>
      <c r="I171">
        <v>576</v>
      </c>
      <c r="J171">
        <v>0</v>
      </c>
      <c r="K171" s="46">
        <f t="shared" si="4"/>
        <v>109.92366412213741</v>
      </c>
      <c r="L171" s="8">
        <f t="shared" si="5"/>
        <v>0</v>
      </c>
      <c r="M171" t="s">
        <v>20</v>
      </c>
      <c r="N171" t="s">
        <v>21</v>
      </c>
    </row>
    <row r="172" spans="1:14" x14ac:dyDescent="0.3">
      <c r="A172" t="s">
        <v>1277</v>
      </c>
      <c r="B172" s="2">
        <v>46238</v>
      </c>
      <c r="C172" s="2">
        <v>46240</v>
      </c>
      <c r="D172" s="1" t="s">
        <v>284</v>
      </c>
      <c r="E172" t="s">
        <v>285</v>
      </c>
      <c r="F172" t="s">
        <v>97</v>
      </c>
      <c r="G172">
        <v>385</v>
      </c>
      <c r="H172">
        <v>419</v>
      </c>
      <c r="I172">
        <v>419</v>
      </c>
      <c r="J172">
        <v>0</v>
      </c>
      <c r="K172" s="46">
        <f t="shared" si="4"/>
        <v>108.83116883116884</v>
      </c>
      <c r="L172" s="8">
        <f t="shared" si="5"/>
        <v>0</v>
      </c>
      <c r="M172" t="s">
        <v>20</v>
      </c>
      <c r="N172" t="s">
        <v>21</v>
      </c>
    </row>
    <row r="173" spans="1:14" x14ac:dyDescent="0.3">
      <c r="A173" t="s">
        <v>1618</v>
      </c>
      <c r="B173" s="2">
        <v>46245</v>
      </c>
      <c r="C173" s="2">
        <v>46246</v>
      </c>
      <c r="D173" s="1" t="s">
        <v>284</v>
      </c>
      <c r="E173" t="s">
        <v>285</v>
      </c>
      <c r="F173" t="s">
        <v>97</v>
      </c>
      <c r="G173">
        <v>420</v>
      </c>
      <c r="H173">
        <v>448</v>
      </c>
      <c r="I173">
        <v>448</v>
      </c>
      <c r="J173">
        <v>0</v>
      </c>
      <c r="K173" s="46">
        <f t="shared" si="4"/>
        <v>106.66666666666667</v>
      </c>
      <c r="L173" s="8">
        <f t="shared" si="5"/>
        <v>0</v>
      </c>
      <c r="M173" t="s">
        <v>20</v>
      </c>
      <c r="N173" t="s">
        <v>21</v>
      </c>
    </row>
    <row r="174" spans="1:14" x14ac:dyDescent="0.3">
      <c r="A174" t="s">
        <v>1619</v>
      </c>
      <c r="B174" s="2">
        <v>46252</v>
      </c>
      <c r="C174" s="2">
        <v>46253</v>
      </c>
      <c r="D174" s="1" t="s">
        <v>284</v>
      </c>
      <c r="E174" t="s">
        <v>285</v>
      </c>
      <c r="F174" t="s">
        <v>97</v>
      </c>
      <c r="G174">
        <v>420</v>
      </c>
      <c r="H174">
        <v>455</v>
      </c>
      <c r="I174">
        <v>455</v>
      </c>
      <c r="J174">
        <v>0</v>
      </c>
      <c r="K174" s="46">
        <f t="shared" si="4"/>
        <v>108.33333333333333</v>
      </c>
      <c r="L174" s="8">
        <f t="shared" si="5"/>
        <v>0</v>
      </c>
      <c r="M174" t="s">
        <v>20</v>
      </c>
      <c r="N174" t="s">
        <v>21</v>
      </c>
    </row>
    <row r="175" spans="1:14" x14ac:dyDescent="0.3">
      <c r="A175" t="s">
        <v>1276</v>
      </c>
      <c r="B175" s="2">
        <v>46238</v>
      </c>
      <c r="C175" s="2">
        <v>46240</v>
      </c>
      <c r="D175" s="1" t="s">
        <v>289</v>
      </c>
      <c r="E175" t="s">
        <v>290</v>
      </c>
      <c r="F175" t="s">
        <v>97</v>
      </c>
      <c r="G175">
        <v>624</v>
      </c>
      <c r="H175">
        <v>624</v>
      </c>
      <c r="I175">
        <v>620</v>
      </c>
      <c r="J175">
        <v>4</v>
      </c>
      <c r="K175" s="46">
        <f t="shared" si="4"/>
        <v>100</v>
      </c>
      <c r="L175" s="8">
        <f t="shared" si="5"/>
        <v>0.64516129032258063</v>
      </c>
      <c r="M175" t="s">
        <v>20</v>
      </c>
      <c r="N175" t="s">
        <v>21</v>
      </c>
    </row>
    <row r="176" spans="1:14" x14ac:dyDescent="0.3">
      <c r="A176" t="s">
        <v>1620</v>
      </c>
      <c r="B176" s="2">
        <v>46247</v>
      </c>
      <c r="C176" s="2">
        <v>46248</v>
      </c>
      <c r="D176" s="1" t="s">
        <v>289</v>
      </c>
      <c r="E176" t="s">
        <v>290</v>
      </c>
      <c r="F176" t="s">
        <v>97</v>
      </c>
      <c r="G176">
        <v>624</v>
      </c>
      <c r="H176">
        <v>648</v>
      </c>
      <c r="I176">
        <v>646</v>
      </c>
      <c r="J176">
        <v>2</v>
      </c>
      <c r="K176" s="46">
        <f t="shared" si="4"/>
        <v>103.84615384615385</v>
      </c>
      <c r="L176" s="8">
        <f t="shared" si="5"/>
        <v>0.30959752321981426</v>
      </c>
      <c r="M176" t="s">
        <v>20</v>
      </c>
      <c r="N176" t="s">
        <v>21</v>
      </c>
    </row>
    <row r="177" spans="1:14" x14ac:dyDescent="0.3">
      <c r="A177" t="s">
        <v>1621</v>
      </c>
      <c r="B177" s="2">
        <v>46252</v>
      </c>
      <c r="C177" s="2">
        <v>46253</v>
      </c>
      <c r="D177" s="1" t="s">
        <v>289</v>
      </c>
      <c r="E177" t="s">
        <v>290</v>
      </c>
      <c r="F177" t="s">
        <v>97</v>
      </c>
      <c r="G177">
        <v>324</v>
      </c>
      <c r="H177">
        <v>336</v>
      </c>
      <c r="I177">
        <v>336</v>
      </c>
      <c r="J177">
        <v>0</v>
      </c>
      <c r="K177" s="46">
        <f t="shared" si="4"/>
        <v>103.7037037037037</v>
      </c>
      <c r="L177" s="8">
        <f t="shared" si="5"/>
        <v>0</v>
      </c>
      <c r="M177" t="s">
        <v>20</v>
      </c>
      <c r="N177" t="s">
        <v>21</v>
      </c>
    </row>
    <row r="178" spans="1:14" x14ac:dyDescent="0.3">
      <c r="A178" t="s">
        <v>1622</v>
      </c>
      <c r="B178" s="2">
        <v>46244</v>
      </c>
      <c r="C178" s="2">
        <v>46244</v>
      </c>
      <c r="D178" s="1" t="s">
        <v>295</v>
      </c>
      <c r="E178" t="s">
        <v>296</v>
      </c>
      <c r="F178" t="s">
        <v>39</v>
      </c>
      <c r="G178">
        <v>100</v>
      </c>
      <c r="H178">
        <v>116</v>
      </c>
      <c r="I178">
        <v>108</v>
      </c>
      <c r="J178">
        <v>8</v>
      </c>
      <c r="K178" s="46">
        <f t="shared" si="4"/>
        <v>115.99999999999999</v>
      </c>
      <c r="L178" s="8">
        <f t="shared" si="5"/>
        <v>7.4074074074074066</v>
      </c>
      <c r="M178" t="s">
        <v>20</v>
      </c>
      <c r="N178" t="s">
        <v>21</v>
      </c>
    </row>
    <row r="179" spans="1:14" x14ac:dyDescent="0.3">
      <c r="A179" t="s">
        <v>1623</v>
      </c>
      <c r="B179" s="2">
        <v>46245</v>
      </c>
      <c r="C179" s="2">
        <v>46246</v>
      </c>
      <c r="D179" s="1" t="s">
        <v>295</v>
      </c>
      <c r="E179" t="s">
        <v>296</v>
      </c>
      <c r="F179" t="s">
        <v>39</v>
      </c>
      <c r="G179">
        <v>100</v>
      </c>
      <c r="H179">
        <v>114</v>
      </c>
      <c r="I179">
        <v>113</v>
      </c>
      <c r="J179">
        <v>1</v>
      </c>
      <c r="K179" s="46">
        <f t="shared" si="4"/>
        <v>113.99999999999999</v>
      </c>
      <c r="L179" s="8">
        <f t="shared" si="5"/>
        <v>0.88495575221238942</v>
      </c>
      <c r="M179" t="s">
        <v>20</v>
      </c>
      <c r="N179" t="s">
        <v>21</v>
      </c>
    </row>
    <row r="180" spans="1:14" x14ac:dyDescent="0.3">
      <c r="A180" t="s">
        <v>1624</v>
      </c>
      <c r="B180" s="2">
        <v>46246</v>
      </c>
      <c r="C180" s="2">
        <v>46246</v>
      </c>
      <c r="D180" s="1" t="s">
        <v>295</v>
      </c>
      <c r="E180" t="s">
        <v>296</v>
      </c>
      <c r="F180" t="s">
        <v>39</v>
      </c>
      <c r="G180">
        <v>100</v>
      </c>
      <c r="H180">
        <v>112</v>
      </c>
      <c r="I180">
        <v>112</v>
      </c>
      <c r="J180">
        <v>0</v>
      </c>
      <c r="K180" s="46">
        <f t="shared" si="4"/>
        <v>112.00000000000001</v>
      </c>
      <c r="L180" s="8">
        <f t="shared" si="5"/>
        <v>0</v>
      </c>
      <c r="M180" t="s">
        <v>20</v>
      </c>
      <c r="N180" t="s">
        <v>21</v>
      </c>
    </row>
    <row r="181" spans="1:14" x14ac:dyDescent="0.3">
      <c r="A181" t="s">
        <v>1625</v>
      </c>
      <c r="B181" s="2">
        <v>46240</v>
      </c>
      <c r="C181" s="2">
        <v>46241</v>
      </c>
      <c r="D181" s="1" t="s">
        <v>1626</v>
      </c>
      <c r="E181" t="s">
        <v>1627</v>
      </c>
      <c r="F181" t="s">
        <v>1304</v>
      </c>
      <c r="G181">
        <v>864</v>
      </c>
      <c r="H181">
        <v>864</v>
      </c>
      <c r="I181">
        <v>864</v>
      </c>
      <c r="J181">
        <v>0</v>
      </c>
      <c r="K181" s="46">
        <f t="shared" si="4"/>
        <v>100</v>
      </c>
      <c r="L181" s="8">
        <f t="shared" si="5"/>
        <v>0</v>
      </c>
      <c r="M181" t="s">
        <v>20</v>
      </c>
      <c r="N181" t="s">
        <v>21</v>
      </c>
    </row>
    <row r="182" spans="1:14" x14ac:dyDescent="0.3">
      <c r="A182" t="s">
        <v>1628</v>
      </c>
      <c r="B182" s="2">
        <v>46242</v>
      </c>
      <c r="C182" s="2">
        <v>46245</v>
      </c>
      <c r="D182" s="1" t="s">
        <v>1626</v>
      </c>
      <c r="E182" t="s">
        <v>1627</v>
      </c>
      <c r="F182" t="s">
        <v>1304</v>
      </c>
      <c r="G182">
        <v>138</v>
      </c>
      <c r="H182">
        <v>138</v>
      </c>
      <c r="I182">
        <v>138</v>
      </c>
      <c r="J182">
        <v>0</v>
      </c>
      <c r="K182" s="46">
        <f t="shared" si="4"/>
        <v>100</v>
      </c>
      <c r="L182" s="8">
        <f t="shared" si="5"/>
        <v>0</v>
      </c>
      <c r="M182" t="s">
        <v>20</v>
      </c>
      <c r="N182" t="s">
        <v>21</v>
      </c>
    </row>
    <row r="183" spans="1:14" x14ac:dyDescent="0.3">
      <c r="A183" t="s">
        <v>1629</v>
      </c>
      <c r="B183" s="2">
        <v>46245</v>
      </c>
      <c r="C183" s="2">
        <v>46246</v>
      </c>
      <c r="D183" s="1" t="s">
        <v>1626</v>
      </c>
      <c r="E183" t="s">
        <v>1627</v>
      </c>
      <c r="F183" t="s">
        <v>1304</v>
      </c>
      <c r="G183">
        <v>266</v>
      </c>
      <c r="H183">
        <v>266</v>
      </c>
      <c r="I183">
        <v>266</v>
      </c>
      <c r="J183">
        <v>0</v>
      </c>
      <c r="K183" s="46">
        <f t="shared" si="4"/>
        <v>100</v>
      </c>
      <c r="L183" s="8">
        <f t="shared" si="5"/>
        <v>0</v>
      </c>
      <c r="M183" t="s">
        <v>20</v>
      </c>
      <c r="N183" t="s">
        <v>21</v>
      </c>
    </row>
    <row r="184" spans="1:14" x14ac:dyDescent="0.3">
      <c r="A184" t="s">
        <v>1630</v>
      </c>
      <c r="B184" s="2">
        <v>46248</v>
      </c>
      <c r="C184" s="2">
        <v>46248</v>
      </c>
      <c r="D184" s="1" t="s">
        <v>1626</v>
      </c>
      <c r="E184" t="s">
        <v>1627</v>
      </c>
      <c r="F184" t="s">
        <v>1304</v>
      </c>
      <c r="G184">
        <v>275</v>
      </c>
      <c r="H184">
        <v>275</v>
      </c>
      <c r="I184">
        <v>275</v>
      </c>
      <c r="J184">
        <v>0</v>
      </c>
      <c r="K184" s="46">
        <f t="shared" si="4"/>
        <v>100</v>
      </c>
      <c r="L184" s="8">
        <f t="shared" si="5"/>
        <v>0</v>
      </c>
      <c r="M184" t="s">
        <v>20</v>
      </c>
      <c r="N184" t="s">
        <v>21</v>
      </c>
    </row>
    <row r="185" spans="1:14" x14ac:dyDescent="0.3">
      <c r="A185" t="s">
        <v>1286</v>
      </c>
      <c r="B185" s="2">
        <v>46238</v>
      </c>
      <c r="C185" s="2">
        <v>46240</v>
      </c>
      <c r="D185" s="1" t="s">
        <v>311</v>
      </c>
      <c r="E185" t="s">
        <v>312</v>
      </c>
      <c r="F185" t="s">
        <v>61</v>
      </c>
      <c r="G185">
        <v>150</v>
      </c>
      <c r="H185">
        <v>189</v>
      </c>
      <c r="I185">
        <v>184</v>
      </c>
      <c r="J185">
        <v>5</v>
      </c>
      <c r="K185" s="46">
        <f t="shared" si="4"/>
        <v>126</v>
      </c>
      <c r="L185" s="8">
        <f t="shared" si="5"/>
        <v>2.7173913043478262</v>
      </c>
      <c r="M185" t="s">
        <v>20</v>
      </c>
      <c r="N185" t="s">
        <v>21</v>
      </c>
    </row>
    <row r="186" spans="1:14" x14ac:dyDescent="0.3">
      <c r="A186" t="s">
        <v>1631</v>
      </c>
      <c r="B186" s="2">
        <v>46240</v>
      </c>
      <c r="C186" s="2">
        <v>46241</v>
      </c>
      <c r="D186" s="1" t="s">
        <v>311</v>
      </c>
      <c r="E186" t="s">
        <v>312</v>
      </c>
      <c r="F186" t="s">
        <v>61</v>
      </c>
      <c r="G186">
        <v>150</v>
      </c>
      <c r="H186">
        <v>181</v>
      </c>
      <c r="I186">
        <v>178</v>
      </c>
      <c r="J186">
        <v>3</v>
      </c>
      <c r="K186" s="46">
        <f t="shared" si="4"/>
        <v>120.66666666666667</v>
      </c>
      <c r="L186" s="8">
        <f t="shared" si="5"/>
        <v>1.6853932584269662</v>
      </c>
      <c r="M186" t="s">
        <v>20</v>
      </c>
      <c r="N186" t="s">
        <v>21</v>
      </c>
    </row>
    <row r="187" spans="1:14" x14ac:dyDescent="0.3">
      <c r="A187" t="s">
        <v>1292</v>
      </c>
      <c r="B187" s="2">
        <v>46239</v>
      </c>
      <c r="C187" s="2">
        <v>46240</v>
      </c>
      <c r="D187" s="1" t="s">
        <v>1293</v>
      </c>
      <c r="E187" t="s">
        <v>1632</v>
      </c>
      <c r="F187" t="s">
        <v>61</v>
      </c>
      <c r="G187">
        <v>500</v>
      </c>
      <c r="H187">
        <v>475</v>
      </c>
      <c r="I187">
        <v>471</v>
      </c>
      <c r="J187">
        <v>4</v>
      </c>
      <c r="K187" s="46">
        <f t="shared" si="4"/>
        <v>95</v>
      </c>
      <c r="L187" s="8">
        <f t="shared" si="5"/>
        <v>0.84925690021231426</v>
      </c>
      <c r="M187" t="s">
        <v>20</v>
      </c>
      <c r="N187" t="s">
        <v>21</v>
      </c>
    </row>
    <row r="188" spans="1:14" x14ac:dyDescent="0.3">
      <c r="A188" t="s">
        <v>1633</v>
      </c>
      <c r="B188" s="2">
        <v>46240</v>
      </c>
      <c r="C188" s="2">
        <v>46241</v>
      </c>
      <c r="D188" s="1" t="s">
        <v>1293</v>
      </c>
      <c r="E188" t="s">
        <v>1632</v>
      </c>
      <c r="F188" t="s">
        <v>61</v>
      </c>
      <c r="G188">
        <v>600</v>
      </c>
      <c r="H188">
        <v>607</v>
      </c>
      <c r="I188">
        <v>591</v>
      </c>
      <c r="J188">
        <v>16</v>
      </c>
      <c r="K188" s="46">
        <f t="shared" si="4"/>
        <v>101.16666666666667</v>
      </c>
      <c r="L188" s="8">
        <f t="shared" si="5"/>
        <v>2.7072758037225042</v>
      </c>
      <c r="M188" t="s">
        <v>20</v>
      </c>
      <c r="N188" t="s">
        <v>21</v>
      </c>
    </row>
    <row r="189" spans="1:14" x14ac:dyDescent="0.3">
      <c r="A189" t="s">
        <v>1634</v>
      </c>
      <c r="B189" s="2">
        <v>46241</v>
      </c>
      <c r="C189" s="2">
        <v>46241</v>
      </c>
      <c r="D189" s="1" t="s">
        <v>1293</v>
      </c>
      <c r="E189" t="s">
        <v>1632</v>
      </c>
      <c r="F189" t="s">
        <v>61</v>
      </c>
      <c r="G189">
        <v>200</v>
      </c>
      <c r="H189">
        <v>200</v>
      </c>
      <c r="I189">
        <v>200</v>
      </c>
      <c r="J189">
        <v>0</v>
      </c>
      <c r="K189" s="46">
        <f t="shared" si="4"/>
        <v>100</v>
      </c>
      <c r="L189" s="8">
        <f t="shared" si="5"/>
        <v>0</v>
      </c>
      <c r="M189" t="s">
        <v>20</v>
      </c>
      <c r="N189" t="s">
        <v>21</v>
      </c>
    </row>
    <row r="190" spans="1:14" x14ac:dyDescent="0.3">
      <c r="A190" t="s">
        <v>1271</v>
      </c>
      <c r="B190" s="2">
        <v>46237</v>
      </c>
      <c r="C190" s="2">
        <v>46240</v>
      </c>
      <c r="D190" s="1" t="s">
        <v>316</v>
      </c>
      <c r="E190" t="s">
        <v>317</v>
      </c>
      <c r="F190" t="s">
        <v>97</v>
      </c>
      <c r="G190">
        <v>100</v>
      </c>
      <c r="H190">
        <v>106</v>
      </c>
      <c r="I190">
        <v>106</v>
      </c>
      <c r="J190">
        <v>0</v>
      </c>
      <c r="K190" s="46">
        <f t="shared" si="4"/>
        <v>106</v>
      </c>
      <c r="L190" s="8">
        <f t="shared" si="5"/>
        <v>0</v>
      </c>
      <c r="M190" t="s">
        <v>20</v>
      </c>
      <c r="N190" t="s">
        <v>21</v>
      </c>
    </row>
    <row r="191" spans="1:14" x14ac:dyDescent="0.3">
      <c r="A191" t="s">
        <v>1272</v>
      </c>
      <c r="B191" s="2">
        <v>46237</v>
      </c>
      <c r="C191" s="2">
        <v>46240</v>
      </c>
      <c r="D191" s="1" t="s">
        <v>316</v>
      </c>
      <c r="E191" t="s">
        <v>317</v>
      </c>
      <c r="F191" t="s">
        <v>97</v>
      </c>
      <c r="G191">
        <v>100</v>
      </c>
      <c r="H191">
        <v>101</v>
      </c>
      <c r="I191">
        <v>101</v>
      </c>
      <c r="J191">
        <v>0</v>
      </c>
      <c r="K191" s="46">
        <f t="shared" si="4"/>
        <v>101</v>
      </c>
      <c r="L191" s="8">
        <f t="shared" si="5"/>
        <v>0</v>
      </c>
      <c r="M191" t="s">
        <v>20</v>
      </c>
      <c r="N191" t="s">
        <v>21</v>
      </c>
    </row>
    <row r="192" spans="1:14" x14ac:dyDescent="0.3">
      <c r="A192" t="s">
        <v>1283</v>
      </c>
      <c r="B192" s="2">
        <v>46238</v>
      </c>
      <c r="C192" s="2">
        <v>46240</v>
      </c>
      <c r="D192" s="1" t="s">
        <v>316</v>
      </c>
      <c r="E192" t="s">
        <v>317</v>
      </c>
      <c r="F192" t="s">
        <v>97</v>
      </c>
      <c r="G192">
        <v>100</v>
      </c>
      <c r="H192">
        <v>101</v>
      </c>
      <c r="I192">
        <v>101</v>
      </c>
      <c r="J192">
        <v>0</v>
      </c>
      <c r="K192" s="46">
        <f t="shared" si="4"/>
        <v>101</v>
      </c>
      <c r="L192" s="8">
        <f t="shared" si="5"/>
        <v>0</v>
      </c>
      <c r="M192" t="s">
        <v>20</v>
      </c>
      <c r="N192" t="s">
        <v>21</v>
      </c>
    </row>
    <row r="193" spans="1:14" x14ac:dyDescent="0.3">
      <c r="A193" t="s">
        <v>1290</v>
      </c>
      <c r="B193" s="2">
        <v>46239</v>
      </c>
      <c r="C193" s="2">
        <v>46240</v>
      </c>
      <c r="D193" s="1" t="s">
        <v>316</v>
      </c>
      <c r="E193" t="s">
        <v>317</v>
      </c>
      <c r="F193" t="s">
        <v>97</v>
      </c>
      <c r="G193">
        <v>100</v>
      </c>
      <c r="H193">
        <v>106</v>
      </c>
      <c r="I193">
        <v>106</v>
      </c>
      <c r="J193">
        <v>0</v>
      </c>
      <c r="K193" s="46">
        <f t="shared" si="4"/>
        <v>106</v>
      </c>
      <c r="L193" s="8">
        <f t="shared" si="5"/>
        <v>0</v>
      </c>
      <c r="M193" t="s">
        <v>20</v>
      </c>
      <c r="N193" t="s">
        <v>21</v>
      </c>
    </row>
    <row r="194" spans="1:14" x14ac:dyDescent="0.3">
      <c r="A194" t="s">
        <v>1635</v>
      </c>
      <c r="B194" s="2">
        <v>46247</v>
      </c>
      <c r="C194" s="2">
        <v>46248</v>
      </c>
      <c r="D194" s="1" t="s">
        <v>316</v>
      </c>
      <c r="E194" t="s">
        <v>317</v>
      </c>
      <c r="F194" t="s">
        <v>97</v>
      </c>
      <c r="G194">
        <v>200</v>
      </c>
      <c r="H194">
        <v>208</v>
      </c>
      <c r="I194">
        <v>208</v>
      </c>
      <c r="J194">
        <v>0</v>
      </c>
      <c r="K194" s="46">
        <f t="shared" si="4"/>
        <v>104</v>
      </c>
      <c r="L194" s="8">
        <f t="shared" si="5"/>
        <v>0</v>
      </c>
      <c r="M194" t="s">
        <v>20</v>
      </c>
      <c r="N194" t="s">
        <v>21</v>
      </c>
    </row>
    <row r="195" spans="1:14" x14ac:dyDescent="0.3">
      <c r="A195" t="s">
        <v>1636</v>
      </c>
      <c r="B195" s="2">
        <v>46251</v>
      </c>
      <c r="C195" s="2">
        <v>46252</v>
      </c>
      <c r="D195" s="1" t="s">
        <v>316</v>
      </c>
      <c r="E195" t="s">
        <v>317</v>
      </c>
      <c r="F195" t="s">
        <v>97</v>
      </c>
      <c r="G195">
        <v>100</v>
      </c>
      <c r="H195">
        <v>106</v>
      </c>
      <c r="I195">
        <v>106</v>
      </c>
      <c r="J195">
        <v>0</v>
      </c>
      <c r="K195" s="46">
        <f t="shared" ref="K195:K243" si="6">(H195/G195)*100</f>
        <v>106</v>
      </c>
      <c r="L195" s="8">
        <f t="shared" ref="L195:L243" si="7">((H195-I195)/I195)*100</f>
        <v>0</v>
      </c>
      <c r="M195" t="s">
        <v>20</v>
      </c>
      <c r="N195" t="s">
        <v>21</v>
      </c>
    </row>
    <row r="196" spans="1:14" x14ac:dyDescent="0.3">
      <c r="A196" t="s">
        <v>1637</v>
      </c>
      <c r="B196" s="2">
        <v>46244</v>
      </c>
      <c r="C196" s="2">
        <v>46245</v>
      </c>
      <c r="D196" s="1" t="s">
        <v>1638</v>
      </c>
      <c r="E196" t="s">
        <v>1639</v>
      </c>
      <c r="F196" t="s">
        <v>97</v>
      </c>
      <c r="G196">
        <v>32</v>
      </c>
      <c r="H196">
        <v>31</v>
      </c>
      <c r="I196">
        <v>31</v>
      </c>
      <c r="J196">
        <v>0</v>
      </c>
      <c r="K196" s="46">
        <f t="shared" si="6"/>
        <v>96.875</v>
      </c>
      <c r="L196" s="8">
        <f t="shared" si="7"/>
        <v>0</v>
      </c>
      <c r="M196" t="s">
        <v>20</v>
      </c>
      <c r="N196" t="s">
        <v>21</v>
      </c>
    </row>
    <row r="197" spans="1:14" x14ac:dyDescent="0.3">
      <c r="A197" t="s">
        <v>1640</v>
      </c>
      <c r="B197" s="2">
        <v>46245</v>
      </c>
      <c r="C197" s="2">
        <v>46246</v>
      </c>
      <c r="D197" s="1" t="s">
        <v>326</v>
      </c>
      <c r="E197" t="s">
        <v>327</v>
      </c>
      <c r="F197" t="s">
        <v>97</v>
      </c>
      <c r="G197">
        <v>272</v>
      </c>
      <c r="H197">
        <v>280</v>
      </c>
      <c r="I197">
        <v>264</v>
      </c>
      <c r="J197">
        <v>16</v>
      </c>
      <c r="K197" s="46">
        <f t="shared" si="6"/>
        <v>102.94117647058823</v>
      </c>
      <c r="L197" s="8">
        <f t="shared" si="7"/>
        <v>6.0606060606060606</v>
      </c>
      <c r="M197" t="s">
        <v>20</v>
      </c>
      <c r="N197" t="s">
        <v>21</v>
      </c>
    </row>
    <row r="198" spans="1:14" x14ac:dyDescent="0.3">
      <c r="A198" t="s">
        <v>1641</v>
      </c>
      <c r="B198" s="2">
        <v>46247</v>
      </c>
      <c r="C198" s="2">
        <v>46248</v>
      </c>
      <c r="D198" s="1" t="s">
        <v>326</v>
      </c>
      <c r="E198" t="s">
        <v>327</v>
      </c>
      <c r="F198" t="s">
        <v>97</v>
      </c>
      <c r="G198">
        <v>272</v>
      </c>
      <c r="H198">
        <v>288</v>
      </c>
      <c r="I198">
        <v>286</v>
      </c>
      <c r="J198">
        <v>2</v>
      </c>
      <c r="K198" s="46">
        <f t="shared" si="6"/>
        <v>105.88235294117648</v>
      </c>
      <c r="L198" s="8">
        <f t="shared" si="7"/>
        <v>0.69930069930069927</v>
      </c>
      <c r="M198" t="s">
        <v>20</v>
      </c>
      <c r="N198" t="s">
        <v>21</v>
      </c>
    </row>
    <row r="199" spans="1:14" x14ac:dyDescent="0.3">
      <c r="A199" t="s">
        <v>1642</v>
      </c>
      <c r="B199" s="2">
        <v>46241</v>
      </c>
      <c r="C199" s="2">
        <v>46241</v>
      </c>
      <c r="D199" s="1" t="s">
        <v>333</v>
      </c>
      <c r="E199" t="s">
        <v>334</v>
      </c>
      <c r="F199" t="s">
        <v>61</v>
      </c>
      <c r="G199">
        <v>312</v>
      </c>
      <c r="H199">
        <v>324</v>
      </c>
      <c r="I199">
        <v>324</v>
      </c>
      <c r="J199">
        <v>0</v>
      </c>
      <c r="K199" s="46">
        <f t="shared" si="6"/>
        <v>103.84615384615385</v>
      </c>
      <c r="L199" s="8">
        <f t="shared" si="7"/>
        <v>0</v>
      </c>
      <c r="M199" t="s">
        <v>20</v>
      </c>
      <c r="N199" t="s">
        <v>21</v>
      </c>
    </row>
    <row r="200" spans="1:14" x14ac:dyDescent="0.3">
      <c r="A200" t="s">
        <v>1643</v>
      </c>
      <c r="B200" s="2">
        <v>46242</v>
      </c>
      <c r="C200" s="2">
        <v>46242</v>
      </c>
      <c r="D200" s="1" t="s">
        <v>333</v>
      </c>
      <c r="E200" t="s">
        <v>334</v>
      </c>
      <c r="F200" t="s">
        <v>61</v>
      </c>
      <c r="G200">
        <v>282</v>
      </c>
      <c r="H200">
        <v>284</v>
      </c>
      <c r="I200">
        <v>282</v>
      </c>
      <c r="J200">
        <v>2</v>
      </c>
      <c r="K200" s="46">
        <f t="shared" si="6"/>
        <v>100.70921985815602</v>
      </c>
      <c r="L200" s="8">
        <f t="shared" si="7"/>
        <v>0.70921985815602839</v>
      </c>
      <c r="M200" t="s">
        <v>20</v>
      </c>
      <c r="N200" t="s">
        <v>21</v>
      </c>
    </row>
    <row r="201" spans="1:14" x14ac:dyDescent="0.3">
      <c r="A201" t="s">
        <v>1644</v>
      </c>
      <c r="B201" s="2">
        <v>46244</v>
      </c>
      <c r="C201" s="2">
        <v>46244</v>
      </c>
      <c r="D201" s="1" t="s">
        <v>333</v>
      </c>
      <c r="E201" t="s">
        <v>334</v>
      </c>
      <c r="F201" t="s">
        <v>61</v>
      </c>
      <c r="G201">
        <v>258</v>
      </c>
      <c r="H201">
        <v>258</v>
      </c>
      <c r="I201">
        <v>257</v>
      </c>
      <c r="J201">
        <v>1</v>
      </c>
      <c r="K201" s="46">
        <f t="shared" si="6"/>
        <v>100</v>
      </c>
      <c r="L201" s="8">
        <f t="shared" si="7"/>
        <v>0.38910505836575876</v>
      </c>
      <c r="M201" t="s">
        <v>20</v>
      </c>
      <c r="N201" t="s">
        <v>21</v>
      </c>
    </row>
    <row r="202" spans="1:14" x14ac:dyDescent="0.3">
      <c r="A202" t="s">
        <v>1645</v>
      </c>
      <c r="B202" s="2">
        <v>46245</v>
      </c>
      <c r="C202" s="2">
        <v>46246</v>
      </c>
      <c r="D202" s="1" t="s">
        <v>333</v>
      </c>
      <c r="E202" t="s">
        <v>334</v>
      </c>
      <c r="F202" t="s">
        <v>61</v>
      </c>
      <c r="G202">
        <v>270</v>
      </c>
      <c r="H202">
        <v>278</v>
      </c>
      <c r="I202">
        <v>276</v>
      </c>
      <c r="J202">
        <v>2</v>
      </c>
      <c r="K202" s="46">
        <f t="shared" si="6"/>
        <v>102.96296296296296</v>
      </c>
      <c r="L202" s="8">
        <f t="shared" si="7"/>
        <v>0.72463768115942029</v>
      </c>
      <c r="M202" t="s">
        <v>20</v>
      </c>
      <c r="N202" t="s">
        <v>21</v>
      </c>
    </row>
    <row r="203" spans="1:14" x14ac:dyDescent="0.3">
      <c r="A203" t="s">
        <v>1646</v>
      </c>
      <c r="B203" s="2">
        <v>46246</v>
      </c>
      <c r="C203" s="2">
        <v>46246</v>
      </c>
      <c r="D203" s="1" t="s">
        <v>333</v>
      </c>
      <c r="E203" t="s">
        <v>334</v>
      </c>
      <c r="F203" t="s">
        <v>61</v>
      </c>
      <c r="G203">
        <v>282</v>
      </c>
      <c r="H203">
        <v>288</v>
      </c>
      <c r="I203">
        <v>288</v>
      </c>
      <c r="J203">
        <v>0</v>
      </c>
      <c r="K203" s="46">
        <f t="shared" si="6"/>
        <v>102.12765957446808</v>
      </c>
      <c r="L203" s="8">
        <f t="shared" si="7"/>
        <v>0</v>
      </c>
      <c r="M203" t="s">
        <v>20</v>
      </c>
      <c r="N203" t="s">
        <v>21</v>
      </c>
    </row>
    <row r="204" spans="1:14" x14ac:dyDescent="0.3">
      <c r="A204" t="s">
        <v>1647</v>
      </c>
      <c r="B204" s="2">
        <v>46247</v>
      </c>
      <c r="C204" s="2">
        <v>46248</v>
      </c>
      <c r="D204" s="1" t="s">
        <v>333</v>
      </c>
      <c r="E204" t="s">
        <v>334</v>
      </c>
      <c r="F204" t="s">
        <v>61</v>
      </c>
      <c r="G204">
        <v>288</v>
      </c>
      <c r="H204">
        <v>296</v>
      </c>
      <c r="I204">
        <v>294</v>
      </c>
      <c r="J204">
        <v>2</v>
      </c>
      <c r="K204" s="46">
        <f t="shared" si="6"/>
        <v>102.77777777777777</v>
      </c>
      <c r="L204" s="8">
        <f t="shared" si="7"/>
        <v>0.68027210884353739</v>
      </c>
      <c r="M204" t="s">
        <v>20</v>
      </c>
      <c r="N204" t="s">
        <v>21</v>
      </c>
    </row>
    <row r="205" spans="1:14" x14ac:dyDescent="0.3">
      <c r="A205" t="s">
        <v>1648</v>
      </c>
      <c r="B205" s="2">
        <v>46248</v>
      </c>
      <c r="C205" s="2">
        <v>46248</v>
      </c>
      <c r="D205" s="1" t="s">
        <v>333</v>
      </c>
      <c r="E205" t="s">
        <v>334</v>
      </c>
      <c r="F205" t="s">
        <v>61</v>
      </c>
      <c r="G205">
        <v>306</v>
      </c>
      <c r="H205">
        <v>312</v>
      </c>
      <c r="I205">
        <v>312</v>
      </c>
      <c r="J205">
        <v>0</v>
      </c>
      <c r="K205" s="46">
        <f t="shared" si="6"/>
        <v>101.96078431372548</v>
      </c>
      <c r="L205" s="8">
        <f t="shared" si="7"/>
        <v>0</v>
      </c>
      <c r="M205" t="s">
        <v>20</v>
      </c>
      <c r="N205" t="s">
        <v>21</v>
      </c>
    </row>
    <row r="206" spans="1:14" x14ac:dyDescent="0.3">
      <c r="A206" t="s">
        <v>1649</v>
      </c>
      <c r="B206" s="2">
        <v>46248</v>
      </c>
      <c r="C206" s="2">
        <v>46248</v>
      </c>
      <c r="D206" s="1" t="s">
        <v>348</v>
      </c>
      <c r="E206" t="s">
        <v>349</v>
      </c>
      <c r="F206" t="s">
        <v>61</v>
      </c>
      <c r="G206">
        <v>600</v>
      </c>
      <c r="H206">
        <v>582</v>
      </c>
      <c r="I206">
        <v>576</v>
      </c>
      <c r="J206">
        <v>6</v>
      </c>
      <c r="K206" s="46">
        <f t="shared" si="6"/>
        <v>97</v>
      </c>
      <c r="L206" s="8">
        <f t="shared" si="7"/>
        <v>1.0416666666666665</v>
      </c>
      <c r="M206" t="s">
        <v>20</v>
      </c>
      <c r="N206" t="s">
        <v>21</v>
      </c>
    </row>
    <row r="207" spans="1:14" x14ac:dyDescent="0.3">
      <c r="A207" t="s">
        <v>1650</v>
      </c>
      <c r="B207" s="2">
        <v>46252</v>
      </c>
      <c r="C207" s="2">
        <v>46254</v>
      </c>
      <c r="D207" s="1" t="s">
        <v>348</v>
      </c>
      <c r="E207" t="s">
        <v>349</v>
      </c>
      <c r="F207" t="s">
        <v>61</v>
      </c>
      <c r="G207">
        <v>600</v>
      </c>
      <c r="H207">
        <v>617</v>
      </c>
      <c r="I207">
        <v>617</v>
      </c>
      <c r="J207">
        <v>0</v>
      </c>
      <c r="K207" s="46">
        <f t="shared" si="6"/>
        <v>102.83333333333333</v>
      </c>
      <c r="L207" s="8">
        <f t="shared" si="7"/>
        <v>0</v>
      </c>
      <c r="M207" t="s">
        <v>20</v>
      </c>
      <c r="N207" t="s">
        <v>21</v>
      </c>
    </row>
    <row r="208" spans="1:14" x14ac:dyDescent="0.3">
      <c r="A208" t="s">
        <v>1651</v>
      </c>
      <c r="B208" s="2">
        <v>46242</v>
      </c>
      <c r="C208" s="2">
        <v>46244</v>
      </c>
      <c r="D208" s="1" t="s">
        <v>352</v>
      </c>
      <c r="E208" t="s">
        <v>353</v>
      </c>
      <c r="F208" t="s">
        <v>19</v>
      </c>
      <c r="G208">
        <v>63</v>
      </c>
      <c r="H208">
        <v>63</v>
      </c>
      <c r="I208">
        <v>63</v>
      </c>
      <c r="J208">
        <v>0</v>
      </c>
      <c r="K208" s="46">
        <f t="shared" si="6"/>
        <v>100</v>
      </c>
      <c r="L208" s="8">
        <f t="shared" si="7"/>
        <v>0</v>
      </c>
      <c r="M208" t="s">
        <v>20</v>
      </c>
      <c r="N208" t="s">
        <v>21</v>
      </c>
    </row>
    <row r="209" spans="1:14" x14ac:dyDescent="0.3">
      <c r="A209" t="s">
        <v>1267</v>
      </c>
      <c r="B209" s="2">
        <v>46237</v>
      </c>
      <c r="C209" s="2">
        <v>46240</v>
      </c>
      <c r="D209" s="1" t="s">
        <v>355</v>
      </c>
      <c r="E209" t="s">
        <v>356</v>
      </c>
      <c r="F209" t="s">
        <v>97</v>
      </c>
      <c r="G209">
        <v>33</v>
      </c>
      <c r="H209">
        <v>33</v>
      </c>
      <c r="I209">
        <v>28</v>
      </c>
      <c r="J209">
        <v>5</v>
      </c>
      <c r="K209" s="46">
        <f t="shared" si="6"/>
        <v>100</v>
      </c>
      <c r="L209" s="8">
        <f t="shared" si="7"/>
        <v>17.857142857142858</v>
      </c>
      <c r="M209" t="s">
        <v>20</v>
      </c>
      <c r="N209" t="s">
        <v>21</v>
      </c>
    </row>
    <row r="210" spans="1:14" x14ac:dyDescent="0.3">
      <c r="A210" t="s">
        <v>1279</v>
      </c>
      <c r="B210" s="2">
        <v>46238</v>
      </c>
      <c r="C210" s="2">
        <v>46240</v>
      </c>
      <c r="D210" s="1" t="s">
        <v>355</v>
      </c>
      <c r="E210" t="s">
        <v>356</v>
      </c>
      <c r="F210" t="s">
        <v>97</v>
      </c>
      <c r="G210">
        <v>33</v>
      </c>
      <c r="H210">
        <v>33</v>
      </c>
      <c r="I210">
        <v>28</v>
      </c>
      <c r="J210">
        <v>5</v>
      </c>
      <c r="K210" s="46">
        <f t="shared" si="6"/>
        <v>100</v>
      </c>
      <c r="L210" s="8">
        <f t="shared" si="7"/>
        <v>17.857142857142858</v>
      </c>
      <c r="M210" t="s">
        <v>20</v>
      </c>
      <c r="N210" t="s">
        <v>21</v>
      </c>
    </row>
    <row r="211" spans="1:14" x14ac:dyDescent="0.3">
      <c r="A211" t="s">
        <v>1652</v>
      </c>
      <c r="B211" s="2">
        <v>46244</v>
      </c>
      <c r="C211" s="2">
        <v>46244</v>
      </c>
      <c r="D211" s="1" t="s">
        <v>355</v>
      </c>
      <c r="E211" t="s">
        <v>356</v>
      </c>
      <c r="F211" t="s">
        <v>97</v>
      </c>
      <c r="G211">
        <v>9</v>
      </c>
      <c r="H211">
        <v>9</v>
      </c>
      <c r="I211">
        <v>9</v>
      </c>
      <c r="J211">
        <v>0</v>
      </c>
      <c r="K211" s="46">
        <f t="shared" si="6"/>
        <v>100</v>
      </c>
      <c r="L211" s="8">
        <f t="shared" si="7"/>
        <v>0</v>
      </c>
      <c r="M211" t="s">
        <v>20</v>
      </c>
      <c r="N211" t="s">
        <v>21</v>
      </c>
    </row>
    <row r="212" spans="1:14" x14ac:dyDescent="0.3">
      <c r="A212" t="s">
        <v>1653</v>
      </c>
      <c r="B212" s="2">
        <v>46247</v>
      </c>
      <c r="C212" s="2">
        <v>46248</v>
      </c>
      <c r="D212" s="1" t="s">
        <v>355</v>
      </c>
      <c r="E212" t="s">
        <v>356</v>
      </c>
      <c r="F212" t="s">
        <v>97</v>
      </c>
      <c r="G212">
        <v>27</v>
      </c>
      <c r="H212">
        <v>27</v>
      </c>
      <c r="I212">
        <v>27</v>
      </c>
      <c r="J212">
        <v>0</v>
      </c>
      <c r="K212" s="46">
        <f t="shared" si="6"/>
        <v>100</v>
      </c>
      <c r="L212" s="8">
        <f t="shared" si="7"/>
        <v>0</v>
      </c>
      <c r="M212" t="s">
        <v>20</v>
      </c>
      <c r="N212" t="s">
        <v>21</v>
      </c>
    </row>
    <row r="213" spans="1:14" x14ac:dyDescent="0.3">
      <c r="A213" t="s">
        <v>1654</v>
      </c>
      <c r="B213" s="2">
        <v>46251</v>
      </c>
      <c r="C213" s="2">
        <v>46253</v>
      </c>
      <c r="D213" s="1" t="s">
        <v>355</v>
      </c>
      <c r="E213" t="s">
        <v>356</v>
      </c>
      <c r="F213" t="s">
        <v>97</v>
      </c>
      <c r="G213">
        <v>9</v>
      </c>
      <c r="H213">
        <v>9</v>
      </c>
      <c r="I213">
        <v>9</v>
      </c>
      <c r="J213">
        <v>0</v>
      </c>
      <c r="K213" s="46">
        <f t="shared" si="6"/>
        <v>100</v>
      </c>
      <c r="L213" s="8">
        <f t="shared" si="7"/>
        <v>0</v>
      </c>
      <c r="M213" t="s">
        <v>20</v>
      </c>
      <c r="N213" t="s">
        <v>21</v>
      </c>
    </row>
    <row r="214" spans="1:14" x14ac:dyDescent="0.3">
      <c r="A214" t="s">
        <v>1655</v>
      </c>
      <c r="B214" s="2">
        <v>46251</v>
      </c>
      <c r="C214" s="2">
        <v>46252</v>
      </c>
      <c r="D214" s="1" t="s">
        <v>355</v>
      </c>
      <c r="E214" t="s">
        <v>356</v>
      </c>
      <c r="F214" t="s">
        <v>97</v>
      </c>
      <c r="G214">
        <v>18</v>
      </c>
      <c r="H214">
        <v>18</v>
      </c>
      <c r="I214">
        <v>18</v>
      </c>
      <c r="J214">
        <v>0</v>
      </c>
      <c r="K214" s="46">
        <f t="shared" si="6"/>
        <v>100</v>
      </c>
      <c r="L214" s="8">
        <f t="shared" si="7"/>
        <v>0</v>
      </c>
      <c r="M214" t="s">
        <v>20</v>
      </c>
      <c r="N214" t="s">
        <v>21</v>
      </c>
    </row>
    <row r="215" spans="1:14" x14ac:dyDescent="0.3">
      <c r="A215" t="s">
        <v>1656</v>
      </c>
      <c r="B215" s="2">
        <v>46248</v>
      </c>
      <c r="C215" s="2">
        <v>46251</v>
      </c>
      <c r="D215" s="1" t="s">
        <v>1657</v>
      </c>
      <c r="E215" t="s">
        <v>1658</v>
      </c>
      <c r="F215" t="s">
        <v>97</v>
      </c>
      <c r="G215">
        <v>108</v>
      </c>
      <c r="H215">
        <v>132</v>
      </c>
      <c r="I215">
        <v>132</v>
      </c>
      <c r="J215">
        <v>0</v>
      </c>
      <c r="K215" s="46">
        <f t="shared" si="6"/>
        <v>122.22222222222223</v>
      </c>
      <c r="L215" s="8">
        <f t="shared" si="7"/>
        <v>0</v>
      </c>
      <c r="M215" t="s">
        <v>20</v>
      </c>
      <c r="N215" t="s">
        <v>21</v>
      </c>
    </row>
    <row r="216" spans="1:14" x14ac:dyDescent="0.3">
      <c r="A216" t="s">
        <v>1281</v>
      </c>
      <c r="B216" s="2">
        <v>46238</v>
      </c>
      <c r="C216" s="2">
        <v>46240</v>
      </c>
      <c r="D216" s="1" t="s">
        <v>367</v>
      </c>
      <c r="E216" t="s">
        <v>368</v>
      </c>
      <c r="F216" t="s">
        <v>97</v>
      </c>
      <c r="G216">
        <v>23</v>
      </c>
      <c r="H216">
        <v>25</v>
      </c>
      <c r="I216">
        <v>25</v>
      </c>
      <c r="J216">
        <v>0</v>
      </c>
      <c r="K216" s="46">
        <f t="shared" si="6"/>
        <v>108.69565217391303</v>
      </c>
      <c r="L216" s="8">
        <f t="shared" si="7"/>
        <v>0</v>
      </c>
      <c r="M216" t="s">
        <v>20</v>
      </c>
      <c r="N216" t="s">
        <v>21</v>
      </c>
    </row>
    <row r="217" spans="1:14" x14ac:dyDescent="0.3">
      <c r="A217" t="s">
        <v>1659</v>
      </c>
      <c r="B217" s="2">
        <v>46252</v>
      </c>
      <c r="C217" s="2">
        <v>46253</v>
      </c>
      <c r="D217" s="1" t="s">
        <v>367</v>
      </c>
      <c r="E217" t="s">
        <v>368</v>
      </c>
      <c r="F217" t="s">
        <v>97</v>
      </c>
      <c r="G217">
        <v>19</v>
      </c>
      <c r="H217">
        <v>25</v>
      </c>
      <c r="I217">
        <v>25</v>
      </c>
      <c r="J217">
        <v>0</v>
      </c>
      <c r="K217" s="46">
        <f t="shared" si="6"/>
        <v>131.57894736842107</v>
      </c>
      <c r="L217" s="8">
        <f t="shared" si="7"/>
        <v>0</v>
      </c>
      <c r="M217" t="s">
        <v>20</v>
      </c>
      <c r="N217" t="s">
        <v>21</v>
      </c>
    </row>
    <row r="218" spans="1:14" x14ac:dyDescent="0.3">
      <c r="A218" t="s">
        <v>1280</v>
      </c>
      <c r="B218" s="2">
        <v>46238</v>
      </c>
      <c r="C218" s="2">
        <v>46240</v>
      </c>
      <c r="D218" s="1" t="s">
        <v>370</v>
      </c>
      <c r="E218" t="s">
        <v>371</v>
      </c>
      <c r="F218" t="s">
        <v>97</v>
      </c>
      <c r="G218">
        <v>22</v>
      </c>
      <c r="H218">
        <v>22</v>
      </c>
      <c r="I218">
        <v>20</v>
      </c>
      <c r="J218">
        <v>2</v>
      </c>
      <c r="K218" s="46">
        <f t="shared" si="6"/>
        <v>100</v>
      </c>
      <c r="L218" s="8">
        <f t="shared" si="7"/>
        <v>10</v>
      </c>
      <c r="M218" t="s">
        <v>20</v>
      </c>
      <c r="N218" t="s">
        <v>21</v>
      </c>
    </row>
    <row r="219" spans="1:14" x14ac:dyDescent="0.3">
      <c r="A219" t="s">
        <v>1660</v>
      </c>
      <c r="B219" s="2">
        <v>46239</v>
      </c>
      <c r="C219" s="2">
        <v>46241</v>
      </c>
      <c r="D219" s="1" t="s">
        <v>370</v>
      </c>
      <c r="E219" t="s">
        <v>371</v>
      </c>
      <c r="F219" t="s">
        <v>97</v>
      </c>
      <c r="G219">
        <v>22</v>
      </c>
      <c r="H219">
        <v>22</v>
      </c>
      <c r="I219">
        <v>20</v>
      </c>
      <c r="J219">
        <v>2</v>
      </c>
      <c r="K219" s="46">
        <f t="shared" si="6"/>
        <v>100</v>
      </c>
      <c r="L219" s="8">
        <f t="shared" si="7"/>
        <v>10</v>
      </c>
      <c r="M219" t="s">
        <v>20</v>
      </c>
      <c r="N219" t="s">
        <v>21</v>
      </c>
    </row>
    <row r="220" spans="1:14" x14ac:dyDescent="0.3">
      <c r="A220" t="s">
        <v>1661</v>
      </c>
      <c r="B220" s="2">
        <v>46244</v>
      </c>
      <c r="C220" s="2">
        <v>46245</v>
      </c>
      <c r="D220" s="1" t="s">
        <v>370</v>
      </c>
      <c r="E220" t="s">
        <v>371</v>
      </c>
      <c r="F220" t="s">
        <v>97</v>
      </c>
      <c r="G220">
        <v>10</v>
      </c>
      <c r="H220">
        <v>10</v>
      </c>
      <c r="I220">
        <v>9</v>
      </c>
      <c r="J220">
        <v>1</v>
      </c>
      <c r="K220" s="46">
        <f t="shared" si="6"/>
        <v>100</v>
      </c>
      <c r="L220" s="8">
        <f t="shared" si="7"/>
        <v>11.111111111111111</v>
      </c>
      <c r="M220" t="s">
        <v>20</v>
      </c>
      <c r="N220" t="s">
        <v>21</v>
      </c>
    </row>
    <row r="221" spans="1:14" x14ac:dyDescent="0.3">
      <c r="A221" t="s">
        <v>1662</v>
      </c>
      <c r="B221" s="2">
        <v>46252</v>
      </c>
      <c r="C221" s="2">
        <v>46253</v>
      </c>
      <c r="D221" s="1" t="s">
        <v>370</v>
      </c>
      <c r="E221" t="s">
        <v>371</v>
      </c>
      <c r="F221" t="s">
        <v>97</v>
      </c>
      <c r="G221">
        <v>10</v>
      </c>
      <c r="H221">
        <v>10</v>
      </c>
      <c r="I221">
        <v>10</v>
      </c>
      <c r="J221">
        <v>0</v>
      </c>
      <c r="K221" s="46">
        <f t="shared" si="6"/>
        <v>100</v>
      </c>
      <c r="L221" s="8">
        <f t="shared" si="7"/>
        <v>0</v>
      </c>
      <c r="M221" t="s">
        <v>20</v>
      </c>
      <c r="N221" t="s">
        <v>21</v>
      </c>
    </row>
    <row r="222" spans="1:14" x14ac:dyDescent="0.3">
      <c r="A222" t="s">
        <v>1663</v>
      </c>
      <c r="B222" s="2">
        <v>46252</v>
      </c>
      <c r="C222" s="2">
        <v>46253</v>
      </c>
      <c r="D222" s="1" t="s">
        <v>1664</v>
      </c>
      <c r="E222" t="s">
        <v>1665</v>
      </c>
      <c r="F222" t="s">
        <v>39</v>
      </c>
      <c r="G222">
        <v>292</v>
      </c>
      <c r="H222">
        <v>330</v>
      </c>
      <c r="I222">
        <v>324</v>
      </c>
      <c r="J222">
        <v>6</v>
      </c>
      <c r="K222" s="46">
        <f t="shared" si="6"/>
        <v>113.013698630137</v>
      </c>
      <c r="L222" s="8">
        <f t="shared" si="7"/>
        <v>1.8518518518518516</v>
      </c>
      <c r="M222" t="s">
        <v>20</v>
      </c>
      <c r="N222" t="s">
        <v>21</v>
      </c>
    </row>
    <row r="223" spans="1:14" x14ac:dyDescent="0.3">
      <c r="A223" t="s">
        <v>1666</v>
      </c>
      <c r="B223" s="2">
        <v>46253</v>
      </c>
      <c r="C223" s="2">
        <v>46253</v>
      </c>
      <c r="D223" s="1" t="s">
        <v>1664</v>
      </c>
      <c r="E223" t="s">
        <v>1665</v>
      </c>
      <c r="F223" t="s">
        <v>39</v>
      </c>
      <c r="G223">
        <v>292</v>
      </c>
      <c r="H223">
        <v>322</v>
      </c>
      <c r="I223">
        <v>313</v>
      </c>
      <c r="J223">
        <v>9</v>
      </c>
      <c r="K223" s="46">
        <f t="shared" si="6"/>
        <v>110.27397260273972</v>
      </c>
      <c r="L223" s="8">
        <f t="shared" si="7"/>
        <v>2.8753993610223643</v>
      </c>
      <c r="M223" t="s">
        <v>20</v>
      </c>
      <c r="N223" t="s">
        <v>21</v>
      </c>
    </row>
    <row r="224" spans="1:14" x14ac:dyDescent="0.3">
      <c r="A224" t="s">
        <v>1667</v>
      </c>
      <c r="B224" s="2">
        <v>46241</v>
      </c>
      <c r="C224" s="2">
        <v>46242</v>
      </c>
      <c r="D224" s="1" t="s">
        <v>1668</v>
      </c>
      <c r="E224" t="s">
        <v>1669</v>
      </c>
      <c r="F224" t="s">
        <v>61</v>
      </c>
      <c r="G224">
        <v>204</v>
      </c>
      <c r="H224">
        <v>209</v>
      </c>
      <c r="I224">
        <v>209</v>
      </c>
      <c r="J224">
        <v>0</v>
      </c>
      <c r="K224" s="46">
        <f t="shared" si="6"/>
        <v>102.45098039215685</v>
      </c>
      <c r="L224" s="8">
        <f t="shared" si="7"/>
        <v>0</v>
      </c>
      <c r="M224" t="s">
        <v>20</v>
      </c>
      <c r="N224" t="s">
        <v>21</v>
      </c>
    </row>
    <row r="225" spans="1:14" x14ac:dyDescent="0.3">
      <c r="A225" t="s">
        <v>1270</v>
      </c>
      <c r="B225" s="2">
        <v>46237</v>
      </c>
      <c r="C225" s="2">
        <v>46240</v>
      </c>
      <c r="D225" s="1" t="s">
        <v>386</v>
      </c>
      <c r="E225" t="s">
        <v>387</v>
      </c>
      <c r="F225" t="s">
        <v>61</v>
      </c>
      <c r="G225">
        <v>200</v>
      </c>
      <c r="H225">
        <v>204</v>
      </c>
      <c r="I225">
        <v>204</v>
      </c>
      <c r="J225">
        <v>0</v>
      </c>
      <c r="K225" s="46">
        <f t="shared" si="6"/>
        <v>102</v>
      </c>
      <c r="L225" s="8">
        <f t="shared" si="7"/>
        <v>0</v>
      </c>
      <c r="M225" t="s">
        <v>20</v>
      </c>
      <c r="N225" t="s">
        <v>21</v>
      </c>
    </row>
    <row r="226" spans="1:14" x14ac:dyDescent="0.3">
      <c r="A226" t="s">
        <v>1670</v>
      </c>
      <c r="B226" s="2">
        <v>46241</v>
      </c>
      <c r="C226" s="2">
        <v>46241</v>
      </c>
      <c r="D226" s="1" t="s">
        <v>386</v>
      </c>
      <c r="E226" t="s">
        <v>387</v>
      </c>
      <c r="F226" t="s">
        <v>61</v>
      </c>
      <c r="G226">
        <v>200</v>
      </c>
      <c r="H226">
        <v>204</v>
      </c>
      <c r="I226">
        <v>204</v>
      </c>
      <c r="J226">
        <v>0</v>
      </c>
      <c r="K226" s="46">
        <f t="shared" si="6"/>
        <v>102</v>
      </c>
      <c r="L226" s="8">
        <f t="shared" si="7"/>
        <v>0</v>
      </c>
      <c r="M226" t="s">
        <v>20</v>
      </c>
      <c r="N226" t="s">
        <v>21</v>
      </c>
    </row>
    <row r="227" spans="1:14" x14ac:dyDescent="0.3">
      <c r="A227" t="s">
        <v>1671</v>
      </c>
      <c r="B227" s="2">
        <v>46244</v>
      </c>
      <c r="C227" s="2">
        <v>46244</v>
      </c>
      <c r="D227" s="1" t="s">
        <v>386</v>
      </c>
      <c r="E227" t="s">
        <v>387</v>
      </c>
      <c r="F227" t="s">
        <v>61</v>
      </c>
      <c r="G227">
        <v>500</v>
      </c>
      <c r="H227">
        <v>510</v>
      </c>
      <c r="I227">
        <v>504</v>
      </c>
      <c r="J227">
        <v>6</v>
      </c>
      <c r="K227" s="46">
        <f t="shared" si="6"/>
        <v>102</v>
      </c>
      <c r="L227" s="8">
        <f t="shared" si="7"/>
        <v>1.1904761904761905</v>
      </c>
      <c r="M227" t="s">
        <v>20</v>
      </c>
      <c r="N227" t="s">
        <v>21</v>
      </c>
    </row>
    <row r="228" spans="1:14" x14ac:dyDescent="0.3">
      <c r="A228" t="s">
        <v>1672</v>
      </c>
      <c r="B228" s="2">
        <v>46252</v>
      </c>
      <c r="C228" s="2">
        <v>46253</v>
      </c>
      <c r="D228" s="1" t="s">
        <v>1673</v>
      </c>
      <c r="E228" t="s">
        <v>1674</v>
      </c>
      <c r="F228" t="s">
        <v>39</v>
      </c>
      <c r="G228">
        <v>180</v>
      </c>
      <c r="H228">
        <v>201</v>
      </c>
      <c r="I228">
        <v>201</v>
      </c>
      <c r="J228">
        <v>0</v>
      </c>
      <c r="K228" s="46">
        <f t="shared" si="6"/>
        <v>111.66666666666667</v>
      </c>
      <c r="L228" s="8">
        <f t="shared" si="7"/>
        <v>0</v>
      </c>
      <c r="M228" t="s">
        <v>20</v>
      </c>
      <c r="N228" t="s">
        <v>21</v>
      </c>
    </row>
    <row r="229" spans="1:14" x14ac:dyDescent="0.3">
      <c r="A229" t="s">
        <v>1675</v>
      </c>
      <c r="B229" s="2">
        <v>46253</v>
      </c>
      <c r="C229" s="2">
        <v>46253</v>
      </c>
      <c r="D229" s="1" t="s">
        <v>1673</v>
      </c>
      <c r="E229" t="s">
        <v>1674</v>
      </c>
      <c r="F229" t="s">
        <v>39</v>
      </c>
      <c r="G229">
        <v>180</v>
      </c>
      <c r="H229">
        <v>200</v>
      </c>
      <c r="I229">
        <v>200</v>
      </c>
      <c r="J229">
        <v>0</v>
      </c>
      <c r="K229" s="46">
        <f t="shared" si="6"/>
        <v>111.11111111111111</v>
      </c>
      <c r="L229" s="8">
        <f t="shared" si="7"/>
        <v>0</v>
      </c>
      <c r="M229" t="s">
        <v>20</v>
      </c>
      <c r="N229" t="s">
        <v>21</v>
      </c>
    </row>
    <row r="230" spans="1:14" x14ac:dyDescent="0.3">
      <c r="A230" t="s">
        <v>1676</v>
      </c>
      <c r="B230" s="2">
        <v>46251</v>
      </c>
      <c r="C230" s="2">
        <v>46252</v>
      </c>
      <c r="D230" s="1" t="s">
        <v>1677</v>
      </c>
      <c r="E230" t="s">
        <v>1678</v>
      </c>
      <c r="F230" t="s">
        <v>61</v>
      </c>
      <c r="G230">
        <v>200</v>
      </c>
      <c r="H230">
        <v>218</v>
      </c>
      <c r="I230">
        <v>218</v>
      </c>
      <c r="J230">
        <v>0</v>
      </c>
      <c r="K230" s="46">
        <f t="shared" si="6"/>
        <v>109.00000000000001</v>
      </c>
      <c r="L230" s="8">
        <f t="shared" si="7"/>
        <v>0</v>
      </c>
      <c r="M230" t="s">
        <v>20</v>
      </c>
      <c r="N230" t="s">
        <v>21</v>
      </c>
    </row>
    <row r="231" spans="1:14" x14ac:dyDescent="0.3">
      <c r="A231" t="s">
        <v>1679</v>
      </c>
      <c r="B231" s="2">
        <v>46252</v>
      </c>
      <c r="C231" s="2">
        <v>46253</v>
      </c>
      <c r="D231" s="1" t="s">
        <v>1677</v>
      </c>
      <c r="E231" t="s">
        <v>1678</v>
      </c>
      <c r="F231" t="s">
        <v>61</v>
      </c>
      <c r="G231">
        <v>100</v>
      </c>
      <c r="H231">
        <v>100</v>
      </c>
      <c r="I231">
        <v>100</v>
      </c>
      <c r="J231">
        <v>0</v>
      </c>
      <c r="K231" s="46">
        <f t="shared" si="6"/>
        <v>100</v>
      </c>
      <c r="L231" s="8">
        <f t="shared" si="7"/>
        <v>0</v>
      </c>
      <c r="M231" t="s">
        <v>20</v>
      </c>
      <c r="N231" t="s">
        <v>21</v>
      </c>
    </row>
    <row r="232" spans="1:14" x14ac:dyDescent="0.3">
      <c r="A232" t="s">
        <v>1680</v>
      </c>
      <c r="B232" s="2">
        <v>46251</v>
      </c>
      <c r="C232" s="2">
        <v>46252</v>
      </c>
      <c r="D232" s="1" t="s">
        <v>1677</v>
      </c>
      <c r="E232" t="s">
        <v>1678</v>
      </c>
      <c r="F232" t="s">
        <v>61</v>
      </c>
      <c r="G232">
        <v>100</v>
      </c>
      <c r="H232">
        <v>118</v>
      </c>
      <c r="I232">
        <v>118</v>
      </c>
      <c r="J232">
        <v>0</v>
      </c>
      <c r="K232" s="46">
        <f t="shared" si="6"/>
        <v>118</v>
      </c>
      <c r="L232" s="8">
        <f t="shared" si="7"/>
        <v>0</v>
      </c>
      <c r="M232" t="s">
        <v>20</v>
      </c>
      <c r="N232" t="s">
        <v>21</v>
      </c>
    </row>
    <row r="233" spans="1:14" x14ac:dyDescent="0.3">
      <c r="A233" t="s">
        <v>1681</v>
      </c>
      <c r="B233" s="2">
        <v>46252</v>
      </c>
      <c r="C233" s="2">
        <v>46253</v>
      </c>
      <c r="D233" s="1" t="s">
        <v>1677</v>
      </c>
      <c r="E233" t="s">
        <v>1678</v>
      </c>
      <c r="F233" t="s">
        <v>61</v>
      </c>
      <c r="G233">
        <v>200</v>
      </c>
      <c r="H233">
        <v>215</v>
      </c>
      <c r="I233">
        <v>215</v>
      </c>
      <c r="J233">
        <v>0</v>
      </c>
      <c r="K233" s="46">
        <f t="shared" si="6"/>
        <v>107.5</v>
      </c>
      <c r="L233" s="8">
        <f t="shared" si="7"/>
        <v>0</v>
      </c>
      <c r="M233" t="s">
        <v>20</v>
      </c>
      <c r="N233" t="s">
        <v>21</v>
      </c>
    </row>
    <row r="234" spans="1:14" x14ac:dyDescent="0.3">
      <c r="A234" t="s">
        <v>1682</v>
      </c>
      <c r="B234" s="2">
        <v>46244</v>
      </c>
      <c r="C234" s="2">
        <v>46245</v>
      </c>
      <c r="D234" s="1" t="s">
        <v>398</v>
      </c>
      <c r="E234" t="s">
        <v>399</v>
      </c>
      <c r="F234" t="s">
        <v>39</v>
      </c>
      <c r="G234">
        <v>582</v>
      </c>
      <c r="H234">
        <v>652</v>
      </c>
      <c r="I234">
        <v>652</v>
      </c>
      <c r="J234">
        <v>0</v>
      </c>
      <c r="K234" s="46">
        <f t="shared" si="6"/>
        <v>112.02749140893471</v>
      </c>
      <c r="L234" s="8">
        <f t="shared" si="7"/>
        <v>0</v>
      </c>
      <c r="M234" t="s">
        <v>20</v>
      </c>
      <c r="N234" t="s">
        <v>21</v>
      </c>
    </row>
    <row r="235" spans="1:14" x14ac:dyDescent="0.3">
      <c r="A235" t="s">
        <v>1683</v>
      </c>
      <c r="B235" s="2">
        <v>46245</v>
      </c>
      <c r="C235" s="2">
        <v>46246</v>
      </c>
      <c r="D235" s="1" t="s">
        <v>398</v>
      </c>
      <c r="E235" t="s">
        <v>399</v>
      </c>
      <c r="F235" t="s">
        <v>39</v>
      </c>
      <c r="G235">
        <v>582</v>
      </c>
      <c r="H235">
        <v>703</v>
      </c>
      <c r="I235">
        <v>702</v>
      </c>
      <c r="J235">
        <v>1</v>
      </c>
      <c r="K235" s="46">
        <f t="shared" si="6"/>
        <v>120.79037800687284</v>
      </c>
      <c r="L235" s="8">
        <f t="shared" si="7"/>
        <v>0.14245014245014245</v>
      </c>
      <c r="M235" t="s">
        <v>20</v>
      </c>
      <c r="N235" t="s">
        <v>21</v>
      </c>
    </row>
    <row r="236" spans="1:14" x14ac:dyDescent="0.3">
      <c r="A236" t="s">
        <v>1684</v>
      </c>
      <c r="B236" s="2">
        <v>46253</v>
      </c>
      <c r="C236" s="2">
        <v>46253</v>
      </c>
      <c r="D236" s="1" t="s">
        <v>1685</v>
      </c>
      <c r="E236" t="s">
        <v>1686</v>
      </c>
      <c r="F236" t="s">
        <v>97</v>
      </c>
      <c r="G236">
        <v>88</v>
      </c>
      <c r="H236">
        <v>88</v>
      </c>
      <c r="I236">
        <v>87</v>
      </c>
      <c r="J236">
        <v>1</v>
      </c>
      <c r="K236" s="46">
        <f t="shared" si="6"/>
        <v>100</v>
      </c>
      <c r="L236" s="8">
        <f t="shared" si="7"/>
        <v>1.1494252873563218</v>
      </c>
      <c r="M236" t="s">
        <v>20</v>
      </c>
      <c r="N236" t="s">
        <v>21</v>
      </c>
    </row>
    <row r="237" spans="1:14" x14ac:dyDescent="0.3">
      <c r="A237" t="s">
        <v>1687</v>
      </c>
      <c r="B237" s="2">
        <v>46252</v>
      </c>
      <c r="C237" s="2">
        <v>46253</v>
      </c>
      <c r="D237" s="1" t="s">
        <v>408</v>
      </c>
      <c r="E237" t="s">
        <v>409</v>
      </c>
      <c r="F237" t="s">
        <v>61</v>
      </c>
      <c r="G237">
        <v>182</v>
      </c>
      <c r="H237">
        <v>209</v>
      </c>
      <c r="I237">
        <v>206</v>
      </c>
      <c r="J237">
        <v>3</v>
      </c>
      <c r="K237" s="46">
        <f t="shared" si="6"/>
        <v>114.83516483516483</v>
      </c>
      <c r="L237" s="8">
        <f t="shared" si="7"/>
        <v>1.4563106796116505</v>
      </c>
      <c r="M237" t="s">
        <v>20</v>
      </c>
      <c r="N237" t="s">
        <v>21</v>
      </c>
    </row>
    <row r="238" spans="1:14" x14ac:dyDescent="0.3">
      <c r="A238" t="s">
        <v>1688</v>
      </c>
      <c r="B238" s="2">
        <v>46241</v>
      </c>
      <c r="C238" s="2">
        <v>46241</v>
      </c>
      <c r="D238" s="1" t="s">
        <v>1245</v>
      </c>
      <c r="E238" t="s">
        <v>1246</v>
      </c>
      <c r="F238" t="s">
        <v>46</v>
      </c>
      <c r="G238">
        <v>100</v>
      </c>
      <c r="H238">
        <v>108</v>
      </c>
      <c r="I238">
        <v>108</v>
      </c>
      <c r="J238">
        <v>0</v>
      </c>
      <c r="K238" s="46">
        <f t="shared" si="6"/>
        <v>108</v>
      </c>
      <c r="L238" s="8">
        <f t="shared" si="7"/>
        <v>0</v>
      </c>
      <c r="M238" t="s">
        <v>20</v>
      </c>
      <c r="N238" t="s">
        <v>21</v>
      </c>
    </row>
    <row r="239" spans="1:14" x14ac:dyDescent="0.3">
      <c r="A239" t="s">
        <v>1278</v>
      </c>
      <c r="B239" s="2">
        <v>46238</v>
      </c>
      <c r="C239" s="2">
        <v>46240</v>
      </c>
      <c r="D239" s="1" t="s">
        <v>412</v>
      </c>
      <c r="E239" t="s">
        <v>413</v>
      </c>
      <c r="F239" t="s">
        <v>97</v>
      </c>
      <c r="G239">
        <v>600</v>
      </c>
      <c r="H239">
        <v>626</v>
      </c>
      <c r="I239">
        <v>624</v>
      </c>
      <c r="J239">
        <v>2</v>
      </c>
      <c r="K239" s="46">
        <f t="shared" si="6"/>
        <v>104.33333333333333</v>
      </c>
      <c r="L239" s="8">
        <f t="shared" si="7"/>
        <v>0.32051282051282048</v>
      </c>
      <c r="M239" t="s">
        <v>20</v>
      </c>
      <c r="N239" t="s">
        <v>21</v>
      </c>
    </row>
    <row r="240" spans="1:14" x14ac:dyDescent="0.3">
      <c r="A240" t="s">
        <v>1689</v>
      </c>
      <c r="B240" s="2">
        <v>46240</v>
      </c>
      <c r="C240" s="2">
        <v>46241</v>
      </c>
      <c r="D240" s="1" t="s">
        <v>412</v>
      </c>
      <c r="E240" t="s">
        <v>413</v>
      </c>
      <c r="F240" t="s">
        <v>97</v>
      </c>
      <c r="G240">
        <v>600</v>
      </c>
      <c r="H240">
        <v>640</v>
      </c>
      <c r="I240">
        <v>636</v>
      </c>
      <c r="J240">
        <v>4</v>
      </c>
      <c r="K240" s="46">
        <f t="shared" si="6"/>
        <v>106.66666666666667</v>
      </c>
      <c r="L240" s="8">
        <f t="shared" si="7"/>
        <v>0.62893081761006298</v>
      </c>
      <c r="M240" t="s">
        <v>20</v>
      </c>
      <c r="N240" t="s">
        <v>21</v>
      </c>
    </row>
    <row r="241" spans="1:14" x14ac:dyDescent="0.3">
      <c r="A241" t="s">
        <v>1690</v>
      </c>
      <c r="B241" s="2">
        <v>46245</v>
      </c>
      <c r="C241" s="2">
        <v>46246</v>
      </c>
      <c r="D241" s="1" t="s">
        <v>412</v>
      </c>
      <c r="E241" t="s">
        <v>413</v>
      </c>
      <c r="F241" t="s">
        <v>97</v>
      </c>
      <c r="G241">
        <v>300</v>
      </c>
      <c r="H241">
        <v>312</v>
      </c>
      <c r="I241">
        <v>312</v>
      </c>
      <c r="J241">
        <v>0</v>
      </c>
      <c r="K241" s="46">
        <f t="shared" si="6"/>
        <v>104</v>
      </c>
      <c r="L241" s="8">
        <f t="shared" si="7"/>
        <v>0</v>
      </c>
      <c r="M241" t="s">
        <v>20</v>
      </c>
      <c r="N241" t="s">
        <v>21</v>
      </c>
    </row>
    <row r="242" spans="1:14" x14ac:dyDescent="0.3">
      <c r="A242" t="s">
        <v>1691</v>
      </c>
      <c r="B242" s="2">
        <v>46247</v>
      </c>
      <c r="C242" s="2">
        <v>46248</v>
      </c>
      <c r="D242" s="1" t="s">
        <v>412</v>
      </c>
      <c r="E242" t="s">
        <v>413</v>
      </c>
      <c r="F242" t="s">
        <v>97</v>
      </c>
      <c r="G242">
        <v>300</v>
      </c>
      <c r="H242">
        <v>324</v>
      </c>
      <c r="I242">
        <v>324</v>
      </c>
      <c r="J242">
        <v>0</v>
      </c>
      <c r="K242" s="46">
        <f t="shared" si="6"/>
        <v>108</v>
      </c>
      <c r="L242" s="8">
        <f t="shared" si="7"/>
        <v>0</v>
      </c>
      <c r="M242" t="s">
        <v>20</v>
      </c>
      <c r="N242" t="s">
        <v>21</v>
      </c>
    </row>
    <row r="243" spans="1:14" x14ac:dyDescent="0.3">
      <c r="A243" t="s">
        <v>1692</v>
      </c>
      <c r="B243" s="2">
        <v>46252</v>
      </c>
      <c r="C243" s="2">
        <v>46253</v>
      </c>
      <c r="D243" s="1" t="s">
        <v>412</v>
      </c>
      <c r="E243" t="s">
        <v>413</v>
      </c>
      <c r="F243" t="s">
        <v>97</v>
      </c>
      <c r="G243">
        <v>300</v>
      </c>
      <c r="H243">
        <v>312</v>
      </c>
      <c r="I243">
        <v>312</v>
      </c>
      <c r="J243">
        <v>0</v>
      </c>
      <c r="K243" s="46">
        <f t="shared" si="6"/>
        <v>104</v>
      </c>
      <c r="L243" s="8">
        <f t="shared" si="7"/>
        <v>0</v>
      </c>
      <c r="M243" t="s">
        <v>20</v>
      </c>
      <c r="N243" t="s">
        <v>21</v>
      </c>
    </row>
    <row r="244" spans="1:14" x14ac:dyDescent="0.3">
      <c r="G244">
        <v>72207</v>
      </c>
      <c r="J244">
        <v>291</v>
      </c>
      <c r="N244" t="s">
        <v>1693</v>
      </c>
    </row>
    <row r="245" spans="1:14" x14ac:dyDescent="0.3">
      <c r="A245" t="s">
        <v>416</v>
      </c>
    </row>
    <row r="246" spans="1:14" x14ac:dyDescent="0.3">
      <c r="A246" t="s">
        <v>2</v>
      </c>
      <c r="B246" t="s">
        <v>3</v>
      </c>
      <c r="C246" t="s">
        <v>4</v>
      </c>
      <c r="D246" s="1" t="s">
        <v>5</v>
      </c>
      <c r="E246" t="s">
        <v>6</v>
      </c>
      <c r="F246" t="s">
        <v>7</v>
      </c>
      <c r="G246" t="s">
        <v>8</v>
      </c>
      <c r="H246" t="s">
        <v>9</v>
      </c>
      <c r="I246" t="s">
        <v>10</v>
      </c>
      <c r="J246" t="s">
        <v>11</v>
      </c>
      <c r="K246" t="s">
        <v>12</v>
      </c>
      <c r="L246" t="s">
        <v>13</v>
      </c>
      <c r="M246" t="s">
        <v>14</v>
      </c>
      <c r="N246" t="s">
        <v>15</v>
      </c>
    </row>
    <row r="247" spans="1:14" x14ac:dyDescent="0.3">
      <c r="A247" t="s">
        <v>1322</v>
      </c>
      <c r="B247" s="2">
        <v>46239</v>
      </c>
      <c r="C247" s="2">
        <v>46240</v>
      </c>
      <c r="D247" s="1" t="s">
        <v>423</v>
      </c>
      <c r="E247" t="s">
        <v>424</v>
      </c>
      <c r="F247" t="s">
        <v>425</v>
      </c>
      <c r="G247">
        <v>792</v>
      </c>
      <c r="H247">
        <v>793</v>
      </c>
      <c r="I247">
        <v>763</v>
      </c>
      <c r="J247">
        <v>30</v>
      </c>
      <c r="K247" s="46">
        <f t="shared" ref="K247:K309" si="8">(H247/G247)*100</f>
        <v>100.12626262626263</v>
      </c>
      <c r="L247" s="8">
        <f t="shared" ref="L247:L310" si="9">((H247-I247)/I247)*100</f>
        <v>3.9318479685452163</v>
      </c>
      <c r="M247" t="s">
        <v>20</v>
      </c>
      <c r="N247" t="s">
        <v>421</v>
      </c>
    </row>
    <row r="248" spans="1:14" x14ac:dyDescent="0.3">
      <c r="A248" t="s">
        <v>1694</v>
      </c>
      <c r="B248" s="2">
        <v>46240</v>
      </c>
      <c r="C248" s="2">
        <v>46241</v>
      </c>
      <c r="D248" s="1" t="s">
        <v>423</v>
      </c>
      <c r="E248" t="s">
        <v>424</v>
      </c>
      <c r="F248" t="s">
        <v>425</v>
      </c>
      <c r="G248">
        <v>792</v>
      </c>
      <c r="H248">
        <v>744</v>
      </c>
      <c r="I248">
        <v>714</v>
      </c>
      <c r="J248">
        <v>30</v>
      </c>
      <c r="K248" s="46">
        <f t="shared" si="8"/>
        <v>93.939393939393938</v>
      </c>
      <c r="L248" s="8">
        <f t="shared" si="9"/>
        <v>4.2016806722689077</v>
      </c>
      <c r="M248" t="s">
        <v>20</v>
      </c>
      <c r="N248" t="s">
        <v>421</v>
      </c>
    </row>
    <row r="249" spans="1:14" x14ac:dyDescent="0.3">
      <c r="A249" t="s">
        <v>1695</v>
      </c>
      <c r="B249" s="2">
        <v>46244</v>
      </c>
      <c r="C249" s="2">
        <v>46244</v>
      </c>
      <c r="D249" s="1" t="s">
        <v>423</v>
      </c>
      <c r="E249" t="s">
        <v>424</v>
      </c>
      <c r="F249" t="s">
        <v>425</v>
      </c>
      <c r="G249">
        <v>792</v>
      </c>
      <c r="H249">
        <v>780</v>
      </c>
      <c r="I249">
        <v>749</v>
      </c>
      <c r="J249">
        <v>31</v>
      </c>
      <c r="K249" s="46">
        <f t="shared" si="8"/>
        <v>98.484848484848484</v>
      </c>
      <c r="L249" s="8">
        <f t="shared" si="9"/>
        <v>4.1388518024032042</v>
      </c>
      <c r="M249" t="s">
        <v>20</v>
      </c>
      <c r="N249" t="s">
        <v>421</v>
      </c>
    </row>
    <row r="250" spans="1:14" x14ac:dyDescent="0.3">
      <c r="A250" t="s">
        <v>1696</v>
      </c>
      <c r="B250" s="2">
        <v>46245</v>
      </c>
      <c r="C250" s="2">
        <v>46247</v>
      </c>
      <c r="D250" s="1" t="s">
        <v>423</v>
      </c>
      <c r="E250" t="s">
        <v>424</v>
      </c>
      <c r="F250" t="s">
        <v>425</v>
      </c>
      <c r="G250">
        <v>792</v>
      </c>
      <c r="H250">
        <v>688</v>
      </c>
      <c r="I250">
        <v>688</v>
      </c>
      <c r="J250">
        <v>0</v>
      </c>
      <c r="K250" s="46">
        <f t="shared" si="8"/>
        <v>86.868686868686879</v>
      </c>
      <c r="L250" s="8">
        <f t="shared" si="9"/>
        <v>0</v>
      </c>
      <c r="M250" t="s">
        <v>20</v>
      </c>
      <c r="N250" t="s">
        <v>421</v>
      </c>
    </row>
    <row r="251" spans="1:14" x14ac:dyDescent="0.3">
      <c r="A251" t="s">
        <v>1697</v>
      </c>
      <c r="B251" s="2">
        <v>46246</v>
      </c>
      <c r="C251" s="2">
        <v>46248</v>
      </c>
      <c r="D251" s="1" t="s">
        <v>423</v>
      </c>
      <c r="E251" t="s">
        <v>424</v>
      </c>
      <c r="F251" t="s">
        <v>425</v>
      </c>
      <c r="G251">
        <v>1056</v>
      </c>
      <c r="H251">
        <v>1181</v>
      </c>
      <c r="I251">
        <v>1127</v>
      </c>
      <c r="J251">
        <v>54</v>
      </c>
      <c r="K251" s="46">
        <f t="shared" si="8"/>
        <v>111.83712121212122</v>
      </c>
      <c r="L251" s="8">
        <f t="shared" si="9"/>
        <v>4.7914818101153509</v>
      </c>
      <c r="M251" t="s">
        <v>20</v>
      </c>
      <c r="N251" t="s">
        <v>421</v>
      </c>
    </row>
    <row r="252" spans="1:14" x14ac:dyDescent="0.3">
      <c r="A252" t="s">
        <v>1698</v>
      </c>
      <c r="B252" s="2">
        <v>46248</v>
      </c>
      <c r="C252" s="2">
        <v>46251</v>
      </c>
      <c r="D252" s="1" t="s">
        <v>423</v>
      </c>
      <c r="E252" t="s">
        <v>424</v>
      </c>
      <c r="F252" t="s">
        <v>425</v>
      </c>
      <c r="G252">
        <v>528</v>
      </c>
      <c r="H252">
        <v>540</v>
      </c>
      <c r="I252">
        <v>525</v>
      </c>
      <c r="J252">
        <v>15</v>
      </c>
      <c r="K252" s="46">
        <f t="shared" si="8"/>
        <v>102.27272727272727</v>
      </c>
      <c r="L252" s="8">
        <f t="shared" si="9"/>
        <v>2.8571428571428572</v>
      </c>
      <c r="M252" t="s">
        <v>20</v>
      </c>
      <c r="N252" t="s">
        <v>421</v>
      </c>
    </row>
    <row r="253" spans="1:14" x14ac:dyDescent="0.3">
      <c r="A253" t="s">
        <v>1699</v>
      </c>
      <c r="B253" s="2">
        <v>46251</v>
      </c>
      <c r="C253" s="2">
        <v>46253</v>
      </c>
      <c r="D253" s="1" t="s">
        <v>423</v>
      </c>
      <c r="E253" t="s">
        <v>424</v>
      </c>
      <c r="F253" t="s">
        <v>425</v>
      </c>
      <c r="G253">
        <v>792</v>
      </c>
      <c r="H253">
        <v>779</v>
      </c>
      <c r="I253">
        <v>777</v>
      </c>
      <c r="J253">
        <v>2</v>
      </c>
      <c r="K253" s="46">
        <f t="shared" si="8"/>
        <v>98.358585858585855</v>
      </c>
      <c r="L253" s="8">
        <f t="shared" si="9"/>
        <v>0.2574002574002574</v>
      </c>
      <c r="M253" t="s">
        <v>20</v>
      </c>
      <c r="N253" t="s">
        <v>421</v>
      </c>
    </row>
    <row r="254" spans="1:14" x14ac:dyDescent="0.3">
      <c r="A254" t="s">
        <v>1700</v>
      </c>
      <c r="B254" s="2">
        <v>46252</v>
      </c>
      <c r="C254" s="2">
        <v>46254</v>
      </c>
      <c r="D254" s="1" t="s">
        <v>423</v>
      </c>
      <c r="E254" t="s">
        <v>424</v>
      </c>
      <c r="F254" t="s">
        <v>425</v>
      </c>
      <c r="G254">
        <v>1056</v>
      </c>
      <c r="H254">
        <v>1009</v>
      </c>
      <c r="I254">
        <v>987</v>
      </c>
      <c r="J254">
        <v>22</v>
      </c>
      <c r="K254" s="46">
        <f t="shared" si="8"/>
        <v>95.549242424242422</v>
      </c>
      <c r="L254" s="8">
        <f t="shared" si="9"/>
        <v>2.2289766970618032</v>
      </c>
      <c r="M254" t="s">
        <v>20</v>
      </c>
      <c r="N254" t="s">
        <v>421</v>
      </c>
    </row>
    <row r="255" spans="1:14" x14ac:dyDescent="0.3">
      <c r="A255" t="s">
        <v>1324</v>
      </c>
      <c r="B255" s="2">
        <v>46239</v>
      </c>
      <c r="C255" s="2">
        <v>46240</v>
      </c>
      <c r="D255" s="1" t="s">
        <v>436</v>
      </c>
      <c r="E255" t="s">
        <v>437</v>
      </c>
      <c r="F255" t="s">
        <v>438</v>
      </c>
      <c r="G255">
        <v>501</v>
      </c>
      <c r="H255">
        <v>464</v>
      </c>
      <c r="I255">
        <v>460</v>
      </c>
      <c r="J255">
        <v>4</v>
      </c>
      <c r="K255" s="46">
        <f t="shared" si="8"/>
        <v>92.614770459081839</v>
      </c>
      <c r="L255" s="8">
        <f t="shared" si="9"/>
        <v>0.86956521739130432</v>
      </c>
      <c r="M255" t="s">
        <v>20</v>
      </c>
      <c r="N255" t="s">
        <v>421</v>
      </c>
    </row>
    <row r="256" spans="1:14" x14ac:dyDescent="0.3">
      <c r="A256" t="s">
        <v>1701</v>
      </c>
      <c r="B256" s="2">
        <v>46240</v>
      </c>
      <c r="C256" s="2">
        <v>46241</v>
      </c>
      <c r="D256" s="1" t="s">
        <v>436</v>
      </c>
      <c r="E256" t="s">
        <v>437</v>
      </c>
      <c r="F256" t="s">
        <v>438</v>
      </c>
      <c r="G256">
        <v>501</v>
      </c>
      <c r="H256">
        <v>414</v>
      </c>
      <c r="I256">
        <v>400</v>
      </c>
      <c r="J256">
        <v>14</v>
      </c>
      <c r="K256" s="46">
        <f t="shared" si="8"/>
        <v>82.634730538922156</v>
      </c>
      <c r="L256" s="8">
        <f t="shared" si="9"/>
        <v>3.5000000000000004</v>
      </c>
      <c r="M256" t="s">
        <v>20</v>
      </c>
      <c r="N256" t="s">
        <v>421</v>
      </c>
    </row>
    <row r="257" spans="1:14" x14ac:dyDescent="0.3">
      <c r="A257" t="s">
        <v>1702</v>
      </c>
      <c r="B257" s="2">
        <v>46244</v>
      </c>
      <c r="C257" s="2">
        <v>46245</v>
      </c>
      <c r="D257" s="1" t="s">
        <v>436</v>
      </c>
      <c r="E257" t="s">
        <v>437</v>
      </c>
      <c r="F257" t="s">
        <v>438</v>
      </c>
      <c r="G257">
        <v>501</v>
      </c>
      <c r="H257">
        <v>512</v>
      </c>
      <c r="I257">
        <v>480</v>
      </c>
      <c r="J257">
        <v>32</v>
      </c>
      <c r="K257" s="46">
        <f t="shared" si="8"/>
        <v>102.19560878243512</v>
      </c>
      <c r="L257" s="8">
        <f t="shared" si="9"/>
        <v>6.666666666666667</v>
      </c>
      <c r="M257" t="s">
        <v>20</v>
      </c>
      <c r="N257" t="s">
        <v>421</v>
      </c>
    </row>
    <row r="258" spans="1:14" x14ac:dyDescent="0.3">
      <c r="A258" t="s">
        <v>1703</v>
      </c>
      <c r="B258" s="2">
        <v>46245</v>
      </c>
      <c r="C258" s="2">
        <v>46246</v>
      </c>
      <c r="D258" s="1" t="s">
        <v>436</v>
      </c>
      <c r="E258" t="s">
        <v>437</v>
      </c>
      <c r="F258" t="s">
        <v>438</v>
      </c>
      <c r="G258">
        <v>334</v>
      </c>
      <c r="H258">
        <v>316</v>
      </c>
      <c r="I258">
        <v>310</v>
      </c>
      <c r="J258">
        <v>6</v>
      </c>
      <c r="K258" s="46">
        <f t="shared" si="8"/>
        <v>94.610778443113773</v>
      </c>
      <c r="L258" s="8">
        <f t="shared" si="9"/>
        <v>1.935483870967742</v>
      </c>
      <c r="M258" t="s">
        <v>20</v>
      </c>
      <c r="N258" t="s">
        <v>421</v>
      </c>
    </row>
    <row r="259" spans="1:14" x14ac:dyDescent="0.3">
      <c r="A259" t="s">
        <v>1704</v>
      </c>
      <c r="B259" s="2">
        <v>46246</v>
      </c>
      <c r="C259" s="2">
        <v>46247</v>
      </c>
      <c r="D259" s="1" t="s">
        <v>436</v>
      </c>
      <c r="E259" t="s">
        <v>437</v>
      </c>
      <c r="F259" t="s">
        <v>438</v>
      </c>
      <c r="G259">
        <v>501</v>
      </c>
      <c r="H259">
        <v>512</v>
      </c>
      <c r="I259">
        <v>500</v>
      </c>
      <c r="J259">
        <v>12</v>
      </c>
      <c r="K259" s="46">
        <f t="shared" si="8"/>
        <v>102.19560878243512</v>
      </c>
      <c r="L259" s="8">
        <f t="shared" si="9"/>
        <v>2.4</v>
      </c>
      <c r="M259" t="s">
        <v>20</v>
      </c>
      <c r="N259" t="s">
        <v>421</v>
      </c>
    </row>
    <row r="260" spans="1:14" x14ac:dyDescent="0.3">
      <c r="A260" t="s">
        <v>1705</v>
      </c>
      <c r="B260" s="2">
        <v>46247</v>
      </c>
      <c r="C260" s="2">
        <v>46248</v>
      </c>
      <c r="D260" s="1" t="s">
        <v>436</v>
      </c>
      <c r="E260" t="s">
        <v>437</v>
      </c>
      <c r="F260" t="s">
        <v>438</v>
      </c>
      <c r="G260">
        <v>334</v>
      </c>
      <c r="H260">
        <v>323</v>
      </c>
      <c r="I260">
        <v>313</v>
      </c>
      <c r="J260">
        <v>10</v>
      </c>
      <c r="K260" s="46">
        <f t="shared" si="8"/>
        <v>96.706586826347305</v>
      </c>
      <c r="L260" s="8">
        <f t="shared" si="9"/>
        <v>3.1948881789137378</v>
      </c>
      <c r="M260" t="s">
        <v>20</v>
      </c>
      <c r="N260" t="s">
        <v>421</v>
      </c>
    </row>
    <row r="261" spans="1:14" x14ac:dyDescent="0.3">
      <c r="A261" t="s">
        <v>1706</v>
      </c>
      <c r="B261" s="2">
        <v>46247</v>
      </c>
      <c r="C261" s="2">
        <v>46248</v>
      </c>
      <c r="D261" s="1" t="s">
        <v>436</v>
      </c>
      <c r="E261" t="s">
        <v>437</v>
      </c>
      <c r="F261" t="s">
        <v>438</v>
      </c>
      <c r="G261">
        <v>167</v>
      </c>
      <c r="H261">
        <v>167</v>
      </c>
      <c r="I261">
        <v>167</v>
      </c>
      <c r="J261">
        <v>0</v>
      </c>
      <c r="K261" s="46">
        <f t="shared" si="8"/>
        <v>100</v>
      </c>
      <c r="L261" s="8">
        <f t="shared" si="9"/>
        <v>0</v>
      </c>
      <c r="M261" t="s">
        <v>20</v>
      </c>
      <c r="N261" t="s">
        <v>421</v>
      </c>
    </row>
    <row r="262" spans="1:14" x14ac:dyDescent="0.3">
      <c r="A262" t="s">
        <v>1707</v>
      </c>
      <c r="B262" s="2">
        <v>46252</v>
      </c>
      <c r="C262" s="2">
        <v>46254</v>
      </c>
      <c r="D262" s="1" t="s">
        <v>436</v>
      </c>
      <c r="E262" t="s">
        <v>437</v>
      </c>
      <c r="F262" t="s">
        <v>438</v>
      </c>
      <c r="G262">
        <v>501</v>
      </c>
      <c r="H262">
        <v>533</v>
      </c>
      <c r="I262">
        <v>525</v>
      </c>
      <c r="J262">
        <v>8</v>
      </c>
      <c r="K262" s="46">
        <f t="shared" si="8"/>
        <v>106.38722554890219</v>
      </c>
      <c r="L262" s="8">
        <f t="shared" si="9"/>
        <v>1.5238095238095237</v>
      </c>
      <c r="M262" t="s">
        <v>20</v>
      </c>
      <c r="N262" t="s">
        <v>421</v>
      </c>
    </row>
    <row r="263" spans="1:14" x14ac:dyDescent="0.3">
      <c r="A263" t="s">
        <v>1326</v>
      </c>
      <c r="B263" s="2">
        <v>46238</v>
      </c>
      <c r="C263" s="2">
        <v>46240</v>
      </c>
      <c r="D263" s="1" t="s">
        <v>451</v>
      </c>
      <c r="E263" t="s">
        <v>452</v>
      </c>
      <c r="F263" t="s">
        <v>425</v>
      </c>
      <c r="G263">
        <v>2304</v>
      </c>
      <c r="H263">
        <v>1611</v>
      </c>
      <c r="I263">
        <v>1470</v>
      </c>
      <c r="J263">
        <v>141</v>
      </c>
      <c r="K263" s="46">
        <f t="shared" si="8"/>
        <v>69.921875</v>
      </c>
      <c r="L263" s="8">
        <f t="shared" si="9"/>
        <v>9.591836734693878</v>
      </c>
      <c r="M263" t="s">
        <v>20</v>
      </c>
      <c r="N263" t="s">
        <v>421</v>
      </c>
    </row>
    <row r="264" spans="1:14" x14ac:dyDescent="0.3">
      <c r="A264" t="s">
        <v>1708</v>
      </c>
      <c r="B264" s="2">
        <v>46244</v>
      </c>
      <c r="C264" s="2">
        <v>46245</v>
      </c>
      <c r="D264" s="1" t="s">
        <v>451</v>
      </c>
      <c r="E264" t="s">
        <v>452</v>
      </c>
      <c r="F264" t="s">
        <v>425</v>
      </c>
      <c r="G264">
        <v>2304</v>
      </c>
      <c r="H264">
        <v>2000</v>
      </c>
      <c r="I264">
        <v>1930</v>
      </c>
      <c r="J264">
        <v>70</v>
      </c>
      <c r="K264" s="46">
        <f t="shared" si="8"/>
        <v>86.805555555555557</v>
      </c>
      <c r="L264" s="8">
        <f t="shared" si="9"/>
        <v>3.6269430051813467</v>
      </c>
      <c r="M264" t="s">
        <v>20</v>
      </c>
      <c r="N264" t="s">
        <v>421</v>
      </c>
    </row>
    <row r="265" spans="1:14" x14ac:dyDescent="0.3">
      <c r="A265" t="s">
        <v>1709</v>
      </c>
      <c r="B265" s="2">
        <v>46246</v>
      </c>
      <c r="C265" s="2">
        <v>46248</v>
      </c>
      <c r="D265" s="1" t="s">
        <v>451</v>
      </c>
      <c r="E265" t="s">
        <v>452</v>
      </c>
      <c r="F265" t="s">
        <v>425</v>
      </c>
      <c r="G265">
        <v>2304</v>
      </c>
      <c r="H265">
        <v>1998</v>
      </c>
      <c r="I265">
        <v>1820</v>
      </c>
      <c r="J265">
        <v>178</v>
      </c>
      <c r="K265" s="46">
        <f t="shared" si="8"/>
        <v>86.71875</v>
      </c>
      <c r="L265" s="8">
        <f t="shared" si="9"/>
        <v>9.780219780219781</v>
      </c>
      <c r="M265" t="s">
        <v>20</v>
      </c>
      <c r="N265" t="s">
        <v>421</v>
      </c>
    </row>
    <row r="266" spans="1:14" x14ac:dyDescent="0.3">
      <c r="A266" t="s">
        <v>1329</v>
      </c>
      <c r="B266" s="2">
        <v>46239</v>
      </c>
      <c r="C266" s="2">
        <v>46240</v>
      </c>
      <c r="D266" s="1" t="s">
        <v>460</v>
      </c>
      <c r="E266" t="s">
        <v>461</v>
      </c>
      <c r="F266" t="s">
        <v>425</v>
      </c>
      <c r="G266">
        <v>825</v>
      </c>
      <c r="H266">
        <v>588</v>
      </c>
      <c r="I266">
        <v>320</v>
      </c>
      <c r="J266">
        <v>268</v>
      </c>
      <c r="K266" s="46">
        <f t="shared" si="8"/>
        <v>71.27272727272728</v>
      </c>
      <c r="L266" s="8">
        <f t="shared" si="9"/>
        <v>83.75</v>
      </c>
      <c r="M266" t="s">
        <v>20</v>
      </c>
      <c r="N266" t="s">
        <v>421</v>
      </c>
    </row>
    <row r="267" spans="1:14" x14ac:dyDescent="0.3">
      <c r="A267" t="s">
        <v>1710</v>
      </c>
      <c r="B267" s="2">
        <v>46244</v>
      </c>
      <c r="C267" s="2">
        <v>46245</v>
      </c>
      <c r="D267" s="1" t="s">
        <v>460</v>
      </c>
      <c r="E267" t="s">
        <v>461</v>
      </c>
      <c r="F267" t="s">
        <v>425</v>
      </c>
      <c r="G267">
        <v>825</v>
      </c>
      <c r="H267">
        <v>509</v>
      </c>
      <c r="I267">
        <v>400</v>
      </c>
      <c r="J267">
        <v>109</v>
      </c>
      <c r="K267" s="46">
        <f t="shared" si="8"/>
        <v>61.696969696969695</v>
      </c>
      <c r="L267" s="8">
        <f t="shared" si="9"/>
        <v>27.250000000000004</v>
      </c>
      <c r="M267" t="s">
        <v>20</v>
      </c>
      <c r="N267" t="s">
        <v>421</v>
      </c>
    </row>
    <row r="268" spans="1:14" x14ac:dyDescent="0.3">
      <c r="A268" t="s">
        <v>1711</v>
      </c>
      <c r="B268" s="2">
        <v>46247</v>
      </c>
      <c r="C268" s="2">
        <v>46247</v>
      </c>
      <c r="D268" s="1" t="s">
        <v>460</v>
      </c>
      <c r="E268" t="s">
        <v>461</v>
      </c>
      <c r="F268" t="s">
        <v>425</v>
      </c>
      <c r="G268">
        <v>825</v>
      </c>
      <c r="H268">
        <v>790</v>
      </c>
      <c r="I268">
        <v>520</v>
      </c>
      <c r="J268">
        <v>270</v>
      </c>
      <c r="K268" s="46">
        <f t="shared" si="8"/>
        <v>95.757575757575751</v>
      </c>
      <c r="L268" s="8">
        <f t="shared" si="9"/>
        <v>51.923076923076927</v>
      </c>
      <c r="M268" t="s">
        <v>20</v>
      </c>
      <c r="N268" t="s">
        <v>421</v>
      </c>
    </row>
    <row r="269" spans="1:14" x14ac:dyDescent="0.3">
      <c r="A269" t="s">
        <v>1712</v>
      </c>
      <c r="B269" s="2">
        <v>46251</v>
      </c>
      <c r="C269" s="2">
        <v>46253</v>
      </c>
      <c r="D269" s="1" t="s">
        <v>460</v>
      </c>
      <c r="E269" t="s">
        <v>461</v>
      </c>
      <c r="F269" t="s">
        <v>425</v>
      </c>
      <c r="G269">
        <v>825</v>
      </c>
      <c r="H269">
        <v>555</v>
      </c>
      <c r="I269">
        <v>530</v>
      </c>
      <c r="J269">
        <v>25</v>
      </c>
      <c r="K269" s="46">
        <f t="shared" si="8"/>
        <v>67.272727272727266</v>
      </c>
      <c r="L269" s="8">
        <f t="shared" si="9"/>
        <v>4.716981132075472</v>
      </c>
      <c r="M269" t="s">
        <v>20</v>
      </c>
      <c r="N269" t="s">
        <v>421</v>
      </c>
    </row>
    <row r="270" spans="1:14" x14ac:dyDescent="0.3">
      <c r="A270" t="s">
        <v>1713</v>
      </c>
      <c r="B270" s="2">
        <v>46252</v>
      </c>
      <c r="C270" s="2">
        <v>46254</v>
      </c>
      <c r="D270" s="1" t="s">
        <v>460</v>
      </c>
      <c r="E270" t="s">
        <v>461</v>
      </c>
      <c r="F270" t="s">
        <v>425</v>
      </c>
      <c r="G270">
        <v>825</v>
      </c>
      <c r="H270">
        <v>538</v>
      </c>
      <c r="I270">
        <v>460</v>
      </c>
      <c r="J270">
        <v>78</v>
      </c>
      <c r="K270" s="46">
        <f t="shared" si="8"/>
        <v>65.212121212121204</v>
      </c>
      <c r="L270" s="8">
        <f t="shared" si="9"/>
        <v>16.956521739130434</v>
      </c>
      <c r="M270" t="s">
        <v>20</v>
      </c>
      <c r="N270" t="s">
        <v>421</v>
      </c>
    </row>
    <row r="271" spans="1:14" x14ac:dyDescent="0.3">
      <c r="A271" t="s">
        <v>1331</v>
      </c>
      <c r="B271" s="2">
        <v>46239</v>
      </c>
      <c r="C271" s="2">
        <v>46240</v>
      </c>
      <c r="D271" s="1" t="s">
        <v>472</v>
      </c>
      <c r="E271" t="s">
        <v>473</v>
      </c>
      <c r="F271" t="s">
        <v>438</v>
      </c>
      <c r="G271">
        <v>234</v>
      </c>
      <c r="H271">
        <v>261</v>
      </c>
      <c r="I271">
        <v>216</v>
      </c>
      <c r="J271">
        <v>45</v>
      </c>
      <c r="K271" s="46">
        <f t="shared" si="8"/>
        <v>111.53846153846155</v>
      </c>
      <c r="L271" s="8">
        <f t="shared" si="9"/>
        <v>20.833333333333336</v>
      </c>
      <c r="M271" t="s">
        <v>20</v>
      </c>
      <c r="N271" t="s">
        <v>421</v>
      </c>
    </row>
    <row r="272" spans="1:14" x14ac:dyDescent="0.3">
      <c r="A272" t="s">
        <v>1714</v>
      </c>
      <c r="B272" s="2">
        <v>46240</v>
      </c>
      <c r="C272" s="2">
        <v>46241</v>
      </c>
      <c r="D272" s="1" t="s">
        <v>472</v>
      </c>
      <c r="E272" t="s">
        <v>473</v>
      </c>
      <c r="F272" t="s">
        <v>438</v>
      </c>
      <c r="G272">
        <v>468</v>
      </c>
      <c r="H272">
        <v>526</v>
      </c>
      <c r="I272">
        <v>472</v>
      </c>
      <c r="J272">
        <v>54</v>
      </c>
      <c r="K272" s="46">
        <f t="shared" si="8"/>
        <v>112.3931623931624</v>
      </c>
      <c r="L272" s="8">
        <f t="shared" si="9"/>
        <v>11.440677966101696</v>
      </c>
      <c r="M272" t="s">
        <v>20</v>
      </c>
      <c r="N272" t="s">
        <v>421</v>
      </c>
    </row>
    <row r="273" spans="1:14" x14ac:dyDescent="0.3">
      <c r="A273" t="s">
        <v>1715</v>
      </c>
      <c r="B273" s="2">
        <v>46245</v>
      </c>
      <c r="C273" s="2">
        <v>46246</v>
      </c>
      <c r="D273" s="1" t="s">
        <v>472</v>
      </c>
      <c r="E273" t="s">
        <v>473</v>
      </c>
      <c r="F273" t="s">
        <v>438</v>
      </c>
      <c r="G273">
        <v>234</v>
      </c>
      <c r="H273">
        <v>242</v>
      </c>
      <c r="I273">
        <v>236</v>
      </c>
      <c r="J273">
        <v>6</v>
      </c>
      <c r="K273" s="46">
        <f t="shared" si="8"/>
        <v>103.41880341880344</v>
      </c>
      <c r="L273" s="8">
        <f t="shared" si="9"/>
        <v>2.5423728813559325</v>
      </c>
      <c r="M273" t="s">
        <v>20</v>
      </c>
      <c r="N273" t="s">
        <v>421</v>
      </c>
    </row>
    <row r="274" spans="1:14" x14ac:dyDescent="0.3">
      <c r="A274" t="s">
        <v>1716</v>
      </c>
      <c r="B274" s="2">
        <v>46244</v>
      </c>
      <c r="C274" s="2">
        <v>46244</v>
      </c>
      <c r="D274" s="1" t="s">
        <v>472</v>
      </c>
      <c r="E274" t="s">
        <v>473</v>
      </c>
      <c r="F274" t="s">
        <v>438</v>
      </c>
      <c r="G274">
        <v>234</v>
      </c>
      <c r="H274">
        <v>259</v>
      </c>
      <c r="I274">
        <v>248</v>
      </c>
      <c r="J274">
        <v>11</v>
      </c>
      <c r="K274" s="46">
        <f t="shared" si="8"/>
        <v>110.6837606837607</v>
      </c>
      <c r="L274" s="8">
        <f t="shared" si="9"/>
        <v>4.435483870967742</v>
      </c>
      <c r="M274" t="s">
        <v>20</v>
      </c>
      <c r="N274" t="s">
        <v>421</v>
      </c>
    </row>
    <row r="275" spans="1:14" x14ac:dyDescent="0.3">
      <c r="A275" t="s">
        <v>1717</v>
      </c>
      <c r="B275" s="2">
        <v>46244</v>
      </c>
      <c r="C275" s="2">
        <v>46244</v>
      </c>
      <c r="D275" s="1" t="s">
        <v>472</v>
      </c>
      <c r="E275" t="s">
        <v>473</v>
      </c>
      <c r="F275" t="s">
        <v>438</v>
      </c>
      <c r="G275">
        <v>234</v>
      </c>
      <c r="H275">
        <v>262</v>
      </c>
      <c r="I275">
        <v>252</v>
      </c>
      <c r="J275">
        <v>10</v>
      </c>
      <c r="K275" s="46">
        <f t="shared" si="8"/>
        <v>111.96581196581197</v>
      </c>
      <c r="L275" s="8">
        <f t="shared" si="9"/>
        <v>3.9682539682539679</v>
      </c>
      <c r="M275" t="s">
        <v>20</v>
      </c>
      <c r="N275" t="s">
        <v>421</v>
      </c>
    </row>
    <row r="276" spans="1:14" x14ac:dyDescent="0.3">
      <c r="A276" t="s">
        <v>1718</v>
      </c>
      <c r="B276" s="2">
        <v>46246</v>
      </c>
      <c r="C276" s="2">
        <v>46247</v>
      </c>
      <c r="D276" s="1" t="s">
        <v>472</v>
      </c>
      <c r="E276" t="s">
        <v>473</v>
      </c>
      <c r="F276" t="s">
        <v>438</v>
      </c>
      <c r="G276">
        <v>468</v>
      </c>
      <c r="H276">
        <v>533</v>
      </c>
      <c r="I276">
        <v>508</v>
      </c>
      <c r="J276">
        <v>25</v>
      </c>
      <c r="K276" s="46">
        <f t="shared" si="8"/>
        <v>113.88888888888889</v>
      </c>
      <c r="L276" s="8">
        <f t="shared" si="9"/>
        <v>4.9212598425196852</v>
      </c>
      <c r="M276" t="s">
        <v>20</v>
      </c>
      <c r="N276" t="s">
        <v>421</v>
      </c>
    </row>
    <row r="277" spans="1:14" x14ac:dyDescent="0.3">
      <c r="A277" t="s">
        <v>1719</v>
      </c>
      <c r="B277" s="2">
        <v>46247</v>
      </c>
      <c r="C277" s="2">
        <v>46248</v>
      </c>
      <c r="D277" s="1" t="s">
        <v>472</v>
      </c>
      <c r="E277" t="s">
        <v>473</v>
      </c>
      <c r="F277" t="s">
        <v>438</v>
      </c>
      <c r="G277">
        <v>234</v>
      </c>
      <c r="H277">
        <v>541</v>
      </c>
      <c r="I277">
        <v>504</v>
      </c>
      <c r="J277">
        <v>37</v>
      </c>
      <c r="K277" s="46">
        <f t="shared" si="8"/>
        <v>231.19658119658118</v>
      </c>
      <c r="L277" s="8">
        <f t="shared" si="9"/>
        <v>7.3412698412698418</v>
      </c>
      <c r="M277" t="s">
        <v>20</v>
      </c>
      <c r="N277" t="s">
        <v>421</v>
      </c>
    </row>
    <row r="278" spans="1:14" x14ac:dyDescent="0.3">
      <c r="A278" t="s">
        <v>1720</v>
      </c>
      <c r="B278" s="2">
        <v>46248</v>
      </c>
      <c r="C278" s="2">
        <v>46251</v>
      </c>
      <c r="D278" s="1" t="s">
        <v>472</v>
      </c>
      <c r="E278" t="s">
        <v>473</v>
      </c>
      <c r="F278" t="s">
        <v>438</v>
      </c>
      <c r="G278">
        <v>234</v>
      </c>
      <c r="H278">
        <v>266</v>
      </c>
      <c r="I278">
        <v>260</v>
      </c>
      <c r="J278">
        <v>6</v>
      </c>
      <c r="K278" s="46">
        <f t="shared" si="8"/>
        <v>113.67521367521367</v>
      </c>
      <c r="L278" s="8">
        <f t="shared" si="9"/>
        <v>2.3076923076923079</v>
      </c>
      <c r="M278" t="s">
        <v>20</v>
      </c>
      <c r="N278" t="s">
        <v>421</v>
      </c>
    </row>
    <row r="279" spans="1:14" x14ac:dyDescent="0.3">
      <c r="A279" t="s">
        <v>1721</v>
      </c>
      <c r="B279" s="2">
        <v>46252</v>
      </c>
      <c r="C279" s="2">
        <v>46254</v>
      </c>
      <c r="D279" s="1" t="s">
        <v>472</v>
      </c>
      <c r="E279" t="s">
        <v>473</v>
      </c>
      <c r="F279" t="s">
        <v>438</v>
      </c>
      <c r="G279">
        <v>468</v>
      </c>
      <c r="H279">
        <v>276</v>
      </c>
      <c r="I279">
        <v>276</v>
      </c>
      <c r="J279">
        <v>0</v>
      </c>
      <c r="K279" s="46">
        <f t="shared" si="8"/>
        <v>58.974358974358978</v>
      </c>
      <c r="L279" s="8">
        <f t="shared" si="9"/>
        <v>0</v>
      </c>
      <c r="M279" t="s">
        <v>20</v>
      </c>
      <c r="N279" t="s">
        <v>421</v>
      </c>
    </row>
    <row r="280" spans="1:14" x14ac:dyDescent="0.3">
      <c r="A280" t="s">
        <v>1333</v>
      </c>
      <c r="B280" s="2">
        <v>46239</v>
      </c>
      <c r="C280" s="2">
        <v>46240</v>
      </c>
      <c r="D280" s="1" t="s">
        <v>483</v>
      </c>
      <c r="E280" t="s">
        <v>484</v>
      </c>
      <c r="F280" t="s">
        <v>425</v>
      </c>
      <c r="G280">
        <v>1152</v>
      </c>
      <c r="H280">
        <v>760</v>
      </c>
      <c r="I280">
        <v>710</v>
      </c>
      <c r="J280">
        <v>50</v>
      </c>
      <c r="K280" s="46">
        <f t="shared" si="8"/>
        <v>65.972222222222214</v>
      </c>
      <c r="L280" s="8">
        <f t="shared" si="9"/>
        <v>7.042253521126761</v>
      </c>
      <c r="M280" t="s">
        <v>20</v>
      </c>
      <c r="N280" t="s">
        <v>421</v>
      </c>
    </row>
    <row r="281" spans="1:14" x14ac:dyDescent="0.3">
      <c r="A281" t="s">
        <v>1722</v>
      </c>
      <c r="B281" s="2">
        <v>46244</v>
      </c>
      <c r="C281" s="2">
        <v>46245</v>
      </c>
      <c r="D281" s="1" t="s">
        <v>483</v>
      </c>
      <c r="E281" t="s">
        <v>484</v>
      </c>
      <c r="F281" t="s">
        <v>425</v>
      </c>
      <c r="G281">
        <v>1152</v>
      </c>
      <c r="H281">
        <v>1141</v>
      </c>
      <c r="I281">
        <v>1110</v>
      </c>
      <c r="J281">
        <v>31</v>
      </c>
      <c r="K281" s="46">
        <f t="shared" si="8"/>
        <v>99.045138888888886</v>
      </c>
      <c r="L281" s="8">
        <f t="shared" si="9"/>
        <v>2.7927927927927927</v>
      </c>
      <c r="M281" t="s">
        <v>20</v>
      </c>
      <c r="N281" t="s">
        <v>421</v>
      </c>
    </row>
    <row r="282" spans="1:14" x14ac:dyDescent="0.3">
      <c r="A282" t="s">
        <v>1723</v>
      </c>
      <c r="B282" s="2">
        <v>46245</v>
      </c>
      <c r="C282" s="2">
        <v>46246</v>
      </c>
      <c r="D282" s="1" t="s">
        <v>483</v>
      </c>
      <c r="E282" t="s">
        <v>484</v>
      </c>
      <c r="F282" t="s">
        <v>425</v>
      </c>
      <c r="G282">
        <v>1152</v>
      </c>
      <c r="H282">
        <v>912</v>
      </c>
      <c r="I282">
        <v>810</v>
      </c>
      <c r="J282">
        <v>102</v>
      </c>
      <c r="K282" s="46">
        <f t="shared" si="8"/>
        <v>79.166666666666657</v>
      </c>
      <c r="L282" s="8">
        <f t="shared" si="9"/>
        <v>12.592592592592592</v>
      </c>
      <c r="M282" t="s">
        <v>20</v>
      </c>
      <c r="N282" t="s">
        <v>421</v>
      </c>
    </row>
    <row r="283" spans="1:14" x14ac:dyDescent="0.3">
      <c r="A283" t="s">
        <v>1724</v>
      </c>
      <c r="B283" s="2">
        <v>46247</v>
      </c>
      <c r="C283" s="2">
        <v>46251</v>
      </c>
      <c r="D283" s="1" t="s">
        <v>1725</v>
      </c>
      <c r="E283" t="s">
        <v>1726</v>
      </c>
      <c r="F283" t="s">
        <v>438</v>
      </c>
      <c r="G283">
        <v>15</v>
      </c>
      <c r="H283">
        <v>15</v>
      </c>
      <c r="I283">
        <v>15</v>
      </c>
      <c r="J283">
        <v>0</v>
      </c>
      <c r="K283" s="46">
        <f t="shared" si="8"/>
        <v>100</v>
      </c>
      <c r="L283" s="8">
        <f t="shared" si="9"/>
        <v>0</v>
      </c>
      <c r="M283" t="s">
        <v>20</v>
      </c>
      <c r="N283" t="s">
        <v>421</v>
      </c>
    </row>
    <row r="284" spans="1:14" x14ac:dyDescent="0.3">
      <c r="A284" t="s">
        <v>1336</v>
      </c>
      <c r="B284" s="2">
        <v>46239</v>
      </c>
      <c r="C284" s="2">
        <v>46240</v>
      </c>
      <c r="D284" s="1" t="s">
        <v>497</v>
      </c>
      <c r="E284" t="s">
        <v>498</v>
      </c>
      <c r="F284" t="s">
        <v>438</v>
      </c>
      <c r="G284">
        <v>1052</v>
      </c>
      <c r="H284">
        <v>1097</v>
      </c>
      <c r="I284">
        <v>1010</v>
      </c>
      <c r="J284">
        <v>87</v>
      </c>
      <c r="K284" s="46">
        <f t="shared" si="8"/>
        <v>104.27756653992395</v>
      </c>
      <c r="L284" s="8">
        <f t="shared" si="9"/>
        <v>8.6138613861386126</v>
      </c>
      <c r="M284" t="s">
        <v>20</v>
      </c>
      <c r="N284" t="s">
        <v>421</v>
      </c>
    </row>
    <row r="285" spans="1:14" x14ac:dyDescent="0.3">
      <c r="A285" t="s">
        <v>1727</v>
      </c>
      <c r="B285" s="2">
        <v>46244</v>
      </c>
      <c r="C285" s="2">
        <v>46251</v>
      </c>
      <c r="D285" s="1" t="s">
        <v>497</v>
      </c>
      <c r="E285" t="s">
        <v>498</v>
      </c>
      <c r="F285" t="s">
        <v>438</v>
      </c>
      <c r="G285">
        <v>1052</v>
      </c>
      <c r="H285">
        <v>1052</v>
      </c>
      <c r="I285">
        <v>1052</v>
      </c>
      <c r="J285">
        <v>0</v>
      </c>
      <c r="K285" s="46">
        <f t="shared" si="8"/>
        <v>100</v>
      </c>
      <c r="L285" s="8">
        <f t="shared" si="9"/>
        <v>0</v>
      </c>
      <c r="M285" t="s">
        <v>20</v>
      </c>
      <c r="N285" t="s">
        <v>421</v>
      </c>
    </row>
    <row r="286" spans="1:14" x14ac:dyDescent="0.3">
      <c r="A286" t="s">
        <v>1728</v>
      </c>
      <c r="B286" s="2">
        <v>46245</v>
      </c>
      <c r="C286" s="2">
        <v>46251</v>
      </c>
      <c r="D286" s="1" t="s">
        <v>497</v>
      </c>
      <c r="E286" t="s">
        <v>498</v>
      </c>
      <c r="F286" t="s">
        <v>438</v>
      </c>
      <c r="G286">
        <v>1052</v>
      </c>
      <c r="H286">
        <v>996</v>
      </c>
      <c r="I286">
        <v>958</v>
      </c>
      <c r="J286">
        <v>38</v>
      </c>
      <c r="K286" s="46">
        <f t="shared" si="8"/>
        <v>94.676806083650192</v>
      </c>
      <c r="L286" s="8">
        <f t="shared" si="9"/>
        <v>3.9665970772442591</v>
      </c>
      <c r="M286" t="s">
        <v>20</v>
      </c>
      <c r="N286" t="s">
        <v>421</v>
      </c>
    </row>
    <row r="287" spans="1:14" x14ac:dyDescent="0.3">
      <c r="A287" t="s">
        <v>1729</v>
      </c>
      <c r="B287" s="2">
        <v>46252</v>
      </c>
      <c r="C287" s="2">
        <v>46254</v>
      </c>
      <c r="D287" s="1" t="s">
        <v>497</v>
      </c>
      <c r="E287" t="s">
        <v>498</v>
      </c>
      <c r="F287" t="s">
        <v>438</v>
      </c>
      <c r="G287">
        <v>1052</v>
      </c>
      <c r="H287">
        <v>1076</v>
      </c>
      <c r="I287">
        <v>1050</v>
      </c>
      <c r="J287">
        <v>26</v>
      </c>
      <c r="K287" s="46">
        <f t="shared" si="8"/>
        <v>102.28136882129277</v>
      </c>
      <c r="L287" s="8">
        <f t="shared" si="9"/>
        <v>2.4761904761904763</v>
      </c>
      <c r="M287" t="s">
        <v>20</v>
      </c>
      <c r="N287" t="s">
        <v>421</v>
      </c>
    </row>
    <row r="288" spans="1:14" x14ac:dyDescent="0.3">
      <c r="A288" t="s">
        <v>1337</v>
      </c>
      <c r="B288" s="2">
        <v>46239</v>
      </c>
      <c r="C288" s="2">
        <v>46240</v>
      </c>
      <c r="D288" s="1" t="s">
        <v>506</v>
      </c>
      <c r="E288" t="s">
        <v>507</v>
      </c>
      <c r="F288" t="s">
        <v>425</v>
      </c>
      <c r="G288">
        <v>115</v>
      </c>
      <c r="H288">
        <v>113</v>
      </c>
      <c r="I288">
        <v>113</v>
      </c>
      <c r="J288">
        <v>0</v>
      </c>
      <c r="K288" s="46">
        <f t="shared" si="8"/>
        <v>98.260869565217391</v>
      </c>
      <c r="L288" s="8">
        <f t="shared" si="9"/>
        <v>0</v>
      </c>
      <c r="M288" t="s">
        <v>20</v>
      </c>
      <c r="N288" t="s">
        <v>421</v>
      </c>
    </row>
    <row r="289" spans="1:14" x14ac:dyDescent="0.3">
      <c r="A289" t="s">
        <v>1730</v>
      </c>
      <c r="B289" s="2">
        <v>46244</v>
      </c>
      <c r="C289" s="2">
        <v>46245</v>
      </c>
      <c r="D289" s="1" t="s">
        <v>506</v>
      </c>
      <c r="E289" t="s">
        <v>507</v>
      </c>
      <c r="F289" t="s">
        <v>425</v>
      </c>
      <c r="G289">
        <v>115</v>
      </c>
      <c r="H289">
        <v>112</v>
      </c>
      <c r="I289">
        <v>106</v>
      </c>
      <c r="J289">
        <v>6</v>
      </c>
      <c r="K289" s="46">
        <f t="shared" si="8"/>
        <v>97.391304347826093</v>
      </c>
      <c r="L289" s="8">
        <f t="shared" si="9"/>
        <v>5.6603773584905666</v>
      </c>
      <c r="M289" t="s">
        <v>20</v>
      </c>
      <c r="N289" t="s">
        <v>421</v>
      </c>
    </row>
    <row r="290" spans="1:14" x14ac:dyDescent="0.3">
      <c r="A290" t="s">
        <v>1731</v>
      </c>
      <c r="B290" s="2">
        <v>46240</v>
      </c>
      <c r="C290" s="2">
        <v>46241</v>
      </c>
      <c r="D290" s="1" t="s">
        <v>518</v>
      </c>
      <c r="E290" t="s">
        <v>519</v>
      </c>
      <c r="F290" t="s">
        <v>438</v>
      </c>
      <c r="G290">
        <v>194</v>
      </c>
      <c r="H290">
        <v>194</v>
      </c>
      <c r="I290">
        <v>194</v>
      </c>
      <c r="J290">
        <v>0</v>
      </c>
      <c r="K290" s="46">
        <f t="shared" si="8"/>
        <v>100</v>
      </c>
      <c r="L290" s="8">
        <f t="shared" si="9"/>
        <v>0</v>
      </c>
      <c r="M290" t="s">
        <v>20</v>
      </c>
      <c r="N290" t="s">
        <v>421</v>
      </c>
    </row>
    <row r="291" spans="1:14" x14ac:dyDescent="0.3">
      <c r="A291" t="s">
        <v>1732</v>
      </c>
      <c r="B291" s="2">
        <v>46244</v>
      </c>
      <c r="C291" s="2">
        <v>46245</v>
      </c>
      <c r="D291" s="1" t="s">
        <v>518</v>
      </c>
      <c r="E291" t="s">
        <v>519</v>
      </c>
      <c r="F291" t="s">
        <v>438</v>
      </c>
      <c r="G291">
        <v>97</v>
      </c>
      <c r="H291">
        <v>101</v>
      </c>
      <c r="I291">
        <v>101</v>
      </c>
      <c r="J291">
        <v>0</v>
      </c>
      <c r="K291" s="46">
        <f t="shared" si="8"/>
        <v>104.1237113402062</v>
      </c>
      <c r="L291" s="8">
        <f t="shared" si="9"/>
        <v>0</v>
      </c>
      <c r="M291" t="s">
        <v>20</v>
      </c>
      <c r="N291" t="s">
        <v>421</v>
      </c>
    </row>
    <row r="292" spans="1:14" x14ac:dyDescent="0.3">
      <c r="A292" t="s">
        <v>1733</v>
      </c>
      <c r="B292" s="2">
        <v>46245</v>
      </c>
      <c r="C292" s="2">
        <v>46246</v>
      </c>
      <c r="D292" s="1" t="s">
        <v>518</v>
      </c>
      <c r="E292" t="s">
        <v>519</v>
      </c>
      <c r="F292" t="s">
        <v>438</v>
      </c>
      <c r="G292">
        <v>194</v>
      </c>
      <c r="H292">
        <v>198</v>
      </c>
      <c r="I292">
        <v>198</v>
      </c>
      <c r="J292">
        <v>0</v>
      </c>
      <c r="K292" s="46">
        <f t="shared" si="8"/>
        <v>102.06185567010309</v>
      </c>
      <c r="L292" s="8">
        <f t="shared" si="9"/>
        <v>0</v>
      </c>
      <c r="M292" t="s">
        <v>20</v>
      </c>
      <c r="N292" t="s">
        <v>421</v>
      </c>
    </row>
    <row r="293" spans="1:14" x14ac:dyDescent="0.3">
      <c r="A293" t="s">
        <v>1734</v>
      </c>
      <c r="B293" s="2">
        <v>46246</v>
      </c>
      <c r="C293" s="2">
        <v>46247</v>
      </c>
      <c r="D293" s="1" t="s">
        <v>518</v>
      </c>
      <c r="E293" t="s">
        <v>519</v>
      </c>
      <c r="F293" t="s">
        <v>438</v>
      </c>
      <c r="G293">
        <v>194</v>
      </c>
      <c r="H293">
        <v>195</v>
      </c>
      <c r="I293">
        <v>195</v>
      </c>
      <c r="J293">
        <v>0</v>
      </c>
      <c r="K293" s="46">
        <f t="shared" si="8"/>
        <v>100.51546391752578</v>
      </c>
      <c r="L293" s="8">
        <f t="shared" si="9"/>
        <v>0</v>
      </c>
      <c r="M293" t="s">
        <v>20</v>
      </c>
      <c r="N293" t="s">
        <v>421</v>
      </c>
    </row>
    <row r="294" spans="1:14" x14ac:dyDescent="0.3">
      <c r="A294" t="s">
        <v>1735</v>
      </c>
      <c r="B294" s="2">
        <v>46245</v>
      </c>
      <c r="C294" s="2">
        <v>46246</v>
      </c>
      <c r="D294" s="1" t="s">
        <v>524</v>
      </c>
      <c r="E294" t="s">
        <v>525</v>
      </c>
      <c r="F294" t="s">
        <v>438</v>
      </c>
      <c r="G294">
        <v>112</v>
      </c>
      <c r="H294">
        <v>102</v>
      </c>
      <c r="I294">
        <v>102</v>
      </c>
      <c r="J294">
        <v>0</v>
      </c>
      <c r="K294" s="46">
        <f t="shared" si="8"/>
        <v>91.071428571428569</v>
      </c>
      <c r="L294" s="8">
        <f t="shared" si="9"/>
        <v>0</v>
      </c>
      <c r="M294" t="s">
        <v>20</v>
      </c>
      <c r="N294" t="s">
        <v>421</v>
      </c>
    </row>
    <row r="295" spans="1:14" x14ac:dyDescent="0.3">
      <c r="A295" t="s">
        <v>1736</v>
      </c>
      <c r="B295" s="2">
        <v>46246</v>
      </c>
      <c r="C295" s="2">
        <v>46247</v>
      </c>
      <c r="D295" s="1" t="s">
        <v>524</v>
      </c>
      <c r="E295" t="s">
        <v>525</v>
      </c>
      <c r="F295" t="s">
        <v>438</v>
      </c>
      <c r="G295">
        <v>112</v>
      </c>
      <c r="H295">
        <v>120</v>
      </c>
      <c r="I295">
        <v>118</v>
      </c>
      <c r="J295">
        <v>2</v>
      </c>
      <c r="K295" s="46">
        <f t="shared" si="8"/>
        <v>107.14285714285714</v>
      </c>
      <c r="L295" s="8">
        <f t="shared" si="9"/>
        <v>1.6949152542372881</v>
      </c>
      <c r="M295" t="s">
        <v>20</v>
      </c>
      <c r="N295" t="s">
        <v>421</v>
      </c>
    </row>
    <row r="296" spans="1:14" x14ac:dyDescent="0.3">
      <c r="A296" t="s">
        <v>1737</v>
      </c>
      <c r="B296" s="2">
        <v>46244</v>
      </c>
      <c r="C296" s="2">
        <v>46244</v>
      </c>
      <c r="D296" s="1" t="s">
        <v>534</v>
      </c>
      <c r="E296" t="s">
        <v>535</v>
      </c>
      <c r="F296" t="s">
        <v>438</v>
      </c>
      <c r="G296">
        <v>97</v>
      </c>
      <c r="H296">
        <v>99</v>
      </c>
      <c r="I296">
        <v>99</v>
      </c>
      <c r="J296">
        <v>0</v>
      </c>
      <c r="K296" s="46">
        <f t="shared" si="8"/>
        <v>102.06185567010309</v>
      </c>
      <c r="L296" s="8">
        <f t="shared" si="9"/>
        <v>0</v>
      </c>
      <c r="M296" t="s">
        <v>20</v>
      </c>
      <c r="N296" t="s">
        <v>421</v>
      </c>
    </row>
    <row r="297" spans="1:14" x14ac:dyDescent="0.3">
      <c r="A297" t="s">
        <v>1738</v>
      </c>
      <c r="B297" s="2">
        <v>46245</v>
      </c>
      <c r="C297" s="2">
        <v>46246</v>
      </c>
      <c r="D297" s="1" t="s">
        <v>534</v>
      </c>
      <c r="E297" t="s">
        <v>535</v>
      </c>
      <c r="F297" t="s">
        <v>438</v>
      </c>
      <c r="G297">
        <v>194</v>
      </c>
      <c r="H297">
        <v>199</v>
      </c>
      <c r="I297">
        <v>199</v>
      </c>
      <c r="J297">
        <v>0</v>
      </c>
      <c r="K297" s="46">
        <f t="shared" si="8"/>
        <v>102.57731958762886</v>
      </c>
      <c r="L297" s="8">
        <f t="shared" si="9"/>
        <v>0</v>
      </c>
      <c r="M297" t="s">
        <v>20</v>
      </c>
      <c r="N297" t="s">
        <v>421</v>
      </c>
    </row>
    <row r="298" spans="1:14" x14ac:dyDescent="0.3">
      <c r="A298" t="s">
        <v>1739</v>
      </c>
      <c r="B298" s="2">
        <v>46246</v>
      </c>
      <c r="C298" s="2">
        <v>46247</v>
      </c>
      <c r="D298" s="1" t="s">
        <v>534</v>
      </c>
      <c r="E298" t="s">
        <v>535</v>
      </c>
      <c r="F298" t="s">
        <v>438</v>
      </c>
      <c r="G298">
        <v>97</v>
      </c>
      <c r="H298">
        <v>99</v>
      </c>
      <c r="I298">
        <v>99</v>
      </c>
      <c r="J298">
        <v>0</v>
      </c>
      <c r="K298" s="46">
        <f t="shared" si="8"/>
        <v>102.06185567010309</v>
      </c>
      <c r="L298" s="8">
        <f t="shared" si="9"/>
        <v>0</v>
      </c>
      <c r="M298" t="s">
        <v>20</v>
      </c>
      <c r="N298" t="s">
        <v>421</v>
      </c>
    </row>
    <row r="299" spans="1:14" x14ac:dyDescent="0.3">
      <c r="A299" t="s">
        <v>1740</v>
      </c>
      <c r="B299" s="2">
        <v>46247</v>
      </c>
      <c r="C299" s="2">
        <v>46248</v>
      </c>
      <c r="D299" s="1" t="s">
        <v>534</v>
      </c>
      <c r="E299" t="s">
        <v>535</v>
      </c>
      <c r="F299" t="s">
        <v>438</v>
      </c>
      <c r="G299">
        <v>97</v>
      </c>
      <c r="H299">
        <v>98</v>
      </c>
      <c r="I299">
        <v>98</v>
      </c>
      <c r="J299">
        <v>0</v>
      </c>
      <c r="K299" s="46">
        <f t="shared" si="8"/>
        <v>101.03092783505154</v>
      </c>
      <c r="L299" s="8">
        <f t="shared" si="9"/>
        <v>0</v>
      </c>
      <c r="M299" t="s">
        <v>20</v>
      </c>
      <c r="N299" t="s">
        <v>421</v>
      </c>
    </row>
    <row r="300" spans="1:14" x14ac:dyDescent="0.3">
      <c r="A300" t="s">
        <v>1741</v>
      </c>
      <c r="B300" s="2">
        <v>46247</v>
      </c>
      <c r="C300" s="2">
        <v>46248</v>
      </c>
      <c r="D300" s="1" t="s">
        <v>534</v>
      </c>
      <c r="E300" t="s">
        <v>535</v>
      </c>
      <c r="F300" t="s">
        <v>438</v>
      </c>
      <c r="G300">
        <v>97</v>
      </c>
      <c r="H300">
        <v>97</v>
      </c>
      <c r="I300">
        <v>97</v>
      </c>
      <c r="J300">
        <v>0</v>
      </c>
      <c r="K300" s="46">
        <f t="shared" si="8"/>
        <v>100</v>
      </c>
      <c r="L300" s="8">
        <f t="shared" si="9"/>
        <v>0</v>
      </c>
      <c r="M300" t="s">
        <v>20</v>
      </c>
      <c r="N300" t="s">
        <v>421</v>
      </c>
    </row>
    <row r="301" spans="1:14" x14ac:dyDescent="0.3">
      <c r="A301" t="s">
        <v>1742</v>
      </c>
      <c r="B301" s="2">
        <v>46244</v>
      </c>
      <c r="C301" s="2">
        <v>46246</v>
      </c>
      <c r="D301" s="1" t="s">
        <v>542</v>
      </c>
      <c r="E301" t="s">
        <v>543</v>
      </c>
      <c r="F301" t="s">
        <v>425</v>
      </c>
      <c r="G301">
        <v>170</v>
      </c>
      <c r="H301">
        <v>171</v>
      </c>
      <c r="I301">
        <v>171</v>
      </c>
      <c r="J301">
        <v>0</v>
      </c>
      <c r="K301" s="46">
        <f t="shared" si="8"/>
        <v>100.58823529411765</v>
      </c>
      <c r="L301" s="8">
        <f t="shared" si="9"/>
        <v>0</v>
      </c>
      <c r="M301" t="s">
        <v>20</v>
      </c>
      <c r="N301" t="s">
        <v>421</v>
      </c>
    </row>
    <row r="302" spans="1:14" x14ac:dyDescent="0.3">
      <c r="A302" t="s">
        <v>1743</v>
      </c>
      <c r="B302" s="2">
        <v>46245</v>
      </c>
      <c r="C302" s="2">
        <v>46247</v>
      </c>
      <c r="D302" s="1" t="s">
        <v>542</v>
      </c>
      <c r="E302" t="s">
        <v>543</v>
      </c>
      <c r="F302" t="s">
        <v>425</v>
      </c>
      <c r="G302">
        <v>340</v>
      </c>
      <c r="H302">
        <v>342</v>
      </c>
      <c r="I302">
        <v>342</v>
      </c>
      <c r="J302">
        <v>0</v>
      </c>
      <c r="K302" s="46">
        <f t="shared" si="8"/>
        <v>100.58823529411765</v>
      </c>
      <c r="L302" s="8">
        <f t="shared" si="9"/>
        <v>0</v>
      </c>
      <c r="M302" t="s">
        <v>20</v>
      </c>
      <c r="N302" t="s">
        <v>421</v>
      </c>
    </row>
    <row r="303" spans="1:14" x14ac:dyDescent="0.3">
      <c r="A303" t="s">
        <v>1341</v>
      </c>
      <c r="B303" s="2">
        <v>46239</v>
      </c>
      <c r="C303" s="2">
        <v>46240</v>
      </c>
      <c r="D303" s="1" t="s">
        <v>562</v>
      </c>
      <c r="E303" t="s">
        <v>563</v>
      </c>
      <c r="F303" t="s">
        <v>438</v>
      </c>
      <c r="G303">
        <v>662</v>
      </c>
      <c r="H303">
        <v>659</v>
      </c>
      <c r="I303">
        <v>640</v>
      </c>
      <c r="J303">
        <v>19</v>
      </c>
      <c r="K303" s="46">
        <f t="shared" si="8"/>
        <v>99.546827794561935</v>
      </c>
      <c r="L303" s="8">
        <f t="shared" si="9"/>
        <v>2.96875</v>
      </c>
      <c r="M303" t="s">
        <v>20</v>
      </c>
      <c r="N303" t="s">
        <v>421</v>
      </c>
    </row>
    <row r="304" spans="1:14" x14ac:dyDescent="0.3">
      <c r="A304" t="s">
        <v>1744</v>
      </c>
      <c r="B304" s="2">
        <v>46244</v>
      </c>
      <c r="C304" s="2">
        <v>46246</v>
      </c>
      <c r="D304" s="1" t="s">
        <v>562</v>
      </c>
      <c r="E304" t="s">
        <v>563</v>
      </c>
      <c r="F304" t="s">
        <v>438</v>
      </c>
      <c r="G304">
        <v>662</v>
      </c>
      <c r="H304">
        <v>596</v>
      </c>
      <c r="I304">
        <v>580</v>
      </c>
      <c r="J304">
        <v>16</v>
      </c>
      <c r="K304" s="46">
        <f t="shared" si="8"/>
        <v>90.030211480362539</v>
      </c>
      <c r="L304" s="8">
        <f t="shared" si="9"/>
        <v>2.7586206896551726</v>
      </c>
      <c r="M304" t="s">
        <v>20</v>
      </c>
      <c r="N304" t="s">
        <v>421</v>
      </c>
    </row>
    <row r="305" spans="1:14" x14ac:dyDescent="0.3">
      <c r="A305" t="s">
        <v>1745</v>
      </c>
      <c r="B305" s="2">
        <v>46246</v>
      </c>
      <c r="C305" s="2">
        <v>46247</v>
      </c>
      <c r="D305" s="1" t="s">
        <v>562</v>
      </c>
      <c r="E305" t="s">
        <v>563</v>
      </c>
      <c r="F305" t="s">
        <v>438</v>
      </c>
      <c r="G305">
        <v>662</v>
      </c>
      <c r="H305">
        <v>641</v>
      </c>
      <c r="I305">
        <v>600</v>
      </c>
      <c r="J305">
        <v>41</v>
      </c>
      <c r="K305" s="46">
        <f t="shared" si="8"/>
        <v>96.82779456193353</v>
      </c>
      <c r="L305" s="8">
        <f t="shared" si="9"/>
        <v>6.833333333333333</v>
      </c>
      <c r="M305" t="s">
        <v>20</v>
      </c>
      <c r="N305" t="s">
        <v>421</v>
      </c>
    </row>
    <row r="306" spans="1:14" x14ac:dyDescent="0.3">
      <c r="A306" t="s">
        <v>1746</v>
      </c>
      <c r="B306" s="2">
        <v>46247</v>
      </c>
      <c r="C306" s="2">
        <v>46251</v>
      </c>
      <c r="D306" s="1" t="s">
        <v>562</v>
      </c>
      <c r="E306" t="s">
        <v>563</v>
      </c>
      <c r="F306" t="s">
        <v>438</v>
      </c>
      <c r="G306">
        <v>662</v>
      </c>
      <c r="H306">
        <v>613</v>
      </c>
      <c r="I306">
        <v>490</v>
      </c>
      <c r="J306">
        <v>123</v>
      </c>
      <c r="K306" s="46">
        <f t="shared" si="8"/>
        <v>92.598187311178251</v>
      </c>
      <c r="L306" s="8">
        <f t="shared" si="9"/>
        <v>25.102040816326532</v>
      </c>
      <c r="M306" t="s">
        <v>20</v>
      </c>
      <c r="N306" t="s">
        <v>421</v>
      </c>
    </row>
    <row r="307" spans="1:14" x14ac:dyDescent="0.3">
      <c r="A307" t="s">
        <v>1747</v>
      </c>
      <c r="B307" s="2">
        <v>46252</v>
      </c>
      <c r="C307" s="2">
        <v>46254</v>
      </c>
      <c r="D307" s="1" t="s">
        <v>562</v>
      </c>
      <c r="E307" t="s">
        <v>563</v>
      </c>
      <c r="F307" t="s">
        <v>438</v>
      </c>
      <c r="G307">
        <v>662</v>
      </c>
      <c r="H307">
        <v>639</v>
      </c>
      <c r="I307">
        <v>620</v>
      </c>
      <c r="J307">
        <v>19</v>
      </c>
      <c r="K307" s="46">
        <f t="shared" si="8"/>
        <v>96.525679758308158</v>
      </c>
      <c r="L307" s="8">
        <f t="shared" si="9"/>
        <v>3.064516129032258</v>
      </c>
      <c r="M307" t="s">
        <v>20</v>
      </c>
      <c r="N307" t="s">
        <v>421</v>
      </c>
    </row>
    <row r="308" spans="1:14" x14ac:dyDescent="0.3">
      <c r="A308" t="s">
        <v>1748</v>
      </c>
      <c r="B308" s="2">
        <v>46240</v>
      </c>
      <c r="C308" s="2">
        <v>46241</v>
      </c>
      <c r="D308" s="1" t="s">
        <v>566</v>
      </c>
      <c r="E308" t="s">
        <v>567</v>
      </c>
      <c r="F308" t="s">
        <v>438</v>
      </c>
      <c r="G308">
        <v>1660</v>
      </c>
      <c r="H308">
        <v>1700</v>
      </c>
      <c r="I308">
        <v>1695</v>
      </c>
      <c r="J308">
        <v>5</v>
      </c>
      <c r="K308" s="46">
        <f t="shared" si="8"/>
        <v>102.40963855421687</v>
      </c>
      <c r="L308" s="8">
        <f t="shared" si="9"/>
        <v>0.29498525073746312</v>
      </c>
      <c r="M308" t="s">
        <v>20</v>
      </c>
      <c r="N308" t="s">
        <v>421</v>
      </c>
    </row>
    <row r="309" spans="1:14" x14ac:dyDescent="0.3">
      <c r="A309" t="s">
        <v>1749</v>
      </c>
      <c r="B309" s="2">
        <v>46244</v>
      </c>
      <c r="C309" s="2">
        <v>46248</v>
      </c>
      <c r="D309" s="1" t="s">
        <v>566</v>
      </c>
      <c r="E309" t="s">
        <v>567</v>
      </c>
      <c r="F309" t="s">
        <v>438</v>
      </c>
      <c r="G309">
        <v>1660</v>
      </c>
      <c r="H309">
        <v>1725</v>
      </c>
      <c r="I309">
        <v>1620</v>
      </c>
      <c r="J309">
        <v>105</v>
      </c>
      <c r="K309" s="46">
        <f t="shared" si="8"/>
        <v>103.91566265060241</v>
      </c>
      <c r="L309" s="8">
        <f t="shared" si="9"/>
        <v>6.481481481481481</v>
      </c>
      <c r="M309" t="s">
        <v>20</v>
      </c>
      <c r="N309" t="s">
        <v>421</v>
      </c>
    </row>
    <row r="310" spans="1:14" x14ac:dyDescent="0.3">
      <c r="A310" t="s">
        <v>1346</v>
      </c>
      <c r="B310" s="2">
        <v>46239</v>
      </c>
      <c r="C310" s="2">
        <v>46240</v>
      </c>
      <c r="D310" s="1" t="s">
        <v>591</v>
      </c>
      <c r="E310" t="s">
        <v>592</v>
      </c>
      <c r="F310" t="s">
        <v>438</v>
      </c>
      <c r="G310">
        <v>2340</v>
      </c>
      <c r="H310">
        <v>2112</v>
      </c>
      <c r="I310">
        <v>1856</v>
      </c>
      <c r="J310">
        <v>256</v>
      </c>
      <c r="K310" s="46">
        <f t="shared" ref="K310:K373" si="10">(H310/G310)*100</f>
        <v>90.256410256410263</v>
      </c>
      <c r="L310" s="8">
        <f t="shared" si="9"/>
        <v>13.793103448275861</v>
      </c>
      <c r="M310" t="s">
        <v>20</v>
      </c>
      <c r="N310" t="s">
        <v>421</v>
      </c>
    </row>
    <row r="311" spans="1:14" x14ac:dyDescent="0.3">
      <c r="A311" t="s">
        <v>1750</v>
      </c>
      <c r="B311" s="2">
        <v>46240</v>
      </c>
      <c r="C311" s="2">
        <v>46241</v>
      </c>
      <c r="D311" s="1" t="s">
        <v>591</v>
      </c>
      <c r="E311" t="s">
        <v>592</v>
      </c>
      <c r="F311" t="s">
        <v>438</v>
      </c>
      <c r="G311">
        <v>3120</v>
      </c>
      <c r="H311">
        <v>2661</v>
      </c>
      <c r="I311">
        <v>2216</v>
      </c>
      <c r="J311">
        <v>445</v>
      </c>
      <c r="K311" s="46">
        <f t="shared" si="10"/>
        <v>85.288461538461533</v>
      </c>
      <c r="L311" s="8">
        <f t="shared" ref="L311:L374" si="11">((H311-I311)/I311)*100</f>
        <v>20.081227436823106</v>
      </c>
      <c r="M311" t="s">
        <v>20</v>
      </c>
      <c r="N311" t="s">
        <v>421</v>
      </c>
    </row>
    <row r="312" spans="1:14" x14ac:dyDescent="0.3">
      <c r="A312" t="s">
        <v>1751</v>
      </c>
      <c r="B312" s="2">
        <v>46244</v>
      </c>
      <c r="C312" s="2">
        <v>46245</v>
      </c>
      <c r="D312" s="1" t="s">
        <v>591</v>
      </c>
      <c r="E312" t="s">
        <v>592</v>
      </c>
      <c r="F312" t="s">
        <v>438</v>
      </c>
      <c r="G312">
        <v>2340</v>
      </c>
      <c r="H312">
        <v>2092</v>
      </c>
      <c r="I312">
        <v>1864</v>
      </c>
      <c r="J312">
        <v>228</v>
      </c>
      <c r="K312" s="46">
        <f t="shared" si="10"/>
        <v>89.401709401709411</v>
      </c>
      <c r="L312" s="8">
        <f t="shared" si="11"/>
        <v>12.231759656652361</v>
      </c>
      <c r="M312" t="s">
        <v>20</v>
      </c>
      <c r="N312" t="s">
        <v>421</v>
      </c>
    </row>
    <row r="313" spans="1:14" x14ac:dyDescent="0.3">
      <c r="A313" t="s">
        <v>1752</v>
      </c>
      <c r="B313" s="2">
        <v>46245</v>
      </c>
      <c r="C313" s="2">
        <v>46246</v>
      </c>
      <c r="D313" s="1" t="s">
        <v>591</v>
      </c>
      <c r="E313" t="s">
        <v>592</v>
      </c>
      <c r="F313" t="s">
        <v>438</v>
      </c>
      <c r="G313">
        <v>2340</v>
      </c>
      <c r="H313">
        <v>1971</v>
      </c>
      <c r="I313">
        <v>1648</v>
      </c>
      <c r="J313">
        <v>323</v>
      </c>
      <c r="K313" s="46">
        <f t="shared" si="10"/>
        <v>84.230769230769226</v>
      </c>
      <c r="L313" s="8">
        <f t="shared" si="11"/>
        <v>19.599514563106794</v>
      </c>
      <c r="M313" t="s">
        <v>20</v>
      </c>
      <c r="N313" t="s">
        <v>421</v>
      </c>
    </row>
    <row r="314" spans="1:14" x14ac:dyDescent="0.3">
      <c r="A314" t="s">
        <v>1753</v>
      </c>
      <c r="B314" s="2">
        <v>46246</v>
      </c>
      <c r="C314" s="2">
        <v>46247</v>
      </c>
      <c r="D314" s="1" t="s">
        <v>591</v>
      </c>
      <c r="E314" t="s">
        <v>592</v>
      </c>
      <c r="F314" t="s">
        <v>438</v>
      </c>
      <c r="G314">
        <v>2340</v>
      </c>
      <c r="H314">
        <v>1890</v>
      </c>
      <c r="I314">
        <v>1680</v>
      </c>
      <c r="J314">
        <v>210</v>
      </c>
      <c r="K314" s="46">
        <f t="shared" si="10"/>
        <v>80.769230769230774</v>
      </c>
      <c r="L314" s="8">
        <f t="shared" si="11"/>
        <v>12.5</v>
      </c>
      <c r="M314" t="s">
        <v>20</v>
      </c>
      <c r="N314" t="s">
        <v>421</v>
      </c>
    </row>
    <row r="315" spans="1:14" x14ac:dyDescent="0.3">
      <c r="A315" t="s">
        <v>1754</v>
      </c>
      <c r="B315" s="2">
        <v>46245</v>
      </c>
      <c r="C315" s="2">
        <v>46246</v>
      </c>
      <c r="D315" s="1" t="s">
        <v>603</v>
      </c>
      <c r="E315" t="s">
        <v>604</v>
      </c>
      <c r="F315" t="s">
        <v>438</v>
      </c>
      <c r="G315">
        <v>900</v>
      </c>
      <c r="H315">
        <v>1079</v>
      </c>
      <c r="I315">
        <v>1024</v>
      </c>
      <c r="J315">
        <v>55</v>
      </c>
      <c r="K315" s="46">
        <f t="shared" si="10"/>
        <v>119.88888888888889</v>
      </c>
      <c r="L315" s="8">
        <f t="shared" si="11"/>
        <v>5.37109375</v>
      </c>
      <c r="M315" t="s">
        <v>20</v>
      </c>
      <c r="N315" t="s">
        <v>421</v>
      </c>
    </row>
    <row r="316" spans="1:14" x14ac:dyDescent="0.3">
      <c r="A316" t="s">
        <v>1755</v>
      </c>
      <c r="B316" s="2">
        <v>46245</v>
      </c>
      <c r="C316" s="2">
        <v>46246</v>
      </c>
      <c r="D316" s="1" t="s">
        <v>608</v>
      </c>
      <c r="E316" t="s">
        <v>609</v>
      </c>
      <c r="F316" t="s">
        <v>438</v>
      </c>
      <c r="G316">
        <v>1728</v>
      </c>
      <c r="H316">
        <v>1588</v>
      </c>
      <c r="I316">
        <v>1500</v>
      </c>
      <c r="J316">
        <v>88</v>
      </c>
      <c r="K316" s="46">
        <f t="shared" si="10"/>
        <v>91.898148148148152</v>
      </c>
      <c r="L316" s="8">
        <f t="shared" si="11"/>
        <v>5.8666666666666663</v>
      </c>
      <c r="M316" t="s">
        <v>20</v>
      </c>
      <c r="N316" t="s">
        <v>421</v>
      </c>
    </row>
    <row r="317" spans="1:14" x14ac:dyDescent="0.3">
      <c r="A317" t="s">
        <v>1756</v>
      </c>
      <c r="B317" s="2">
        <v>46241</v>
      </c>
      <c r="C317" s="2">
        <v>46244</v>
      </c>
      <c r="D317" s="1" t="s">
        <v>619</v>
      </c>
      <c r="E317" t="s">
        <v>620</v>
      </c>
      <c r="F317" t="s">
        <v>420</v>
      </c>
      <c r="G317">
        <v>73</v>
      </c>
      <c r="H317">
        <v>73</v>
      </c>
      <c r="I317">
        <v>73</v>
      </c>
      <c r="J317">
        <v>0</v>
      </c>
      <c r="K317" s="46">
        <f t="shared" si="10"/>
        <v>100</v>
      </c>
      <c r="L317" s="8">
        <f t="shared" si="11"/>
        <v>0</v>
      </c>
      <c r="M317" t="s">
        <v>20</v>
      </c>
      <c r="N317" t="s">
        <v>421</v>
      </c>
    </row>
    <row r="318" spans="1:14" x14ac:dyDescent="0.3">
      <c r="A318" t="s">
        <v>1757</v>
      </c>
      <c r="B318" s="2">
        <v>46244</v>
      </c>
      <c r="C318" s="2">
        <v>46245</v>
      </c>
      <c r="D318" s="1" t="s">
        <v>619</v>
      </c>
      <c r="E318" t="s">
        <v>620</v>
      </c>
      <c r="F318" t="s">
        <v>420</v>
      </c>
      <c r="G318">
        <v>78</v>
      </c>
      <c r="H318">
        <v>78</v>
      </c>
      <c r="I318">
        <v>78</v>
      </c>
      <c r="J318">
        <v>0</v>
      </c>
      <c r="K318" s="46">
        <f t="shared" si="10"/>
        <v>100</v>
      </c>
      <c r="L318" s="8">
        <f t="shared" si="11"/>
        <v>0</v>
      </c>
      <c r="M318" t="s">
        <v>20</v>
      </c>
      <c r="N318" t="s">
        <v>421</v>
      </c>
    </row>
    <row r="319" spans="1:14" x14ac:dyDescent="0.3">
      <c r="A319" t="s">
        <v>1758</v>
      </c>
      <c r="B319" s="2">
        <v>46245</v>
      </c>
      <c r="C319" s="2">
        <v>46246</v>
      </c>
      <c r="D319" s="1" t="s">
        <v>619</v>
      </c>
      <c r="E319" t="s">
        <v>620</v>
      </c>
      <c r="F319" t="s">
        <v>420</v>
      </c>
      <c r="G319">
        <v>53</v>
      </c>
      <c r="H319">
        <v>53</v>
      </c>
      <c r="I319">
        <v>53</v>
      </c>
      <c r="J319">
        <v>0</v>
      </c>
      <c r="K319" s="46">
        <f t="shared" si="10"/>
        <v>100</v>
      </c>
      <c r="L319" s="8">
        <f t="shared" si="11"/>
        <v>0</v>
      </c>
      <c r="M319" t="s">
        <v>20</v>
      </c>
      <c r="N319" t="s">
        <v>421</v>
      </c>
    </row>
    <row r="320" spans="1:14" x14ac:dyDescent="0.3">
      <c r="A320" t="s">
        <v>1759</v>
      </c>
      <c r="B320" s="2">
        <v>46246</v>
      </c>
      <c r="C320" s="2">
        <v>46247</v>
      </c>
      <c r="D320" s="1" t="s">
        <v>619</v>
      </c>
      <c r="E320" t="s">
        <v>620</v>
      </c>
      <c r="F320" t="s">
        <v>420</v>
      </c>
      <c r="G320">
        <v>124</v>
      </c>
      <c r="H320">
        <v>124</v>
      </c>
      <c r="I320">
        <v>124</v>
      </c>
      <c r="J320">
        <v>0</v>
      </c>
      <c r="K320" s="46">
        <f t="shared" si="10"/>
        <v>100</v>
      </c>
      <c r="L320" s="8">
        <f t="shared" si="11"/>
        <v>0</v>
      </c>
      <c r="M320" t="s">
        <v>20</v>
      </c>
      <c r="N320" t="s">
        <v>421</v>
      </c>
    </row>
    <row r="321" spans="1:14" x14ac:dyDescent="0.3">
      <c r="A321" t="s">
        <v>1760</v>
      </c>
      <c r="B321" s="2">
        <v>46247</v>
      </c>
      <c r="C321" s="2">
        <v>46248</v>
      </c>
      <c r="D321" s="1" t="s">
        <v>619</v>
      </c>
      <c r="E321" t="s">
        <v>620</v>
      </c>
      <c r="F321" t="s">
        <v>420</v>
      </c>
      <c r="G321">
        <v>78</v>
      </c>
      <c r="H321">
        <v>78</v>
      </c>
      <c r="I321">
        <v>78</v>
      </c>
      <c r="J321">
        <v>0</v>
      </c>
      <c r="K321" s="46">
        <f t="shared" si="10"/>
        <v>100</v>
      </c>
      <c r="L321" s="8">
        <f t="shared" si="11"/>
        <v>0</v>
      </c>
      <c r="M321" t="s">
        <v>20</v>
      </c>
      <c r="N321" t="s">
        <v>421</v>
      </c>
    </row>
    <row r="322" spans="1:14" x14ac:dyDescent="0.3">
      <c r="A322" t="s">
        <v>1761</v>
      </c>
      <c r="B322" s="2">
        <v>46248</v>
      </c>
      <c r="C322" s="2">
        <v>46248</v>
      </c>
      <c r="D322" s="1" t="s">
        <v>619</v>
      </c>
      <c r="E322" t="s">
        <v>620</v>
      </c>
      <c r="F322" t="s">
        <v>420</v>
      </c>
      <c r="G322">
        <v>48</v>
      </c>
      <c r="H322">
        <v>48</v>
      </c>
      <c r="I322">
        <v>48</v>
      </c>
      <c r="J322">
        <v>0</v>
      </c>
      <c r="K322" s="46">
        <f t="shared" si="10"/>
        <v>100</v>
      </c>
      <c r="L322" s="8">
        <f t="shared" si="11"/>
        <v>0</v>
      </c>
      <c r="M322" t="s">
        <v>20</v>
      </c>
      <c r="N322" t="s">
        <v>421</v>
      </c>
    </row>
    <row r="323" spans="1:14" x14ac:dyDescent="0.3">
      <c r="A323" t="s">
        <v>1762</v>
      </c>
      <c r="B323" s="2">
        <v>46251</v>
      </c>
      <c r="C323" s="2">
        <v>46251</v>
      </c>
      <c r="D323" s="1" t="s">
        <v>619</v>
      </c>
      <c r="E323" t="s">
        <v>620</v>
      </c>
      <c r="F323" t="s">
        <v>420</v>
      </c>
      <c r="G323">
        <v>103</v>
      </c>
      <c r="H323">
        <v>103</v>
      </c>
      <c r="I323">
        <v>103</v>
      </c>
      <c r="J323">
        <v>0</v>
      </c>
      <c r="K323" s="46">
        <f t="shared" si="10"/>
        <v>100</v>
      </c>
      <c r="L323" s="8">
        <f t="shared" si="11"/>
        <v>0</v>
      </c>
      <c r="M323" t="s">
        <v>20</v>
      </c>
      <c r="N323" t="s">
        <v>421</v>
      </c>
    </row>
    <row r="324" spans="1:14" x14ac:dyDescent="0.3">
      <c r="A324" t="s">
        <v>1763</v>
      </c>
      <c r="B324" s="2">
        <v>46252</v>
      </c>
      <c r="C324" s="2">
        <v>46252</v>
      </c>
      <c r="D324" s="1" t="s">
        <v>619</v>
      </c>
      <c r="E324" t="s">
        <v>620</v>
      </c>
      <c r="F324" t="s">
        <v>420</v>
      </c>
      <c r="G324">
        <v>53</v>
      </c>
      <c r="H324">
        <v>53</v>
      </c>
      <c r="I324">
        <v>53</v>
      </c>
      <c r="J324">
        <v>0</v>
      </c>
      <c r="K324" s="46">
        <f t="shared" si="10"/>
        <v>100</v>
      </c>
      <c r="L324" s="8">
        <f t="shared" si="11"/>
        <v>0</v>
      </c>
      <c r="M324" t="s">
        <v>20</v>
      </c>
      <c r="N324" t="s">
        <v>421</v>
      </c>
    </row>
    <row r="325" spans="1:14" x14ac:dyDescent="0.3">
      <c r="A325" t="s">
        <v>1764</v>
      </c>
      <c r="B325" s="2">
        <v>46247</v>
      </c>
      <c r="C325" s="2">
        <v>46248</v>
      </c>
      <c r="D325" s="1" t="s">
        <v>638</v>
      </c>
      <c r="E325" t="s">
        <v>639</v>
      </c>
      <c r="F325" t="s">
        <v>532</v>
      </c>
      <c r="G325">
        <v>1294</v>
      </c>
      <c r="H325">
        <v>1236</v>
      </c>
      <c r="I325">
        <v>1218</v>
      </c>
      <c r="J325">
        <v>18</v>
      </c>
      <c r="K325" s="46">
        <f t="shared" si="10"/>
        <v>95.517774343122099</v>
      </c>
      <c r="L325" s="8">
        <f t="shared" si="11"/>
        <v>1.4778325123152709</v>
      </c>
      <c r="M325" t="s">
        <v>20</v>
      </c>
      <c r="N325" t="s">
        <v>421</v>
      </c>
    </row>
    <row r="326" spans="1:14" x14ac:dyDescent="0.3">
      <c r="A326" t="s">
        <v>1765</v>
      </c>
      <c r="B326" s="2">
        <v>46248</v>
      </c>
      <c r="C326" s="2">
        <v>46251</v>
      </c>
      <c r="D326" s="1" t="s">
        <v>638</v>
      </c>
      <c r="E326" t="s">
        <v>639</v>
      </c>
      <c r="F326" t="s">
        <v>532</v>
      </c>
      <c r="G326">
        <v>6470</v>
      </c>
      <c r="H326">
        <v>6482</v>
      </c>
      <c r="I326">
        <v>6342</v>
      </c>
      <c r="J326">
        <v>140</v>
      </c>
      <c r="K326" s="46">
        <f t="shared" si="10"/>
        <v>100.1854714064915</v>
      </c>
      <c r="L326" s="8">
        <f t="shared" si="11"/>
        <v>2.2075055187637971</v>
      </c>
      <c r="M326" t="s">
        <v>20</v>
      </c>
      <c r="N326" t="s">
        <v>421</v>
      </c>
    </row>
    <row r="327" spans="1:14" x14ac:dyDescent="0.3">
      <c r="A327" t="s">
        <v>1353</v>
      </c>
      <c r="B327" s="2">
        <v>46239</v>
      </c>
      <c r="C327" s="2">
        <v>46240</v>
      </c>
      <c r="D327" s="1" t="s">
        <v>647</v>
      </c>
      <c r="E327" t="s">
        <v>648</v>
      </c>
      <c r="F327" t="s">
        <v>532</v>
      </c>
      <c r="G327">
        <v>2760</v>
      </c>
      <c r="H327">
        <v>2775</v>
      </c>
      <c r="I327">
        <v>2754</v>
      </c>
      <c r="J327">
        <v>21</v>
      </c>
      <c r="K327" s="46">
        <f t="shared" si="10"/>
        <v>100.54347826086956</v>
      </c>
      <c r="L327" s="8">
        <f t="shared" si="11"/>
        <v>0.76252723311546844</v>
      </c>
      <c r="M327" t="s">
        <v>20</v>
      </c>
      <c r="N327" t="s">
        <v>421</v>
      </c>
    </row>
    <row r="328" spans="1:14" x14ac:dyDescent="0.3">
      <c r="A328" t="s">
        <v>1766</v>
      </c>
      <c r="B328" s="2">
        <v>46244</v>
      </c>
      <c r="C328" s="2">
        <v>46245</v>
      </c>
      <c r="D328" s="1" t="s">
        <v>647</v>
      </c>
      <c r="E328" t="s">
        <v>648</v>
      </c>
      <c r="F328" t="s">
        <v>532</v>
      </c>
      <c r="G328">
        <v>2760</v>
      </c>
      <c r="H328">
        <v>2760</v>
      </c>
      <c r="I328">
        <v>2724</v>
      </c>
      <c r="J328">
        <v>36</v>
      </c>
      <c r="K328" s="46">
        <f t="shared" si="10"/>
        <v>100</v>
      </c>
      <c r="L328" s="8">
        <f t="shared" si="11"/>
        <v>1.3215859030837005</v>
      </c>
      <c r="M328" t="s">
        <v>20</v>
      </c>
      <c r="N328" t="s">
        <v>421</v>
      </c>
    </row>
    <row r="329" spans="1:14" x14ac:dyDescent="0.3">
      <c r="A329" t="s">
        <v>1767</v>
      </c>
      <c r="B329" s="2">
        <v>46251</v>
      </c>
      <c r="C329" s="2">
        <v>46252</v>
      </c>
      <c r="D329" s="1" t="s">
        <v>647</v>
      </c>
      <c r="E329" t="s">
        <v>648</v>
      </c>
      <c r="F329" t="s">
        <v>532</v>
      </c>
      <c r="G329">
        <v>4140</v>
      </c>
      <c r="H329">
        <v>4204</v>
      </c>
      <c r="I329">
        <v>4134</v>
      </c>
      <c r="J329">
        <v>70</v>
      </c>
      <c r="K329" s="46">
        <f t="shared" si="10"/>
        <v>101.54589371980676</v>
      </c>
      <c r="L329" s="8">
        <f t="shared" si="11"/>
        <v>1.6932752781809386</v>
      </c>
      <c r="M329" t="s">
        <v>20</v>
      </c>
      <c r="N329" t="s">
        <v>421</v>
      </c>
    </row>
    <row r="330" spans="1:14" x14ac:dyDescent="0.3">
      <c r="A330" t="s">
        <v>1355</v>
      </c>
      <c r="B330" s="2">
        <v>46239</v>
      </c>
      <c r="C330" s="2">
        <v>46240</v>
      </c>
      <c r="D330" s="1" t="s">
        <v>654</v>
      </c>
      <c r="E330" t="s">
        <v>655</v>
      </c>
      <c r="F330" t="s">
        <v>438</v>
      </c>
      <c r="G330">
        <v>160</v>
      </c>
      <c r="H330">
        <v>211</v>
      </c>
      <c r="I330">
        <v>160</v>
      </c>
      <c r="J330">
        <v>51</v>
      </c>
      <c r="K330" s="46">
        <f t="shared" si="10"/>
        <v>131.875</v>
      </c>
      <c r="L330" s="8">
        <f t="shared" si="11"/>
        <v>31.874999999999996</v>
      </c>
      <c r="M330" t="s">
        <v>20</v>
      </c>
      <c r="N330" t="s">
        <v>421</v>
      </c>
    </row>
    <row r="331" spans="1:14" x14ac:dyDescent="0.3">
      <c r="A331" t="s">
        <v>1768</v>
      </c>
      <c r="B331" s="2">
        <v>46240</v>
      </c>
      <c r="C331" s="2">
        <v>46241</v>
      </c>
      <c r="D331" s="1" t="s">
        <v>654</v>
      </c>
      <c r="E331" t="s">
        <v>655</v>
      </c>
      <c r="F331" t="s">
        <v>438</v>
      </c>
      <c r="G331">
        <v>160</v>
      </c>
      <c r="H331">
        <v>236</v>
      </c>
      <c r="I331">
        <v>220</v>
      </c>
      <c r="J331">
        <v>16</v>
      </c>
      <c r="K331" s="46">
        <f t="shared" si="10"/>
        <v>147.5</v>
      </c>
      <c r="L331" s="8">
        <f t="shared" si="11"/>
        <v>7.2727272727272725</v>
      </c>
      <c r="M331" t="s">
        <v>20</v>
      </c>
      <c r="N331" t="s">
        <v>421</v>
      </c>
    </row>
    <row r="332" spans="1:14" x14ac:dyDescent="0.3">
      <c r="A332" t="s">
        <v>1769</v>
      </c>
      <c r="B332" s="2">
        <v>46245</v>
      </c>
      <c r="C332" s="2">
        <v>46246</v>
      </c>
      <c r="D332" s="1" t="s">
        <v>654</v>
      </c>
      <c r="E332" t="s">
        <v>655</v>
      </c>
      <c r="F332" t="s">
        <v>438</v>
      </c>
      <c r="G332">
        <v>160</v>
      </c>
      <c r="H332">
        <v>182</v>
      </c>
      <c r="I332">
        <v>180</v>
      </c>
      <c r="J332">
        <v>2</v>
      </c>
      <c r="K332" s="46">
        <f t="shared" si="10"/>
        <v>113.75</v>
      </c>
      <c r="L332" s="8">
        <f t="shared" si="11"/>
        <v>1.1111111111111112</v>
      </c>
      <c r="M332" t="s">
        <v>20</v>
      </c>
      <c r="N332" t="s">
        <v>421</v>
      </c>
    </row>
    <row r="333" spans="1:14" x14ac:dyDescent="0.3">
      <c r="A333" t="s">
        <v>1770</v>
      </c>
      <c r="B333" s="2">
        <v>46247</v>
      </c>
      <c r="C333" s="2">
        <v>46248</v>
      </c>
      <c r="D333" s="1" t="s">
        <v>654</v>
      </c>
      <c r="E333" t="s">
        <v>655</v>
      </c>
      <c r="F333" t="s">
        <v>438</v>
      </c>
      <c r="G333">
        <v>160</v>
      </c>
      <c r="H333">
        <v>187</v>
      </c>
      <c r="I333">
        <v>180</v>
      </c>
      <c r="J333">
        <v>7</v>
      </c>
      <c r="K333" s="46">
        <f t="shared" si="10"/>
        <v>116.875</v>
      </c>
      <c r="L333" s="8">
        <f t="shared" si="11"/>
        <v>3.8888888888888888</v>
      </c>
      <c r="M333" t="s">
        <v>20</v>
      </c>
      <c r="N333" t="s">
        <v>421</v>
      </c>
    </row>
    <row r="334" spans="1:14" x14ac:dyDescent="0.3">
      <c r="A334" t="s">
        <v>1356</v>
      </c>
      <c r="B334" s="2">
        <v>46239</v>
      </c>
      <c r="C334" s="2">
        <v>46240</v>
      </c>
      <c r="D334" s="1" t="s">
        <v>661</v>
      </c>
      <c r="E334" t="s">
        <v>662</v>
      </c>
      <c r="F334" t="s">
        <v>532</v>
      </c>
      <c r="G334">
        <v>525</v>
      </c>
      <c r="H334">
        <v>620</v>
      </c>
      <c r="I334">
        <v>600</v>
      </c>
      <c r="J334">
        <v>20</v>
      </c>
      <c r="K334" s="46">
        <f t="shared" si="10"/>
        <v>118.0952380952381</v>
      </c>
      <c r="L334" s="8">
        <f t="shared" si="11"/>
        <v>3.3333333333333335</v>
      </c>
      <c r="M334" t="s">
        <v>20</v>
      </c>
      <c r="N334" t="s">
        <v>421</v>
      </c>
    </row>
    <row r="335" spans="1:14" x14ac:dyDescent="0.3">
      <c r="A335" t="s">
        <v>1771</v>
      </c>
      <c r="B335" s="2">
        <v>46245</v>
      </c>
      <c r="C335" s="2">
        <v>46246</v>
      </c>
      <c r="D335" s="1" t="s">
        <v>671</v>
      </c>
      <c r="E335" t="s">
        <v>672</v>
      </c>
      <c r="F335" t="s">
        <v>532</v>
      </c>
      <c r="G335">
        <v>750</v>
      </c>
      <c r="H335">
        <v>770</v>
      </c>
      <c r="I335">
        <v>770</v>
      </c>
      <c r="J335">
        <v>0</v>
      </c>
      <c r="K335" s="46">
        <f t="shared" si="10"/>
        <v>102.66666666666666</v>
      </c>
      <c r="L335" s="8">
        <f t="shared" si="11"/>
        <v>0</v>
      </c>
      <c r="M335" t="s">
        <v>20</v>
      </c>
      <c r="N335" t="s">
        <v>421</v>
      </c>
    </row>
    <row r="336" spans="1:14" x14ac:dyDescent="0.3">
      <c r="A336" t="s">
        <v>1772</v>
      </c>
      <c r="B336" s="2">
        <v>46246</v>
      </c>
      <c r="C336" s="2">
        <v>46247</v>
      </c>
      <c r="D336" s="1" t="s">
        <v>671</v>
      </c>
      <c r="E336" t="s">
        <v>672</v>
      </c>
      <c r="F336" t="s">
        <v>532</v>
      </c>
      <c r="G336">
        <v>750</v>
      </c>
      <c r="H336">
        <v>760</v>
      </c>
      <c r="I336">
        <v>760</v>
      </c>
      <c r="J336">
        <v>0</v>
      </c>
      <c r="K336" s="46">
        <f t="shared" si="10"/>
        <v>101.33333333333334</v>
      </c>
      <c r="L336" s="8">
        <f t="shared" si="11"/>
        <v>0</v>
      </c>
      <c r="M336" t="s">
        <v>20</v>
      </c>
      <c r="N336" t="s">
        <v>421</v>
      </c>
    </row>
    <row r="337" spans="1:14" x14ac:dyDescent="0.3">
      <c r="A337" t="s">
        <v>1773</v>
      </c>
      <c r="B337" s="2">
        <v>46247</v>
      </c>
      <c r="C337" s="2">
        <v>46248</v>
      </c>
      <c r="D337" s="1" t="s">
        <v>671</v>
      </c>
      <c r="E337" t="s">
        <v>672</v>
      </c>
      <c r="F337" t="s">
        <v>532</v>
      </c>
      <c r="G337">
        <v>750</v>
      </c>
      <c r="H337">
        <v>725</v>
      </c>
      <c r="I337">
        <v>720</v>
      </c>
      <c r="J337">
        <v>5</v>
      </c>
      <c r="K337" s="46">
        <f t="shared" si="10"/>
        <v>96.666666666666671</v>
      </c>
      <c r="L337" s="8">
        <f t="shared" si="11"/>
        <v>0.69444444444444442</v>
      </c>
      <c r="M337" t="s">
        <v>20</v>
      </c>
      <c r="N337" t="s">
        <v>421</v>
      </c>
    </row>
    <row r="338" spans="1:14" x14ac:dyDescent="0.3">
      <c r="A338" t="s">
        <v>1361</v>
      </c>
      <c r="B338" s="2">
        <v>46239</v>
      </c>
      <c r="C338" s="2">
        <v>46240</v>
      </c>
      <c r="D338" s="1" t="s">
        <v>675</v>
      </c>
      <c r="E338" t="s">
        <v>676</v>
      </c>
      <c r="F338" t="s">
        <v>677</v>
      </c>
      <c r="G338">
        <v>500</v>
      </c>
      <c r="H338">
        <v>590</v>
      </c>
      <c r="I338">
        <v>590</v>
      </c>
      <c r="J338">
        <v>0</v>
      </c>
      <c r="K338" s="46">
        <f t="shared" si="10"/>
        <v>118</v>
      </c>
      <c r="L338" s="8">
        <f t="shared" si="11"/>
        <v>0</v>
      </c>
      <c r="M338" t="s">
        <v>20</v>
      </c>
      <c r="N338" t="s">
        <v>421</v>
      </c>
    </row>
    <row r="339" spans="1:14" x14ac:dyDescent="0.3">
      <c r="A339" t="s">
        <v>1774</v>
      </c>
      <c r="B339" s="2">
        <v>46240</v>
      </c>
      <c r="C339" s="2">
        <v>46241</v>
      </c>
      <c r="D339" s="1" t="s">
        <v>675</v>
      </c>
      <c r="E339" t="s">
        <v>676</v>
      </c>
      <c r="F339" t="s">
        <v>677</v>
      </c>
      <c r="G339">
        <v>500</v>
      </c>
      <c r="H339">
        <v>520</v>
      </c>
      <c r="I339">
        <v>520</v>
      </c>
      <c r="J339">
        <v>0</v>
      </c>
      <c r="K339" s="46">
        <f t="shared" si="10"/>
        <v>104</v>
      </c>
      <c r="L339" s="8">
        <f t="shared" si="11"/>
        <v>0</v>
      </c>
      <c r="M339" t="s">
        <v>20</v>
      </c>
      <c r="N339" t="s">
        <v>421</v>
      </c>
    </row>
    <row r="340" spans="1:14" x14ac:dyDescent="0.3">
      <c r="A340" t="s">
        <v>1775</v>
      </c>
      <c r="B340" s="2">
        <v>46241</v>
      </c>
      <c r="C340" s="2">
        <v>46244</v>
      </c>
      <c r="D340" s="1" t="s">
        <v>675</v>
      </c>
      <c r="E340" t="s">
        <v>676</v>
      </c>
      <c r="F340" t="s">
        <v>677</v>
      </c>
      <c r="G340">
        <v>500</v>
      </c>
      <c r="H340">
        <v>580</v>
      </c>
      <c r="I340">
        <v>580</v>
      </c>
      <c r="J340">
        <v>0</v>
      </c>
      <c r="K340" s="46">
        <f t="shared" si="10"/>
        <v>115.99999999999999</v>
      </c>
      <c r="L340" s="8">
        <f t="shared" si="11"/>
        <v>0</v>
      </c>
      <c r="M340" t="s">
        <v>20</v>
      </c>
      <c r="N340" t="s">
        <v>421</v>
      </c>
    </row>
    <row r="341" spans="1:14" x14ac:dyDescent="0.3">
      <c r="A341" t="s">
        <v>1363</v>
      </c>
      <c r="B341" s="2">
        <v>46239</v>
      </c>
      <c r="C341" s="2">
        <v>46240</v>
      </c>
      <c r="D341" s="1" t="s">
        <v>680</v>
      </c>
      <c r="E341" t="s">
        <v>681</v>
      </c>
      <c r="F341" t="s">
        <v>677</v>
      </c>
      <c r="G341">
        <v>782</v>
      </c>
      <c r="H341">
        <v>780</v>
      </c>
      <c r="I341">
        <v>780</v>
      </c>
      <c r="J341">
        <v>0</v>
      </c>
      <c r="K341" s="46">
        <f t="shared" si="10"/>
        <v>99.744245524296673</v>
      </c>
      <c r="L341" s="8">
        <f t="shared" si="11"/>
        <v>0</v>
      </c>
      <c r="M341" t="s">
        <v>20</v>
      </c>
      <c r="N341" t="s">
        <v>421</v>
      </c>
    </row>
    <row r="342" spans="1:14" x14ac:dyDescent="0.3">
      <c r="A342" t="s">
        <v>1776</v>
      </c>
      <c r="B342" s="2">
        <v>46245</v>
      </c>
      <c r="C342" s="2">
        <v>46246</v>
      </c>
      <c r="D342" s="1" t="s">
        <v>680</v>
      </c>
      <c r="E342" t="s">
        <v>681</v>
      </c>
      <c r="F342" t="s">
        <v>677</v>
      </c>
      <c r="G342">
        <v>782</v>
      </c>
      <c r="H342">
        <v>831</v>
      </c>
      <c r="I342">
        <v>830</v>
      </c>
      <c r="J342">
        <v>1</v>
      </c>
      <c r="K342" s="46">
        <f t="shared" si="10"/>
        <v>106.26598465473145</v>
      </c>
      <c r="L342" s="8">
        <f t="shared" si="11"/>
        <v>0.12048192771084339</v>
      </c>
      <c r="M342" t="s">
        <v>20</v>
      </c>
      <c r="N342" t="s">
        <v>421</v>
      </c>
    </row>
    <row r="343" spans="1:14" x14ac:dyDescent="0.3">
      <c r="A343" t="s">
        <v>1777</v>
      </c>
      <c r="B343" s="2">
        <v>46246</v>
      </c>
      <c r="C343" s="2">
        <v>46247</v>
      </c>
      <c r="D343" s="1" t="s">
        <v>680</v>
      </c>
      <c r="E343" t="s">
        <v>681</v>
      </c>
      <c r="F343" t="s">
        <v>677</v>
      </c>
      <c r="G343">
        <v>782</v>
      </c>
      <c r="H343">
        <v>850</v>
      </c>
      <c r="I343">
        <v>850</v>
      </c>
      <c r="J343">
        <v>0</v>
      </c>
      <c r="K343" s="46">
        <f t="shared" si="10"/>
        <v>108.69565217391303</v>
      </c>
      <c r="L343" s="8">
        <f t="shared" si="11"/>
        <v>0</v>
      </c>
      <c r="M343" t="s">
        <v>20</v>
      </c>
      <c r="N343" t="s">
        <v>421</v>
      </c>
    </row>
    <row r="344" spans="1:14" x14ac:dyDescent="0.3">
      <c r="A344" t="s">
        <v>1778</v>
      </c>
      <c r="B344" s="2">
        <v>46247</v>
      </c>
      <c r="C344" s="2">
        <v>46248</v>
      </c>
      <c r="D344" s="1" t="s">
        <v>680</v>
      </c>
      <c r="E344" t="s">
        <v>681</v>
      </c>
      <c r="F344" t="s">
        <v>677</v>
      </c>
      <c r="G344">
        <v>782</v>
      </c>
      <c r="H344">
        <v>790</v>
      </c>
      <c r="I344">
        <v>790</v>
      </c>
      <c r="J344">
        <v>0</v>
      </c>
      <c r="K344" s="46">
        <f t="shared" si="10"/>
        <v>101.02301790281329</v>
      </c>
      <c r="L344" s="8">
        <f t="shared" si="11"/>
        <v>0</v>
      </c>
      <c r="M344" t="s">
        <v>20</v>
      </c>
      <c r="N344" t="s">
        <v>421</v>
      </c>
    </row>
    <row r="345" spans="1:14" x14ac:dyDescent="0.3">
      <c r="A345" t="s">
        <v>1779</v>
      </c>
      <c r="B345" s="2">
        <v>46239</v>
      </c>
      <c r="C345" s="2">
        <v>46241</v>
      </c>
      <c r="D345" s="1" t="s">
        <v>689</v>
      </c>
      <c r="E345" t="s">
        <v>1780</v>
      </c>
      <c r="F345" t="s">
        <v>532</v>
      </c>
      <c r="G345">
        <v>750</v>
      </c>
      <c r="H345">
        <v>760</v>
      </c>
      <c r="I345">
        <v>760</v>
      </c>
      <c r="J345">
        <v>0</v>
      </c>
      <c r="K345" s="46">
        <f t="shared" si="10"/>
        <v>101.33333333333334</v>
      </c>
      <c r="L345" s="8">
        <f t="shared" si="11"/>
        <v>0</v>
      </c>
      <c r="M345" t="s">
        <v>20</v>
      </c>
      <c r="N345" t="s">
        <v>421</v>
      </c>
    </row>
    <row r="346" spans="1:14" x14ac:dyDescent="0.3">
      <c r="A346" t="s">
        <v>1781</v>
      </c>
      <c r="B346" s="2">
        <v>46239</v>
      </c>
      <c r="C346" s="2">
        <v>46241</v>
      </c>
      <c r="D346" s="1" t="s">
        <v>689</v>
      </c>
      <c r="E346" t="s">
        <v>1780</v>
      </c>
      <c r="F346" t="s">
        <v>532</v>
      </c>
      <c r="G346">
        <v>750</v>
      </c>
      <c r="H346">
        <v>750</v>
      </c>
      <c r="I346">
        <v>750</v>
      </c>
      <c r="J346">
        <v>0</v>
      </c>
      <c r="K346" s="46">
        <f t="shared" si="10"/>
        <v>100</v>
      </c>
      <c r="L346" s="8">
        <f t="shared" si="11"/>
        <v>0</v>
      </c>
      <c r="M346" t="s">
        <v>20</v>
      </c>
      <c r="N346" t="s">
        <v>421</v>
      </c>
    </row>
    <row r="347" spans="1:14" x14ac:dyDescent="0.3">
      <c r="A347" t="s">
        <v>1366</v>
      </c>
      <c r="B347" s="2">
        <v>46239</v>
      </c>
      <c r="C347" s="2">
        <v>46240</v>
      </c>
      <c r="D347" s="1" t="s">
        <v>696</v>
      </c>
      <c r="E347" t="s">
        <v>697</v>
      </c>
      <c r="F347" t="s">
        <v>532</v>
      </c>
      <c r="G347">
        <v>1500</v>
      </c>
      <c r="H347">
        <v>1480</v>
      </c>
      <c r="I347">
        <v>1480</v>
      </c>
      <c r="J347">
        <v>0</v>
      </c>
      <c r="K347" s="46">
        <f t="shared" si="10"/>
        <v>98.666666666666671</v>
      </c>
      <c r="L347" s="8">
        <f t="shared" si="11"/>
        <v>0</v>
      </c>
      <c r="M347" t="s">
        <v>20</v>
      </c>
      <c r="N347" t="s">
        <v>421</v>
      </c>
    </row>
    <row r="348" spans="1:14" x14ac:dyDescent="0.3">
      <c r="A348" t="s">
        <v>1782</v>
      </c>
      <c r="B348" s="2">
        <v>46240</v>
      </c>
      <c r="C348" s="2">
        <v>46241</v>
      </c>
      <c r="D348" s="1" t="s">
        <v>696</v>
      </c>
      <c r="E348" t="s">
        <v>697</v>
      </c>
      <c r="F348" t="s">
        <v>532</v>
      </c>
      <c r="G348">
        <v>750</v>
      </c>
      <c r="H348">
        <v>820</v>
      </c>
      <c r="I348">
        <v>820</v>
      </c>
      <c r="J348">
        <v>0</v>
      </c>
      <c r="K348" s="46">
        <f t="shared" si="10"/>
        <v>109.33333333333333</v>
      </c>
      <c r="L348" s="8">
        <f t="shared" si="11"/>
        <v>0</v>
      </c>
      <c r="M348" t="s">
        <v>20</v>
      </c>
      <c r="N348" t="s">
        <v>421</v>
      </c>
    </row>
    <row r="349" spans="1:14" x14ac:dyDescent="0.3">
      <c r="A349" t="s">
        <v>1783</v>
      </c>
      <c r="B349" s="2">
        <v>46252</v>
      </c>
      <c r="C349" s="2">
        <v>46254</v>
      </c>
      <c r="D349" s="1" t="s">
        <v>696</v>
      </c>
      <c r="E349" t="s">
        <v>697</v>
      </c>
      <c r="F349" t="s">
        <v>532</v>
      </c>
      <c r="G349">
        <v>750</v>
      </c>
      <c r="H349">
        <v>740</v>
      </c>
      <c r="I349">
        <v>740</v>
      </c>
      <c r="J349">
        <v>0</v>
      </c>
      <c r="K349" s="46">
        <f t="shared" si="10"/>
        <v>98.666666666666671</v>
      </c>
      <c r="L349" s="8">
        <f t="shared" si="11"/>
        <v>0</v>
      </c>
      <c r="M349" t="s">
        <v>20</v>
      </c>
      <c r="N349" t="s">
        <v>421</v>
      </c>
    </row>
    <row r="350" spans="1:14" x14ac:dyDescent="0.3">
      <c r="A350" t="s">
        <v>1784</v>
      </c>
      <c r="B350" s="2">
        <v>46253</v>
      </c>
      <c r="C350" s="2">
        <v>46254</v>
      </c>
      <c r="D350" s="1" t="s">
        <v>696</v>
      </c>
      <c r="E350" t="s">
        <v>697</v>
      </c>
      <c r="F350" t="s">
        <v>677</v>
      </c>
      <c r="G350">
        <v>750</v>
      </c>
      <c r="H350">
        <v>780</v>
      </c>
      <c r="I350">
        <v>780</v>
      </c>
      <c r="J350">
        <v>0</v>
      </c>
      <c r="K350" s="46">
        <f t="shared" si="10"/>
        <v>104</v>
      </c>
      <c r="L350" s="8">
        <f t="shared" si="11"/>
        <v>0</v>
      </c>
      <c r="M350" t="s">
        <v>20</v>
      </c>
      <c r="N350" t="s">
        <v>421</v>
      </c>
    </row>
    <row r="351" spans="1:14" x14ac:dyDescent="0.3">
      <c r="A351" t="s">
        <v>1785</v>
      </c>
      <c r="B351" s="2">
        <v>46239</v>
      </c>
      <c r="C351" s="2">
        <v>46241</v>
      </c>
      <c r="D351" s="1" t="s">
        <v>1786</v>
      </c>
      <c r="E351" t="s">
        <v>1787</v>
      </c>
      <c r="F351" t="s">
        <v>420</v>
      </c>
      <c r="G351">
        <v>400</v>
      </c>
      <c r="H351">
        <v>275</v>
      </c>
      <c r="I351">
        <v>275</v>
      </c>
      <c r="J351">
        <v>0</v>
      </c>
      <c r="K351" s="46">
        <f t="shared" si="10"/>
        <v>68.75</v>
      </c>
      <c r="L351" s="8">
        <f t="shared" si="11"/>
        <v>0</v>
      </c>
      <c r="M351" t="s">
        <v>20</v>
      </c>
      <c r="N351" t="s">
        <v>421</v>
      </c>
    </row>
    <row r="352" spans="1:14" x14ac:dyDescent="0.3">
      <c r="A352" t="s">
        <v>1788</v>
      </c>
      <c r="B352" s="2">
        <v>46253</v>
      </c>
      <c r="C352" s="2">
        <v>46254</v>
      </c>
      <c r="D352" s="1" t="s">
        <v>1786</v>
      </c>
      <c r="E352" t="s">
        <v>1787</v>
      </c>
      <c r="F352" t="s">
        <v>420</v>
      </c>
      <c r="G352">
        <v>37</v>
      </c>
      <c r="H352">
        <v>37</v>
      </c>
      <c r="I352">
        <v>37</v>
      </c>
      <c r="J352">
        <v>0</v>
      </c>
      <c r="K352" s="46">
        <f t="shared" si="10"/>
        <v>100</v>
      </c>
      <c r="L352" s="8">
        <f t="shared" si="11"/>
        <v>0</v>
      </c>
      <c r="M352" t="s">
        <v>20</v>
      </c>
      <c r="N352" t="s">
        <v>421</v>
      </c>
    </row>
    <row r="353" spans="1:14" x14ac:dyDescent="0.3">
      <c r="A353" t="s">
        <v>1368</v>
      </c>
      <c r="B353" s="2">
        <v>46239</v>
      </c>
      <c r="C353" s="2">
        <v>46240</v>
      </c>
      <c r="D353" s="1" t="s">
        <v>702</v>
      </c>
      <c r="E353" t="s">
        <v>703</v>
      </c>
      <c r="F353" t="s">
        <v>438</v>
      </c>
      <c r="G353">
        <v>157</v>
      </c>
      <c r="H353">
        <v>151</v>
      </c>
      <c r="I353">
        <v>138</v>
      </c>
      <c r="J353">
        <v>13</v>
      </c>
      <c r="K353" s="46">
        <f t="shared" si="10"/>
        <v>96.178343949044589</v>
      </c>
      <c r="L353" s="8">
        <f t="shared" si="11"/>
        <v>9.4202898550724647</v>
      </c>
      <c r="M353" t="s">
        <v>20</v>
      </c>
      <c r="N353" t="s">
        <v>421</v>
      </c>
    </row>
    <row r="354" spans="1:14" x14ac:dyDescent="0.3">
      <c r="A354" t="s">
        <v>1789</v>
      </c>
      <c r="B354" s="2">
        <v>46240</v>
      </c>
      <c r="C354" s="2">
        <v>46241</v>
      </c>
      <c r="D354" s="1" t="s">
        <v>702</v>
      </c>
      <c r="E354" t="s">
        <v>703</v>
      </c>
      <c r="F354" t="s">
        <v>438</v>
      </c>
      <c r="G354">
        <v>157</v>
      </c>
      <c r="H354">
        <v>151</v>
      </c>
      <c r="I354">
        <v>144</v>
      </c>
      <c r="J354">
        <v>7</v>
      </c>
      <c r="K354" s="46">
        <f t="shared" si="10"/>
        <v>96.178343949044589</v>
      </c>
      <c r="L354" s="8">
        <f t="shared" si="11"/>
        <v>4.8611111111111116</v>
      </c>
      <c r="M354" t="s">
        <v>20</v>
      </c>
      <c r="N354" t="s">
        <v>421</v>
      </c>
    </row>
    <row r="355" spans="1:14" x14ac:dyDescent="0.3">
      <c r="A355" t="s">
        <v>1790</v>
      </c>
      <c r="B355" s="2">
        <v>46244</v>
      </c>
      <c r="C355" s="2">
        <v>46245</v>
      </c>
      <c r="D355" s="1" t="s">
        <v>702</v>
      </c>
      <c r="E355" t="s">
        <v>703</v>
      </c>
      <c r="F355" t="s">
        <v>438</v>
      </c>
      <c r="G355">
        <v>157</v>
      </c>
      <c r="H355">
        <v>148</v>
      </c>
      <c r="I355">
        <v>147</v>
      </c>
      <c r="J355">
        <v>1</v>
      </c>
      <c r="K355" s="46">
        <f t="shared" si="10"/>
        <v>94.267515923566876</v>
      </c>
      <c r="L355" s="8">
        <f t="shared" si="11"/>
        <v>0.68027210884353739</v>
      </c>
      <c r="M355" t="s">
        <v>20</v>
      </c>
      <c r="N355" t="s">
        <v>421</v>
      </c>
    </row>
    <row r="356" spans="1:14" x14ac:dyDescent="0.3">
      <c r="A356" t="s">
        <v>1791</v>
      </c>
      <c r="B356" s="2">
        <v>46246</v>
      </c>
      <c r="C356" s="2">
        <v>46247</v>
      </c>
      <c r="D356" s="1" t="s">
        <v>702</v>
      </c>
      <c r="E356" t="s">
        <v>703</v>
      </c>
      <c r="F356" t="s">
        <v>438</v>
      </c>
      <c r="G356">
        <v>157</v>
      </c>
      <c r="H356">
        <v>152</v>
      </c>
      <c r="I356">
        <v>144</v>
      </c>
      <c r="J356">
        <v>8</v>
      </c>
      <c r="K356" s="46">
        <f t="shared" si="10"/>
        <v>96.815286624203821</v>
      </c>
      <c r="L356" s="8">
        <f t="shared" si="11"/>
        <v>5.5555555555555554</v>
      </c>
      <c r="M356" t="s">
        <v>20</v>
      </c>
      <c r="N356" t="s">
        <v>421</v>
      </c>
    </row>
    <row r="357" spans="1:14" x14ac:dyDescent="0.3">
      <c r="A357" t="s">
        <v>1792</v>
      </c>
      <c r="B357" s="2">
        <v>46247</v>
      </c>
      <c r="C357" s="2">
        <v>46248</v>
      </c>
      <c r="D357" s="1" t="s">
        <v>702</v>
      </c>
      <c r="E357" t="s">
        <v>703</v>
      </c>
      <c r="F357" t="s">
        <v>438</v>
      </c>
      <c r="G357">
        <v>157</v>
      </c>
      <c r="H357">
        <v>150</v>
      </c>
      <c r="I357">
        <v>147</v>
      </c>
      <c r="J357">
        <v>3</v>
      </c>
      <c r="K357" s="46">
        <f t="shared" si="10"/>
        <v>95.541401273885356</v>
      </c>
      <c r="L357" s="8">
        <f t="shared" si="11"/>
        <v>2.0408163265306123</v>
      </c>
      <c r="M357" t="s">
        <v>20</v>
      </c>
      <c r="N357" t="s">
        <v>421</v>
      </c>
    </row>
    <row r="358" spans="1:14" x14ac:dyDescent="0.3">
      <c r="A358" t="s">
        <v>1793</v>
      </c>
      <c r="B358" s="2">
        <v>46251</v>
      </c>
      <c r="C358" s="2">
        <v>46253</v>
      </c>
      <c r="D358" s="1" t="s">
        <v>702</v>
      </c>
      <c r="E358" t="s">
        <v>703</v>
      </c>
      <c r="F358" t="s">
        <v>438</v>
      </c>
      <c r="G358">
        <v>157</v>
      </c>
      <c r="H358">
        <v>151</v>
      </c>
      <c r="I358">
        <v>144</v>
      </c>
      <c r="J358">
        <v>7</v>
      </c>
      <c r="K358" s="46">
        <f t="shared" si="10"/>
        <v>96.178343949044589</v>
      </c>
      <c r="L358" s="8">
        <f t="shared" si="11"/>
        <v>4.8611111111111116</v>
      </c>
      <c r="M358" t="s">
        <v>20</v>
      </c>
      <c r="N358" t="s">
        <v>421</v>
      </c>
    </row>
    <row r="359" spans="1:14" x14ac:dyDescent="0.3">
      <c r="A359" t="s">
        <v>1794</v>
      </c>
      <c r="B359" s="2">
        <v>46252</v>
      </c>
      <c r="C359" s="2">
        <v>46254</v>
      </c>
      <c r="D359" s="1" t="s">
        <v>702</v>
      </c>
      <c r="E359" t="s">
        <v>703</v>
      </c>
      <c r="F359" t="s">
        <v>438</v>
      </c>
      <c r="G359">
        <v>157</v>
      </c>
      <c r="H359">
        <v>148</v>
      </c>
      <c r="I359">
        <v>147</v>
      </c>
      <c r="J359">
        <v>1</v>
      </c>
      <c r="K359" s="46">
        <f t="shared" si="10"/>
        <v>94.267515923566876</v>
      </c>
      <c r="L359" s="8">
        <f t="shared" si="11"/>
        <v>0.68027210884353739</v>
      </c>
      <c r="M359" t="s">
        <v>20</v>
      </c>
      <c r="N359" t="s">
        <v>421</v>
      </c>
    </row>
    <row r="360" spans="1:14" x14ac:dyDescent="0.3">
      <c r="A360" t="s">
        <v>1373</v>
      </c>
      <c r="B360" s="2">
        <v>46239</v>
      </c>
      <c r="C360" s="2">
        <v>46240</v>
      </c>
      <c r="D360" s="1" t="s">
        <v>710</v>
      </c>
      <c r="E360" t="s">
        <v>711</v>
      </c>
      <c r="F360" t="s">
        <v>438</v>
      </c>
      <c r="G360">
        <v>4920</v>
      </c>
      <c r="H360">
        <v>6448</v>
      </c>
      <c r="I360">
        <v>6320</v>
      </c>
      <c r="J360">
        <v>128</v>
      </c>
      <c r="K360" s="46">
        <f t="shared" si="10"/>
        <v>131.0569105691057</v>
      </c>
      <c r="L360" s="8">
        <f t="shared" si="11"/>
        <v>2.0253164556962027</v>
      </c>
      <c r="M360" t="s">
        <v>20</v>
      </c>
      <c r="N360" t="s">
        <v>421</v>
      </c>
    </row>
    <row r="361" spans="1:14" x14ac:dyDescent="0.3">
      <c r="A361" t="s">
        <v>1795</v>
      </c>
      <c r="B361" s="2">
        <v>46240</v>
      </c>
      <c r="C361" s="2">
        <v>46241</v>
      </c>
      <c r="D361" s="1" t="s">
        <v>710</v>
      </c>
      <c r="E361" t="s">
        <v>711</v>
      </c>
      <c r="F361" t="s">
        <v>438</v>
      </c>
      <c r="G361">
        <v>8200</v>
      </c>
      <c r="H361">
        <v>8164</v>
      </c>
      <c r="I361">
        <v>7840</v>
      </c>
      <c r="J361">
        <v>324</v>
      </c>
      <c r="K361" s="46">
        <f t="shared" si="10"/>
        <v>99.560975609756099</v>
      </c>
      <c r="L361" s="8">
        <f t="shared" si="11"/>
        <v>4.1326530612244898</v>
      </c>
      <c r="M361" t="s">
        <v>20</v>
      </c>
      <c r="N361" t="s">
        <v>421</v>
      </c>
    </row>
    <row r="362" spans="1:14" x14ac:dyDescent="0.3">
      <c r="A362" t="s">
        <v>1796</v>
      </c>
      <c r="B362" s="2">
        <v>46244</v>
      </c>
      <c r="C362" s="2">
        <v>46245</v>
      </c>
      <c r="D362" s="1" t="s">
        <v>710</v>
      </c>
      <c r="E362" t="s">
        <v>711</v>
      </c>
      <c r="F362" t="s">
        <v>438</v>
      </c>
      <c r="G362">
        <v>4920</v>
      </c>
      <c r="H362">
        <v>4620</v>
      </c>
      <c r="I362">
        <v>4512</v>
      </c>
      <c r="J362">
        <v>108</v>
      </c>
      <c r="K362" s="46">
        <f t="shared" si="10"/>
        <v>93.902439024390233</v>
      </c>
      <c r="L362" s="8">
        <f t="shared" si="11"/>
        <v>2.3936170212765959</v>
      </c>
      <c r="M362" t="s">
        <v>20</v>
      </c>
      <c r="N362" t="s">
        <v>421</v>
      </c>
    </row>
    <row r="363" spans="1:14" x14ac:dyDescent="0.3">
      <c r="A363" t="s">
        <v>1797</v>
      </c>
      <c r="B363" s="2">
        <v>46245</v>
      </c>
      <c r="C363" s="2">
        <v>46246</v>
      </c>
      <c r="D363" s="1" t="s">
        <v>710</v>
      </c>
      <c r="E363" t="s">
        <v>711</v>
      </c>
      <c r="F363" t="s">
        <v>438</v>
      </c>
      <c r="G363">
        <v>8200</v>
      </c>
      <c r="H363">
        <v>8220</v>
      </c>
      <c r="I363">
        <v>7936</v>
      </c>
      <c r="J363">
        <v>284</v>
      </c>
      <c r="K363" s="46">
        <f t="shared" si="10"/>
        <v>100.2439024390244</v>
      </c>
      <c r="L363" s="8">
        <f t="shared" si="11"/>
        <v>3.5786290322580649</v>
      </c>
      <c r="M363" t="s">
        <v>20</v>
      </c>
      <c r="N363" t="s">
        <v>421</v>
      </c>
    </row>
    <row r="364" spans="1:14" x14ac:dyDescent="0.3">
      <c r="A364" t="s">
        <v>1798</v>
      </c>
      <c r="B364" s="2">
        <v>46246</v>
      </c>
      <c r="C364" s="2">
        <v>46247</v>
      </c>
      <c r="D364" s="1" t="s">
        <v>710</v>
      </c>
      <c r="E364" t="s">
        <v>711</v>
      </c>
      <c r="F364" t="s">
        <v>438</v>
      </c>
      <c r="G364">
        <v>4920</v>
      </c>
      <c r="H364">
        <v>4688</v>
      </c>
      <c r="I364">
        <v>4608</v>
      </c>
      <c r="J364">
        <v>80</v>
      </c>
      <c r="K364" s="46">
        <f t="shared" si="10"/>
        <v>95.284552845528452</v>
      </c>
      <c r="L364" s="8">
        <f t="shared" si="11"/>
        <v>1.7361111111111112</v>
      </c>
      <c r="M364" t="s">
        <v>20</v>
      </c>
      <c r="N364" t="s">
        <v>421</v>
      </c>
    </row>
    <row r="365" spans="1:14" x14ac:dyDescent="0.3">
      <c r="A365" t="s">
        <v>1799</v>
      </c>
      <c r="B365" s="2">
        <v>46247</v>
      </c>
      <c r="C365" s="2">
        <v>46248</v>
      </c>
      <c r="D365" s="1" t="s">
        <v>710</v>
      </c>
      <c r="E365" t="s">
        <v>711</v>
      </c>
      <c r="F365" t="s">
        <v>438</v>
      </c>
      <c r="G365">
        <v>6560</v>
      </c>
      <c r="H365">
        <v>6300</v>
      </c>
      <c r="I365">
        <v>5960</v>
      </c>
      <c r="J365">
        <v>340</v>
      </c>
      <c r="K365" s="46">
        <f t="shared" si="10"/>
        <v>96.036585365853654</v>
      </c>
      <c r="L365" s="8">
        <f t="shared" si="11"/>
        <v>5.7046979865771812</v>
      </c>
      <c r="M365" t="s">
        <v>20</v>
      </c>
      <c r="N365" t="s">
        <v>421</v>
      </c>
    </row>
    <row r="366" spans="1:14" x14ac:dyDescent="0.3">
      <c r="A366" t="s">
        <v>1800</v>
      </c>
      <c r="B366" s="2">
        <v>46247</v>
      </c>
      <c r="C366" s="2">
        <v>46248</v>
      </c>
      <c r="D366" s="1" t="s">
        <v>710</v>
      </c>
      <c r="E366" t="s">
        <v>711</v>
      </c>
      <c r="F366" t="s">
        <v>438</v>
      </c>
      <c r="G366">
        <v>1640</v>
      </c>
      <c r="H366">
        <v>1640</v>
      </c>
      <c r="I366">
        <v>1640</v>
      </c>
      <c r="J366">
        <v>0</v>
      </c>
      <c r="K366" s="46">
        <f t="shared" si="10"/>
        <v>100</v>
      </c>
      <c r="L366" s="8">
        <f t="shared" si="11"/>
        <v>0</v>
      </c>
      <c r="M366" t="s">
        <v>20</v>
      </c>
      <c r="N366" t="s">
        <v>421</v>
      </c>
    </row>
    <row r="367" spans="1:14" x14ac:dyDescent="0.3">
      <c r="A367" t="s">
        <v>1801</v>
      </c>
      <c r="B367" s="2">
        <v>46248</v>
      </c>
      <c r="C367" s="2">
        <v>46251</v>
      </c>
      <c r="D367" s="1" t="s">
        <v>710</v>
      </c>
      <c r="E367" t="s">
        <v>711</v>
      </c>
      <c r="F367" t="s">
        <v>438</v>
      </c>
      <c r="G367">
        <v>3280</v>
      </c>
      <c r="H367">
        <v>3376</v>
      </c>
      <c r="I367">
        <v>3296</v>
      </c>
      <c r="J367">
        <v>80</v>
      </c>
      <c r="K367" s="46">
        <f t="shared" si="10"/>
        <v>102.92682926829269</v>
      </c>
      <c r="L367" s="8">
        <f t="shared" si="11"/>
        <v>2.4271844660194173</v>
      </c>
      <c r="M367" t="s">
        <v>20</v>
      </c>
      <c r="N367" t="s">
        <v>421</v>
      </c>
    </row>
    <row r="368" spans="1:14" x14ac:dyDescent="0.3">
      <c r="A368" t="s">
        <v>1802</v>
      </c>
      <c r="B368" s="2">
        <v>46252</v>
      </c>
      <c r="C368" s="2">
        <v>46254</v>
      </c>
      <c r="D368" s="1" t="s">
        <v>710</v>
      </c>
      <c r="E368" t="s">
        <v>711</v>
      </c>
      <c r="F368" t="s">
        <v>438</v>
      </c>
      <c r="G368">
        <v>8200</v>
      </c>
      <c r="H368">
        <v>8260</v>
      </c>
      <c r="I368">
        <v>8160</v>
      </c>
      <c r="J368">
        <v>100</v>
      </c>
      <c r="K368" s="46">
        <f t="shared" si="10"/>
        <v>100.73170731707317</v>
      </c>
      <c r="L368" s="8">
        <f t="shared" si="11"/>
        <v>1.2254901960784315</v>
      </c>
      <c r="M368" t="s">
        <v>20</v>
      </c>
      <c r="N368" t="s">
        <v>421</v>
      </c>
    </row>
    <row r="369" spans="1:14" x14ac:dyDescent="0.3">
      <c r="A369" t="s">
        <v>1377</v>
      </c>
      <c r="B369" s="2">
        <v>46239</v>
      </c>
      <c r="C369" s="2">
        <v>46240</v>
      </c>
      <c r="D369" s="1" t="s">
        <v>722</v>
      </c>
      <c r="E369" t="s">
        <v>723</v>
      </c>
      <c r="F369" t="s">
        <v>438</v>
      </c>
      <c r="G369">
        <v>16320</v>
      </c>
      <c r="H369">
        <v>16224</v>
      </c>
      <c r="I369">
        <v>15960</v>
      </c>
      <c r="J369">
        <v>264</v>
      </c>
      <c r="K369" s="46">
        <f t="shared" si="10"/>
        <v>99.411764705882348</v>
      </c>
      <c r="L369" s="8">
        <f t="shared" si="11"/>
        <v>1.6541353383458646</v>
      </c>
      <c r="M369" t="s">
        <v>20</v>
      </c>
      <c r="N369" t="s">
        <v>421</v>
      </c>
    </row>
    <row r="370" spans="1:14" x14ac:dyDescent="0.3">
      <c r="A370" t="s">
        <v>1803</v>
      </c>
      <c r="B370" s="2">
        <v>46240</v>
      </c>
      <c r="C370" s="2">
        <v>46241</v>
      </c>
      <c r="D370" s="1" t="s">
        <v>722</v>
      </c>
      <c r="E370" t="s">
        <v>723</v>
      </c>
      <c r="F370" t="s">
        <v>438</v>
      </c>
      <c r="G370">
        <v>9792</v>
      </c>
      <c r="H370">
        <v>9684</v>
      </c>
      <c r="I370">
        <v>9360</v>
      </c>
      <c r="J370">
        <v>324</v>
      </c>
      <c r="K370" s="46">
        <f t="shared" si="10"/>
        <v>98.89705882352942</v>
      </c>
      <c r="L370" s="8">
        <f t="shared" si="11"/>
        <v>3.4615384615384617</v>
      </c>
      <c r="M370" t="s">
        <v>20</v>
      </c>
      <c r="N370" t="s">
        <v>421</v>
      </c>
    </row>
    <row r="371" spans="1:14" x14ac:dyDescent="0.3">
      <c r="A371" t="s">
        <v>1804</v>
      </c>
      <c r="B371" s="2">
        <v>46244</v>
      </c>
      <c r="C371" s="2">
        <v>46246</v>
      </c>
      <c r="D371" s="1" t="s">
        <v>722</v>
      </c>
      <c r="E371" t="s">
        <v>723</v>
      </c>
      <c r="F371" t="s">
        <v>438</v>
      </c>
      <c r="G371">
        <v>19584</v>
      </c>
      <c r="H371">
        <v>19728</v>
      </c>
      <c r="I371">
        <v>19500</v>
      </c>
      <c r="J371">
        <v>228</v>
      </c>
      <c r="K371" s="46">
        <f t="shared" si="10"/>
        <v>100.73529411764706</v>
      </c>
      <c r="L371" s="8">
        <f t="shared" si="11"/>
        <v>1.1692307692307693</v>
      </c>
      <c r="M371" t="s">
        <v>20</v>
      </c>
      <c r="N371" t="s">
        <v>421</v>
      </c>
    </row>
    <row r="372" spans="1:14" x14ac:dyDescent="0.3">
      <c r="A372" t="s">
        <v>1805</v>
      </c>
      <c r="B372" s="2">
        <v>46245</v>
      </c>
      <c r="C372" s="2">
        <v>46247</v>
      </c>
      <c r="D372" s="1" t="s">
        <v>722</v>
      </c>
      <c r="E372" t="s">
        <v>723</v>
      </c>
      <c r="F372" t="s">
        <v>438</v>
      </c>
      <c r="G372">
        <v>9792</v>
      </c>
      <c r="H372">
        <v>9601</v>
      </c>
      <c r="I372">
        <v>9157</v>
      </c>
      <c r="J372">
        <v>444</v>
      </c>
      <c r="K372" s="46">
        <f t="shared" si="10"/>
        <v>98.049428104575171</v>
      </c>
      <c r="L372" s="8">
        <f t="shared" si="11"/>
        <v>4.8487495904772304</v>
      </c>
      <c r="M372" t="s">
        <v>20</v>
      </c>
      <c r="N372" t="s">
        <v>421</v>
      </c>
    </row>
    <row r="373" spans="1:14" x14ac:dyDescent="0.3">
      <c r="A373" t="s">
        <v>1806</v>
      </c>
      <c r="B373" s="2">
        <v>46246</v>
      </c>
      <c r="C373" s="2">
        <v>46248</v>
      </c>
      <c r="D373" s="1" t="s">
        <v>722</v>
      </c>
      <c r="E373" t="s">
        <v>723</v>
      </c>
      <c r="F373" t="s">
        <v>438</v>
      </c>
      <c r="G373">
        <v>13056</v>
      </c>
      <c r="H373">
        <v>14945</v>
      </c>
      <c r="I373">
        <v>14573</v>
      </c>
      <c r="J373">
        <v>372</v>
      </c>
      <c r="K373" s="46">
        <f t="shared" si="10"/>
        <v>114.46844362745099</v>
      </c>
      <c r="L373" s="8">
        <f t="shared" si="11"/>
        <v>2.5526658889727578</v>
      </c>
      <c r="M373" t="s">
        <v>20</v>
      </c>
      <c r="N373" t="s">
        <v>421</v>
      </c>
    </row>
    <row r="374" spans="1:14" x14ac:dyDescent="0.3">
      <c r="A374" t="s">
        <v>1807</v>
      </c>
      <c r="B374" s="2">
        <v>46247</v>
      </c>
      <c r="C374" s="2">
        <v>46251</v>
      </c>
      <c r="D374" s="1" t="s">
        <v>722</v>
      </c>
      <c r="E374" t="s">
        <v>723</v>
      </c>
      <c r="F374" t="s">
        <v>438</v>
      </c>
      <c r="G374">
        <v>9792</v>
      </c>
      <c r="H374">
        <v>8880</v>
      </c>
      <c r="I374">
        <v>8610</v>
      </c>
      <c r="J374">
        <v>270</v>
      </c>
      <c r="K374" s="46">
        <f t="shared" ref="K374:K437" si="12">(H374/G374)*100</f>
        <v>90.686274509803923</v>
      </c>
      <c r="L374" s="8">
        <f t="shared" si="11"/>
        <v>3.1358885017421603</v>
      </c>
      <c r="M374" t="s">
        <v>20</v>
      </c>
      <c r="N374" t="s">
        <v>421</v>
      </c>
    </row>
    <row r="375" spans="1:14" x14ac:dyDescent="0.3">
      <c r="A375" t="s">
        <v>1808</v>
      </c>
      <c r="B375" s="2">
        <v>46248</v>
      </c>
      <c r="C375" s="2">
        <v>46251</v>
      </c>
      <c r="D375" s="1" t="s">
        <v>722</v>
      </c>
      <c r="E375" t="s">
        <v>723</v>
      </c>
      <c r="F375" t="s">
        <v>438</v>
      </c>
      <c r="G375">
        <v>6528</v>
      </c>
      <c r="H375">
        <v>4398</v>
      </c>
      <c r="I375">
        <v>4230</v>
      </c>
      <c r="J375">
        <v>168</v>
      </c>
      <c r="K375" s="46">
        <f t="shared" si="12"/>
        <v>67.371323529411768</v>
      </c>
      <c r="L375" s="8">
        <f t="shared" ref="L375:L438" si="13">((H375-I375)/I375)*100</f>
        <v>3.9716312056737593</v>
      </c>
      <c r="M375" t="s">
        <v>20</v>
      </c>
      <c r="N375" t="s">
        <v>421</v>
      </c>
    </row>
    <row r="376" spans="1:14" x14ac:dyDescent="0.3">
      <c r="A376" t="s">
        <v>1809</v>
      </c>
      <c r="B376" s="2">
        <v>46252</v>
      </c>
      <c r="C376" s="2">
        <v>46254</v>
      </c>
      <c r="D376" s="1" t="s">
        <v>722</v>
      </c>
      <c r="E376" t="s">
        <v>723</v>
      </c>
      <c r="F376" t="s">
        <v>438</v>
      </c>
      <c r="G376">
        <v>6528</v>
      </c>
      <c r="H376">
        <v>6978</v>
      </c>
      <c r="I376">
        <v>6930</v>
      </c>
      <c r="J376">
        <v>48</v>
      </c>
      <c r="K376" s="46">
        <f t="shared" si="12"/>
        <v>106.89338235294117</v>
      </c>
      <c r="L376" s="8">
        <f t="shared" si="13"/>
        <v>0.69264069264069261</v>
      </c>
      <c r="M376" t="s">
        <v>20</v>
      </c>
      <c r="N376" t="s">
        <v>421</v>
      </c>
    </row>
    <row r="377" spans="1:14" x14ac:dyDescent="0.3">
      <c r="A377" t="s">
        <v>1810</v>
      </c>
      <c r="B377" s="2">
        <v>46244</v>
      </c>
      <c r="C377" s="2">
        <v>46248</v>
      </c>
      <c r="D377" s="1" t="s">
        <v>1811</v>
      </c>
      <c r="E377" t="s">
        <v>1812</v>
      </c>
      <c r="F377" t="s">
        <v>420</v>
      </c>
      <c r="G377">
        <v>150</v>
      </c>
      <c r="H377">
        <v>150</v>
      </c>
      <c r="I377">
        <v>150</v>
      </c>
      <c r="J377">
        <v>0</v>
      </c>
      <c r="K377" s="46">
        <f t="shared" si="12"/>
        <v>100</v>
      </c>
      <c r="L377" s="8">
        <f t="shared" si="13"/>
        <v>0</v>
      </c>
      <c r="M377" t="s">
        <v>20</v>
      </c>
      <c r="N377" t="s">
        <v>421</v>
      </c>
    </row>
    <row r="378" spans="1:14" x14ac:dyDescent="0.3">
      <c r="A378" t="s">
        <v>1813</v>
      </c>
      <c r="B378" s="2">
        <v>46248</v>
      </c>
      <c r="C378" s="2">
        <v>46251</v>
      </c>
      <c r="D378" s="1" t="s">
        <v>735</v>
      </c>
      <c r="E378" t="s">
        <v>736</v>
      </c>
      <c r="F378" t="s">
        <v>420</v>
      </c>
      <c r="G378">
        <v>300</v>
      </c>
      <c r="H378">
        <v>300</v>
      </c>
      <c r="I378">
        <v>300</v>
      </c>
      <c r="J378">
        <v>0</v>
      </c>
      <c r="K378" s="46">
        <f t="shared" si="12"/>
        <v>100</v>
      </c>
      <c r="L378" s="8">
        <f t="shared" si="13"/>
        <v>0</v>
      </c>
      <c r="M378" t="s">
        <v>20</v>
      </c>
      <c r="N378" t="s">
        <v>421</v>
      </c>
    </row>
    <row r="379" spans="1:14" x14ac:dyDescent="0.3">
      <c r="A379" t="s">
        <v>1378</v>
      </c>
      <c r="B379" s="2">
        <v>46239</v>
      </c>
      <c r="C379" s="2">
        <v>46240</v>
      </c>
      <c r="D379" s="1" t="s">
        <v>741</v>
      </c>
      <c r="E379" t="s">
        <v>742</v>
      </c>
      <c r="F379" t="s">
        <v>438</v>
      </c>
      <c r="G379">
        <v>127</v>
      </c>
      <c r="H379">
        <v>130</v>
      </c>
      <c r="I379">
        <v>129</v>
      </c>
      <c r="J379">
        <v>1</v>
      </c>
      <c r="K379" s="46">
        <f t="shared" si="12"/>
        <v>102.36220472440945</v>
      </c>
      <c r="L379" s="8">
        <f t="shared" si="13"/>
        <v>0.77519379844961245</v>
      </c>
      <c r="M379" t="s">
        <v>20</v>
      </c>
      <c r="N379" t="s">
        <v>421</v>
      </c>
    </row>
    <row r="380" spans="1:14" x14ac:dyDescent="0.3">
      <c r="A380" t="s">
        <v>1814</v>
      </c>
      <c r="B380" s="2">
        <v>46241</v>
      </c>
      <c r="C380" s="2">
        <v>46244</v>
      </c>
      <c r="D380" s="1" t="s">
        <v>741</v>
      </c>
      <c r="E380" t="s">
        <v>742</v>
      </c>
      <c r="F380" t="s">
        <v>438</v>
      </c>
      <c r="G380">
        <v>127</v>
      </c>
      <c r="H380">
        <v>136</v>
      </c>
      <c r="I380">
        <v>135</v>
      </c>
      <c r="J380">
        <v>1</v>
      </c>
      <c r="K380" s="46">
        <f t="shared" si="12"/>
        <v>107.08661417322836</v>
      </c>
      <c r="L380" s="8">
        <f t="shared" si="13"/>
        <v>0.74074074074074081</v>
      </c>
      <c r="M380" t="s">
        <v>20</v>
      </c>
      <c r="N380" t="s">
        <v>421</v>
      </c>
    </row>
    <row r="381" spans="1:14" x14ac:dyDescent="0.3">
      <c r="A381" t="s">
        <v>1815</v>
      </c>
      <c r="B381" s="2">
        <v>46244</v>
      </c>
      <c r="C381" s="2">
        <v>46245</v>
      </c>
      <c r="D381" s="1" t="s">
        <v>741</v>
      </c>
      <c r="E381" t="s">
        <v>742</v>
      </c>
      <c r="F381" t="s">
        <v>438</v>
      </c>
      <c r="G381">
        <v>127</v>
      </c>
      <c r="H381">
        <v>133</v>
      </c>
      <c r="I381">
        <v>131</v>
      </c>
      <c r="J381">
        <v>2</v>
      </c>
      <c r="K381" s="46">
        <f t="shared" si="12"/>
        <v>104.72440944881889</v>
      </c>
      <c r="L381" s="8">
        <f t="shared" si="13"/>
        <v>1.5267175572519083</v>
      </c>
      <c r="M381" t="s">
        <v>20</v>
      </c>
      <c r="N381" t="s">
        <v>421</v>
      </c>
    </row>
    <row r="382" spans="1:14" x14ac:dyDescent="0.3">
      <c r="A382" t="s">
        <v>1816</v>
      </c>
      <c r="B382" s="2">
        <v>46246</v>
      </c>
      <c r="C382" s="2">
        <v>46247</v>
      </c>
      <c r="D382" s="1" t="s">
        <v>741</v>
      </c>
      <c r="E382" t="s">
        <v>742</v>
      </c>
      <c r="F382" t="s">
        <v>438</v>
      </c>
      <c r="G382">
        <v>127</v>
      </c>
      <c r="H382">
        <v>132</v>
      </c>
      <c r="I382">
        <v>131</v>
      </c>
      <c r="J382">
        <v>1</v>
      </c>
      <c r="K382" s="46">
        <f t="shared" si="12"/>
        <v>103.93700787401573</v>
      </c>
      <c r="L382" s="8">
        <f t="shared" si="13"/>
        <v>0.76335877862595414</v>
      </c>
      <c r="M382" t="s">
        <v>20</v>
      </c>
      <c r="N382" t="s">
        <v>421</v>
      </c>
    </row>
    <row r="383" spans="1:14" x14ac:dyDescent="0.3">
      <c r="A383" t="s">
        <v>1379</v>
      </c>
      <c r="B383" s="2">
        <v>46239</v>
      </c>
      <c r="C383" s="2">
        <v>46240</v>
      </c>
      <c r="D383" s="1" t="s">
        <v>747</v>
      </c>
      <c r="E383" t="s">
        <v>748</v>
      </c>
      <c r="F383" t="s">
        <v>438</v>
      </c>
      <c r="G383">
        <v>70</v>
      </c>
      <c r="H383">
        <v>69</v>
      </c>
      <c r="I383">
        <v>68</v>
      </c>
      <c r="J383">
        <v>1</v>
      </c>
      <c r="K383" s="46">
        <f t="shared" si="12"/>
        <v>98.571428571428584</v>
      </c>
      <c r="L383" s="8">
        <f t="shared" si="13"/>
        <v>1.4705882352941175</v>
      </c>
      <c r="M383" t="s">
        <v>20</v>
      </c>
      <c r="N383" t="s">
        <v>421</v>
      </c>
    </row>
    <row r="384" spans="1:14" x14ac:dyDescent="0.3">
      <c r="A384" t="s">
        <v>1384</v>
      </c>
      <c r="B384" s="2">
        <v>46239</v>
      </c>
      <c r="C384" s="2">
        <v>46240</v>
      </c>
      <c r="D384" s="1" t="s">
        <v>754</v>
      </c>
      <c r="E384" t="s">
        <v>755</v>
      </c>
      <c r="F384" t="s">
        <v>438</v>
      </c>
      <c r="G384">
        <v>429</v>
      </c>
      <c r="H384">
        <v>429</v>
      </c>
      <c r="I384">
        <v>421</v>
      </c>
      <c r="J384">
        <v>8</v>
      </c>
      <c r="K384" s="46">
        <f t="shared" si="12"/>
        <v>100</v>
      </c>
      <c r="L384" s="8">
        <f t="shared" si="13"/>
        <v>1.9002375296912115</v>
      </c>
      <c r="M384" t="s">
        <v>20</v>
      </c>
      <c r="N384" t="s">
        <v>421</v>
      </c>
    </row>
    <row r="385" spans="1:14" x14ac:dyDescent="0.3">
      <c r="A385" t="s">
        <v>1817</v>
      </c>
      <c r="B385" s="2">
        <v>46247</v>
      </c>
      <c r="C385" s="2">
        <v>46248</v>
      </c>
      <c r="D385" s="1" t="s">
        <v>754</v>
      </c>
      <c r="E385" t="s">
        <v>755</v>
      </c>
      <c r="F385" t="s">
        <v>438</v>
      </c>
      <c r="G385">
        <v>429</v>
      </c>
      <c r="H385">
        <v>425</v>
      </c>
      <c r="I385">
        <v>401</v>
      </c>
      <c r="J385">
        <v>24</v>
      </c>
      <c r="K385" s="46">
        <f t="shared" si="12"/>
        <v>99.067599067599062</v>
      </c>
      <c r="L385" s="8">
        <f t="shared" si="13"/>
        <v>5.9850374064837908</v>
      </c>
      <c r="M385" t="s">
        <v>20</v>
      </c>
      <c r="N385" t="s">
        <v>421</v>
      </c>
    </row>
    <row r="386" spans="1:14" x14ac:dyDescent="0.3">
      <c r="A386" t="s">
        <v>1388</v>
      </c>
      <c r="B386" s="2">
        <v>46239</v>
      </c>
      <c r="C386" s="2">
        <v>46240</v>
      </c>
      <c r="D386" s="1" t="s">
        <v>773</v>
      </c>
      <c r="E386" t="s">
        <v>774</v>
      </c>
      <c r="F386" t="s">
        <v>420</v>
      </c>
      <c r="G386">
        <v>880</v>
      </c>
      <c r="H386">
        <v>880</v>
      </c>
      <c r="I386">
        <v>880</v>
      </c>
      <c r="J386">
        <v>0</v>
      </c>
      <c r="K386" s="46">
        <f t="shared" si="12"/>
        <v>100</v>
      </c>
      <c r="L386" s="8">
        <f t="shared" si="13"/>
        <v>0</v>
      </c>
      <c r="M386" t="s">
        <v>20</v>
      </c>
      <c r="N386" t="s">
        <v>421</v>
      </c>
    </row>
    <row r="387" spans="1:14" x14ac:dyDescent="0.3">
      <c r="A387" t="s">
        <v>1818</v>
      </c>
      <c r="B387" s="2">
        <v>46240</v>
      </c>
      <c r="C387" s="2">
        <v>46240</v>
      </c>
      <c r="D387" s="1" t="s">
        <v>773</v>
      </c>
      <c r="E387" t="s">
        <v>774</v>
      </c>
      <c r="F387" t="s">
        <v>420</v>
      </c>
      <c r="G387">
        <v>820</v>
      </c>
      <c r="H387">
        <v>820</v>
      </c>
      <c r="I387">
        <v>820</v>
      </c>
      <c r="J387">
        <v>0</v>
      </c>
      <c r="K387" s="46">
        <f t="shared" si="12"/>
        <v>100</v>
      </c>
      <c r="L387" s="8">
        <f t="shared" si="13"/>
        <v>0</v>
      </c>
      <c r="M387" t="s">
        <v>20</v>
      </c>
      <c r="N387" t="s">
        <v>421</v>
      </c>
    </row>
    <row r="388" spans="1:14" x14ac:dyDescent="0.3">
      <c r="A388" t="s">
        <v>1819</v>
      </c>
      <c r="B388" s="2">
        <v>46241</v>
      </c>
      <c r="C388" s="2">
        <v>46244</v>
      </c>
      <c r="D388" s="1" t="s">
        <v>773</v>
      </c>
      <c r="E388" t="s">
        <v>774</v>
      </c>
      <c r="F388" t="s">
        <v>420</v>
      </c>
      <c r="G388">
        <v>931</v>
      </c>
      <c r="H388">
        <v>931</v>
      </c>
      <c r="I388">
        <v>931</v>
      </c>
      <c r="J388">
        <v>0</v>
      </c>
      <c r="K388" s="46">
        <f t="shared" si="12"/>
        <v>100</v>
      </c>
      <c r="L388" s="8">
        <f t="shared" si="13"/>
        <v>0</v>
      </c>
      <c r="M388" t="s">
        <v>20</v>
      </c>
      <c r="N388" t="s">
        <v>421</v>
      </c>
    </row>
    <row r="389" spans="1:14" x14ac:dyDescent="0.3">
      <c r="A389" t="s">
        <v>1820</v>
      </c>
      <c r="B389" s="2">
        <v>46244</v>
      </c>
      <c r="C389" s="2">
        <v>46245</v>
      </c>
      <c r="D389" s="1" t="s">
        <v>773</v>
      </c>
      <c r="E389" t="s">
        <v>774</v>
      </c>
      <c r="F389" t="s">
        <v>420</v>
      </c>
      <c r="G389">
        <v>920</v>
      </c>
      <c r="H389">
        <v>920</v>
      </c>
      <c r="I389">
        <v>920</v>
      </c>
      <c r="J389">
        <v>0</v>
      </c>
      <c r="K389" s="46">
        <f t="shared" si="12"/>
        <v>100</v>
      </c>
      <c r="L389" s="8">
        <f t="shared" si="13"/>
        <v>0</v>
      </c>
      <c r="M389" t="s">
        <v>20</v>
      </c>
      <c r="N389" t="s">
        <v>421</v>
      </c>
    </row>
    <row r="390" spans="1:14" x14ac:dyDescent="0.3">
      <c r="A390" t="s">
        <v>1821</v>
      </c>
      <c r="B390" s="2">
        <v>46245</v>
      </c>
      <c r="C390" s="2">
        <v>46246</v>
      </c>
      <c r="D390" s="1" t="s">
        <v>773</v>
      </c>
      <c r="E390" t="s">
        <v>774</v>
      </c>
      <c r="F390" t="s">
        <v>420</v>
      </c>
      <c r="G390">
        <v>560</v>
      </c>
      <c r="H390">
        <v>560</v>
      </c>
      <c r="I390">
        <v>560</v>
      </c>
      <c r="J390">
        <v>0</v>
      </c>
      <c r="K390" s="46">
        <f t="shared" si="12"/>
        <v>100</v>
      </c>
      <c r="L390" s="8">
        <f t="shared" si="13"/>
        <v>0</v>
      </c>
      <c r="M390" t="s">
        <v>20</v>
      </c>
      <c r="N390" t="s">
        <v>421</v>
      </c>
    </row>
    <row r="391" spans="1:14" x14ac:dyDescent="0.3">
      <c r="A391" t="s">
        <v>1822</v>
      </c>
      <c r="B391" s="2">
        <v>46246</v>
      </c>
      <c r="C391" s="2">
        <v>46247</v>
      </c>
      <c r="D391" s="1" t="s">
        <v>773</v>
      </c>
      <c r="E391" t="s">
        <v>774</v>
      </c>
      <c r="F391" t="s">
        <v>420</v>
      </c>
      <c r="G391">
        <v>940</v>
      </c>
      <c r="H391">
        <v>940</v>
      </c>
      <c r="I391">
        <v>940</v>
      </c>
      <c r="J391">
        <v>0</v>
      </c>
      <c r="K391" s="46">
        <f t="shared" si="12"/>
        <v>100</v>
      </c>
      <c r="L391" s="8">
        <f t="shared" si="13"/>
        <v>0</v>
      </c>
      <c r="M391" t="s">
        <v>20</v>
      </c>
      <c r="N391" t="s">
        <v>421</v>
      </c>
    </row>
    <row r="392" spans="1:14" x14ac:dyDescent="0.3">
      <c r="A392" t="s">
        <v>1823</v>
      </c>
      <c r="B392" s="2">
        <v>46247</v>
      </c>
      <c r="C392" s="2">
        <v>46248</v>
      </c>
      <c r="D392" s="1" t="s">
        <v>773</v>
      </c>
      <c r="E392" t="s">
        <v>774</v>
      </c>
      <c r="F392" t="s">
        <v>420</v>
      </c>
      <c r="G392">
        <v>850</v>
      </c>
      <c r="H392">
        <v>850</v>
      </c>
      <c r="I392">
        <v>850</v>
      </c>
      <c r="J392">
        <v>0</v>
      </c>
      <c r="K392" s="46">
        <f t="shared" si="12"/>
        <v>100</v>
      </c>
      <c r="L392" s="8">
        <f t="shared" si="13"/>
        <v>0</v>
      </c>
      <c r="M392" t="s">
        <v>20</v>
      </c>
      <c r="N392" t="s">
        <v>421</v>
      </c>
    </row>
    <row r="393" spans="1:14" x14ac:dyDescent="0.3">
      <c r="A393" t="s">
        <v>1824</v>
      </c>
      <c r="B393" s="2">
        <v>46248</v>
      </c>
      <c r="C393" s="2">
        <v>46248</v>
      </c>
      <c r="D393" s="1" t="s">
        <v>773</v>
      </c>
      <c r="E393" t="s">
        <v>774</v>
      </c>
      <c r="F393" t="s">
        <v>420</v>
      </c>
      <c r="G393">
        <v>880</v>
      </c>
      <c r="H393">
        <v>880</v>
      </c>
      <c r="I393">
        <v>880</v>
      </c>
      <c r="J393">
        <v>0</v>
      </c>
      <c r="K393" s="46">
        <f t="shared" si="12"/>
        <v>100</v>
      </c>
      <c r="L393" s="8">
        <f t="shared" si="13"/>
        <v>0</v>
      </c>
      <c r="M393" t="s">
        <v>20</v>
      </c>
      <c r="N393" t="s">
        <v>421</v>
      </c>
    </row>
    <row r="394" spans="1:14" x14ac:dyDescent="0.3">
      <c r="A394" t="s">
        <v>1825</v>
      </c>
      <c r="B394" s="2">
        <v>46251</v>
      </c>
      <c r="C394" s="2">
        <v>46251</v>
      </c>
      <c r="D394" s="1" t="s">
        <v>773</v>
      </c>
      <c r="E394" t="s">
        <v>774</v>
      </c>
      <c r="F394" t="s">
        <v>420</v>
      </c>
      <c r="G394">
        <v>860</v>
      </c>
      <c r="H394">
        <v>860</v>
      </c>
      <c r="I394">
        <v>860</v>
      </c>
      <c r="J394">
        <v>0</v>
      </c>
      <c r="K394" s="46">
        <f t="shared" si="12"/>
        <v>100</v>
      </c>
      <c r="L394" s="8">
        <f t="shared" si="13"/>
        <v>0</v>
      </c>
      <c r="M394" t="s">
        <v>20</v>
      </c>
      <c r="N394" t="s">
        <v>421</v>
      </c>
    </row>
    <row r="395" spans="1:14" x14ac:dyDescent="0.3">
      <c r="A395" t="s">
        <v>1826</v>
      </c>
      <c r="B395" s="2">
        <v>46252</v>
      </c>
      <c r="C395" s="2">
        <v>46254</v>
      </c>
      <c r="D395" s="1" t="s">
        <v>773</v>
      </c>
      <c r="E395" t="s">
        <v>774</v>
      </c>
      <c r="F395" t="s">
        <v>420</v>
      </c>
      <c r="G395">
        <v>780</v>
      </c>
      <c r="H395">
        <v>780</v>
      </c>
      <c r="I395">
        <v>780</v>
      </c>
      <c r="J395">
        <v>0</v>
      </c>
      <c r="K395" s="46">
        <f t="shared" si="12"/>
        <v>100</v>
      </c>
      <c r="L395" s="8">
        <f t="shared" si="13"/>
        <v>0</v>
      </c>
      <c r="M395" t="s">
        <v>20</v>
      </c>
      <c r="N395" t="s">
        <v>421</v>
      </c>
    </row>
    <row r="396" spans="1:14" x14ac:dyDescent="0.3">
      <c r="A396" t="s">
        <v>1392</v>
      </c>
      <c r="B396" s="2">
        <v>46239</v>
      </c>
      <c r="C396" s="2">
        <v>46240</v>
      </c>
      <c r="D396" s="1" t="s">
        <v>788</v>
      </c>
      <c r="E396" t="s">
        <v>789</v>
      </c>
      <c r="F396" t="s">
        <v>420</v>
      </c>
      <c r="G396">
        <v>390</v>
      </c>
      <c r="H396">
        <v>390</v>
      </c>
      <c r="I396">
        <v>390</v>
      </c>
      <c r="J396">
        <v>0</v>
      </c>
      <c r="K396" s="46">
        <f t="shared" si="12"/>
        <v>100</v>
      </c>
      <c r="L396" s="8">
        <f t="shared" si="13"/>
        <v>0</v>
      </c>
      <c r="M396" t="s">
        <v>20</v>
      </c>
      <c r="N396" t="s">
        <v>421</v>
      </c>
    </row>
    <row r="397" spans="1:14" x14ac:dyDescent="0.3">
      <c r="A397" t="s">
        <v>1827</v>
      </c>
      <c r="B397" s="2">
        <v>46240</v>
      </c>
      <c r="C397" s="2">
        <v>46240</v>
      </c>
      <c r="D397" s="1" t="s">
        <v>788</v>
      </c>
      <c r="E397" t="s">
        <v>789</v>
      </c>
      <c r="F397" t="s">
        <v>420</v>
      </c>
      <c r="G397">
        <v>580</v>
      </c>
      <c r="H397">
        <v>580</v>
      </c>
      <c r="I397">
        <v>580</v>
      </c>
      <c r="J397">
        <v>0</v>
      </c>
      <c r="K397" s="46">
        <f t="shared" si="12"/>
        <v>100</v>
      </c>
      <c r="L397" s="8">
        <f t="shared" si="13"/>
        <v>0</v>
      </c>
      <c r="M397" t="s">
        <v>20</v>
      </c>
      <c r="N397" t="s">
        <v>421</v>
      </c>
    </row>
    <row r="398" spans="1:14" x14ac:dyDescent="0.3">
      <c r="A398" t="s">
        <v>1828</v>
      </c>
      <c r="B398" s="2">
        <v>46244</v>
      </c>
      <c r="C398" s="2">
        <v>46245</v>
      </c>
      <c r="D398" s="1" t="s">
        <v>788</v>
      </c>
      <c r="E398" t="s">
        <v>789</v>
      </c>
      <c r="F398" t="s">
        <v>420</v>
      </c>
      <c r="G398">
        <v>590</v>
      </c>
      <c r="H398">
        <v>590</v>
      </c>
      <c r="I398">
        <v>590</v>
      </c>
      <c r="J398">
        <v>0</v>
      </c>
      <c r="K398" s="46">
        <f t="shared" si="12"/>
        <v>100</v>
      </c>
      <c r="L398" s="8">
        <f t="shared" si="13"/>
        <v>0</v>
      </c>
      <c r="M398" t="s">
        <v>20</v>
      </c>
      <c r="N398" t="s">
        <v>421</v>
      </c>
    </row>
    <row r="399" spans="1:14" x14ac:dyDescent="0.3">
      <c r="A399" t="s">
        <v>1829</v>
      </c>
      <c r="B399" s="2">
        <v>46245</v>
      </c>
      <c r="C399" s="2">
        <v>46246</v>
      </c>
      <c r="D399" s="1" t="s">
        <v>788</v>
      </c>
      <c r="E399" t="s">
        <v>789</v>
      </c>
      <c r="F399" t="s">
        <v>420</v>
      </c>
      <c r="G399">
        <v>530</v>
      </c>
      <c r="H399">
        <v>530</v>
      </c>
      <c r="I399">
        <v>530</v>
      </c>
      <c r="J399">
        <v>0</v>
      </c>
      <c r="K399" s="46">
        <f t="shared" si="12"/>
        <v>100</v>
      </c>
      <c r="L399" s="8">
        <f t="shared" si="13"/>
        <v>0</v>
      </c>
      <c r="M399" t="s">
        <v>20</v>
      </c>
      <c r="N399" t="s">
        <v>421</v>
      </c>
    </row>
    <row r="400" spans="1:14" x14ac:dyDescent="0.3">
      <c r="A400" t="s">
        <v>1830</v>
      </c>
      <c r="B400" s="2">
        <v>46246</v>
      </c>
      <c r="C400" s="2">
        <v>46247</v>
      </c>
      <c r="D400" s="1" t="s">
        <v>788</v>
      </c>
      <c r="E400" t="s">
        <v>789</v>
      </c>
      <c r="F400" t="s">
        <v>420</v>
      </c>
      <c r="G400">
        <v>650</v>
      </c>
      <c r="H400">
        <v>650</v>
      </c>
      <c r="I400">
        <v>650</v>
      </c>
      <c r="J400">
        <v>0</v>
      </c>
      <c r="K400" s="46">
        <f t="shared" si="12"/>
        <v>100</v>
      </c>
      <c r="L400" s="8">
        <f t="shared" si="13"/>
        <v>0</v>
      </c>
      <c r="M400" t="s">
        <v>20</v>
      </c>
      <c r="N400" t="s">
        <v>421</v>
      </c>
    </row>
    <row r="401" spans="1:14" x14ac:dyDescent="0.3">
      <c r="A401" t="s">
        <v>1831</v>
      </c>
      <c r="B401" s="2">
        <v>46247</v>
      </c>
      <c r="C401" s="2">
        <v>46248</v>
      </c>
      <c r="D401" s="1" t="s">
        <v>788</v>
      </c>
      <c r="E401" t="s">
        <v>789</v>
      </c>
      <c r="F401" t="s">
        <v>420</v>
      </c>
      <c r="G401">
        <v>730</v>
      </c>
      <c r="H401">
        <v>730</v>
      </c>
      <c r="I401">
        <v>730</v>
      </c>
      <c r="J401">
        <v>0</v>
      </c>
      <c r="K401" s="46">
        <f t="shared" si="12"/>
        <v>100</v>
      </c>
      <c r="L401" s="8">
        <f t="shared" si="13"/>
        <v>0</v>
      </c>
      <c r="M401" t="s">
        <v>20</v>
      </c>
      <c r="N401" t="s">
        <v>421</v>
      </c>
    </row>
    <row r="402" spans="1:14" x14ac:dyDescent="0.3">
      <c r="A402" t="s">
        <v>1832</v>
      </c>
      <c r="B402" s="2">
        <v>46248</v>
      </c>
      <c r="C402" s="2">
        <v>46248</v>
      </c>
      <c r="D402" s="1" t="s">
        <v>788</v>
      </c>
      <c r="E402" t="s">
        <v>789</v>
      </c>
      <c r="F402" t="s">
        <v>420</v>
      </c>
      <c r="G402">
        <v>740</v>
      </c>
      <c r="H402">
        <v>740</v>
      </c>
      <c r="I402">
        <v>740</v>
      </c>
      <c r="J402">
        <v>0</v>
      </c>
      <c r="K402" s="46">
        <f t="shared" si="12"/>
        <v>100</v>
      </c>
      <c r="L402" s="8">
        <f t="shared" si="13"/>
        <v>0</v>
      </c>
      <c r="M402" t="s">
        <v>20</v>
      </c>
      <c r="N402" t="s">
        <v>421</v>
      </c>
    </row>
    <row r="403" spans="1:14" x14ac:dyDescent="0.3">
      <c r="A403" t="s">
        <v>1833</v>
      </c>
      <c r="B403" s="2">
        <v>46251</v>
      </c>
      <c r="C403" s="2">
        <v>46251</v>
      </c>
      <c r="D403" s="1" t="s">
        <v>788</v>
      </c>
      <c r="E403" t="s">
        <v>789</v>
      </c>
      <c r="F403" t="s">
        <v>420</v>
      </c>
      <c r="G403">
        <v>630</v>
      </c>
      <c r="H403">
        <v>630</v>
      </c>
      <c r="I403">
        <v>630</v>
      </c>
      <c r="J403">
        <v>0</v>
      </c>
      <c r="K403" s="46">
        <f t="shared" si="12"/>
        <v>100</v>
      </c>
      <c r="L403" s="8">
        <f t="shared" si="13"/>
        <v>0</v>
      </c>
      <c r="M403" t="s">
        <v>20</v>
      </c>
      <c r="N403" t="s">
        <v>421</v>
      </c>
    </row>
    <row r="404" spans="1:14" x14ac:dyDescent="0.3">
      <c r="A404" t="s">
        <v>1834</v>
      </c>
      <c r="B404" s="2">
        <v>46252</v>
      </c>
      <c r="C404" s="2">
        <v>46254</v>
      </c>
      <c r="D404" s="1" t="s">
        <v>788</v>
      </c>
      <c r="E404" t="s">
        <v>789</v>
      </c>
      <c r="F404" t="s">
        <v>420</v>
      </c>
      <c r="G404">
        <v>660</v>
      </c>
      <c r="H404">
        <v>660</v>
      </c>
      <c r="I404">
        <v>660</v>
      </c>
      <c r="J404">
        <v>0</v>
      </c>
      <c r="K404" s="46">
        <f t="shared" si="12"/>
        <v>100</v>
      </c>
      <c r="L404" s="8">
        <f t="shared" si="13"/>
        <v>0</v>
      </c>
      <c r="M404" t="s">
        <v>20</v>
      </c>
      <c r="N404" t="s">
        <v>421</v>
      </c>
    </row>
    <row r="405" spans="1:14" x14ac:dyDescent="0.3">
      <c r="A405" t="s">
        <v>1398</v>
      </c>
      <c r="B405" s="2">
        <v>46239</v>
      </c>
      <c r="C405" s="2">
        <v>46240</v>
      </c>
      <c r="D405" s="1" t="s">
        <v>805</v>
      </c>
      <c r="E405" t="s">
        <v>806</v>
      </c>
      <c r="F405" t="s">
        <v>420</v>
      </c>
      <c r="G405">
        <v>1138</v>
      </c>
      <c r="H405">
        <v>1138</v>
      </c>
      <c r="I405">
        <v>1138</v>
      </c>
      <c r="J405">
        <v>0</v>
      </c>
      <c r="K405" s="46">
        <f t="shared" si="12"/>
        <v>100</v>
      </c>
      <c r="L405" s="8">
        <f t="shared" si="13"/>
        <v>0</v>
      </c>
      <c r="M405" t="s">
        <v>20</v>
      </c>
      <c r="N405" t="s">
        <v>421</v>
      </c>
    </row>
    <row r="406" spans="1:14" x14ac:dyDescent="0.3">
      <c r="A406" t="s">
        <v>1835</v>
      </c>
      <c r="B406" s="2">
        <v>46241</v>
      </c>
      <c r="C406" s="2">
        <v>46244</v>
      </c>
      <c r="D406" s="1" t="s">
        <v>805</v>
      </c>
      <c r="E406" t="s">
        <v>806</v>
      </c>
      <c r="F406" t="s">
        <v>420</v>
      </c>
      <c r="G406">
        <v>1498</v>
      </c>
      <c r="H406">
        <v>1498</v>
      </c>
      <c r="I406">
        <v>1498</v>
      </c>
      <c r="J406">
        <v>0</v>
      </c>
      <c r="K406" s="46">
        <f t="shared" si="12"/>
        <v>100</v>
      </c>
      <c r="L406" s="8">
        <f t="shared" si="13"/>
        <v>0</v>
      </c>
      <c r="M406" t="s">
        <v>20</v>
      </c>
      <c r="N406" t="s">
        <v>421</v>
      </c>
    </row>
    <row r="407" spans="1:14" x14ac:dyDescent="0.3">
      <c r="A407" t="s">
        <v>1836</v>
      </c>
      <c r="B407" s="2">
        <v>46244</v>
      </c>
      <c r="C407" s="2">
        <v>46245</v>
      </c>
      <c r="D407" s="1" t="s">
        <v>805</v>
      </c>
      <c r="E407" t="s">
        <v>806</v>
      </c>
      <c r="F407" t="s">
        <v>420</v>
      </c>
      <c r="G407">
        <v>1044</v>
      </c>
      <c r="H407">
        <v>1044</v>
      </c>
      <c r="I407">
        <v>1044</v>
      </c>
      <c r="J407">
        <v>0</v>
      </c>
      <c r="K407" s="46">
        <f t="shared" si="12"/>
        <v>100</v>
      </c>
      <c r="L407" s="8">
        <f t="shared" si="13"/>
        <v>0</v>
      </c>
      <c r="M407" t="s">
        <v>20</v>
      </c>
      <c r="N407" t="s">
        <v>421</v>
      </c>
    </row>
    <row r="408" spans="1:14" x14ac:dyDescent="0.3">
      <c r="A408" t="s">
        <v>1837</v>
      </c>
      <c r="B408" s="2">
        <v>46245</v>
      </c>
      <c r="C408" s="2">
        <v>46246</v>
      </c>
      <c r="D408" s="1" t="s">
        <v>805</v>
      </c>
      <c r="E408" t="s">
        <v>806</v>
      </c>
      <c r="F408" t="s">
        <v>420</v>
      </c>
      <c r="G408">
        <v>1052</v>
      </c>
      <c r="H408">
        <v>1052</v>
      </c>
      <c r="I408">
        <v>1052</v>
      </c>
      <c r="J408">
        <v>0</v>
      </c>
      <c r="K408" s="46">
        <f t="shared" si="12"/>
        <v>100</v>
      </c>
      <c r="L408" s="8">
        <f t="shared" si="13"/>
        <v>0</v>
      </c>
      <c r="M408" t="s">
        <v>20</v>
      </c>
      <c r="N408" t="s">
        <v>421</v>
      </c>
    </row>
    <row r="409" spans="1:14" x14ac:dyDescent="0.3">
      <c r="A409" t="s">
        <v>1838</v>
      </c>
      <c r="B409" s="2">
        <v>46246</v>
      </c>
      <c r="C409" s="2">
        <v>46247</v>
      </c>
      <c r="D409" s="1" t="s">
        <v>805</v>
      </c>
      <c r="E409" t="s">
        <v>806</v>
      </c>
      <c r="F409" t="s">
        <v>420</v>
      </c>
      <c r="G409">
        <v>1416</v>
      </c>
      <c r="H409">
        <v>1416</v>
      </c>
      <c r="I409">
        <v>1416</v>
      </c>
      <c r="J409">
        <v>0</v>
      </c>
      <c r="K409" s="46">
        <f t="shared" si="12"/>
        <v>100</v>
      </c>
      <c r="L409" s="8">
        <f t="shared" si="13"/>
        <v>0</v>
      </c>
      <c r="M409" t="s">
        <v>20</v>
      </c>
      <c r="N409" t="s">
        <v>421</v>
      </c>
    </row>
    <row r="410" spans="1:14" x14ac:dyDescent="0.3">
      <c r="A410" t="s">
        <v>1839</v>
      </c>
      <c r="B410" s="2">
        <v>46247</v>
      </c>
      <c r="C410" s="2">
        <v>46248</v>
      </c>
      <c r="D410" s="1" t="s">
        <v>805</v>
      </c>
      <c r="E410" t="s">
        <v>806</v>
      </c>
      <c r="F410" t="s">
        <v>420</v>
      </c>
      <c r="G410">
        <v>1318</v>
      </c>
      <c r="H410">
        <v>1318</v>
      </c>
      <c r="I410">
        <v>1318</v>
      </c>
      <c r="J410">
        <v>0</v>
      </c>
      <c r="K410" s="46">
        <f t="shared" si="12"/>
        <v>100</v>
      </c>
      <c r="L410" s="8">
        <f t="shared" si="13"/>
        <v>0</v>
      </c>
      <c r="M410" t="s">
        <v>20</v>
      </c>
      <c r="N410" t="s">
        <v>421</v>
      </c>
    </row>
    <row r="411" spans="1:14" x14ac:dyDescent="0.3">
      <c r="A411" t="s">
        <v>1840</v>
      </c>
      <c r="B411" s="2">
        <v>46251</v>
      </c>
      <c r="C411" s="2">
        <v>46254</v>
      </c>
      <c r="D411" s="1" t="s">
        <v>805</v>
      </c>
      <c r="E411" t="s">
        <v>806</v>
      </c>
      <c r="F411" t="s">
        <v>420</v>
      </c>
      <c r="G411">
        <v>1380</v>
      </c>
      <c r="H411">
        <v>1380</v>
      </c>
      <c r="I411">
        <v>1380</v>
      </c>
      <c r="J411">
        <v>0</v>
      </c>
      <c r="K411" s="46">
        <f t="shared" si="12"/>
        <v>100</v>
      </c>
      <c r="L411" s="8">
        <f t="shared" si="13"/>
        <v>0</v>
      </c>
      <c r="M411" t="s">
        <v>20</v>
      </c>
      <c r="N411" t="s">
        <v>421</v>
      </c>
    </row>
    <row r="412" spans="1:14" x14ac:dyDescent="0.3">
      <c r="A412" t="s">
        <v>1841</v>
      </c>
      <c r="B412" s="2">
        <v>46252</v>
      </c>
      <c r="C412" s="2">
        <v>46252</v>
      </c>
      <c r="D412" s="1" t="s">
        <v>805</v>
      </c>
      <c r="E412" t="s">
        <v>806</v>
      </c>
      <c r="F412" t="s">
        <v>420</v>
      </c>
      <c r="G412">
        <v>1221</v>
      </c>
      <c r="H412">
        <v>1221</v>
      </c>
      <c r="I412">
        <v>1221</v>
      </c>
      <c r="J412">
        <v>0</v>
      </c>
      <c r="K412" s="46">
        <f t="shared" si="12"/>
        <v>100</v>
      </c>
      <c r="L412" s="8">
        <f t="shared" si="13"/>
        <v>0</v>
      </c>
      <c r="M412" t="s">
        <v>20</v>
      </c>
      <c r="N412" t="s">
        <v>421</v>
      </c>
    </row>
    <row r="413" spans="1:14" x14ac:dyDescent="0.3">
      <c r="A413" t="s">
        <v>1842</v>
      </c>
      <c r="B413" s="2">
        <v>46248</v>
      </c>
      <c r="C413" s="2">
        <v>46248</v>
      </c>
      <c r="D413" s="1" t="s">
        <v>1843</v>
      </c>
      <c r="E413" t="s">
        <v>1844</v>
      </c>
      <c r="F413" t="s">
        <v>420</v>
      </c>
      <c r="G413">
        <v>105</v>
      </c>
      <c r="H413">
        <v>105</v>
      </c>
      <c r="I413">
        <v>105</v>
      </c>
      <c r="J413">
        <v>0</v>
      </c>
      <c r="K413" s="46">
        <f t="shared" si="12"/>
        <v>100</v>
      </c>
      <c r="L413" s="8">
        <f t="shared" si="13"/>
        <v>0</v>
      </c>
      <c r="M413" t="s">
        <v>20</v>
      </c>
      <c r="N413" t="s">
        <v>421</v>
      </c>
    </row>
    <row r="414" spans="1:14" x14ac:dyDescent="0.3">
      <c r="A414" t="s">
        <v>1845</v>
      </c>
      <c r="B414" s="2">
        <v>46245</v>
      </c>
      <c r="C414" s="2">
        <v>46246</v>
      </c>
      <c r="D414" s="1" t="s">
        <v>819</v>
      </c>
      <c r="E414" t="s">
        <v>820</v>
      </c>
      <c r="F414" t="s">
        <v>532</v>
      </c>
      <c r="G414">
        <v>1452</v>
      </c>
      <c r="H414">
        <v>1420</v>
      </c>
      <c r="I414">
        <v>1400</v>
      </c>
      <c r="J414">
        <v>20</v>
      </c>
      <c r="K414" s="46">
        <f t="shared" si="12"/>
        <v>97.796143250688701</v>
      </c>
      <c r="L414" s="8">
        <f t="shared" si="13"/>
        <v>1.4285714285714286</v>
      </c>
      <c r="M414" t="s">
        <v>20</v>
      </c>
      <c r="N414" t="s">
        <v>421</v>
      </c>
    </row>
    <row r="415" spans="1:14" x14ac:dyDescent="0.3">
      <c r="A415" t="s">
        <v>1846</v>
      </c>
      <c r="B415" s="2">
        <v>46240</v>
      </c>
      <c r="C415" s="2">
        <v>46246</v>
      </c>
      <c r="D415" s="1" t="s">
        <v>830</v>
      </c>
      <c r="E415" t="s">
        <v>831</v>
      </c>
      <c r="F415" t="s">
        <v>438</v>
      </c>
      <c r="G415">
        <v>660</v>
      </c>
      <c r="H415">
        <v>610</v>
      </c>
      <c r="I415">
        <v>610</v>
      </c>
      <c r="J415">
        <v>0</v>
      </c>
      <c r="K415" s="46">
        <f t="shared" si="12"/>
        <v>92.424242424242422</v>
      </c>
      <c r="L415" s="8">
        <f t="shared" si="13"/>
        <v>0</v>
      </c>
      <c r="M415" t="s">
        <v>20</v>
      </c>
      <c r="N415" t="s">
        <v>421</v>
      </c>
    </row>
    <row r="416" spans="1:14" x14ac:dyDescent="0.3">
      <c r="A416" t="s">
        <v>1847</v>
      </c>
      <c r="B416" s="2">
        <v>46247</v>
      </c>
      <c r="C416" s="2">
        <v>46251</v>
      </c>
      <c r="D416" s="1" t="s">
        <v>830</v>
      </c>
      <c r="E416" t="s">
        <v>831</v>
      </c>
      <c r="F416" t="s">
        <v>438</v>
      </c>
      <c r="G416">
        <v>330</v>
      </c>
      <c r="H416">
        <v>326</v>
      </c>
      <c r="I416">
        <v>300</v>
      </c>
      <c r="J416">
        <v>26</v>
      </c>
      <c r="K416" s="46">
        <f t="shared" si="12"/>
        <v>98.787878787878796</v>
      </c>
      <c r="L416" s="8">
        <f t="shared" si="13"/>
        <v>8.6666666666666679</v>
      </c>
      <c r="M416" t="s">
        <v>20</v>
      </c>
      <c r="N416" t="s">
        <v>421</v>
      </c>
    </row>
    <row r="417" spans="1:14" x14ac:dyDescent="0.3">
      <c r="A417" t="s">
        <v>1848</v>
      </c>
      <c r="B417" s="2">
        <v>46239</v>
      </c>
      <c r="C417" s="2">
        <v>46240</v>
      </c>
      <c r="D417" s="1" t="s">
        <v>1849</v>
      </c>
      <c r="E417" t="s">
        <v>1850</v>
      </c>
      <c r="F417" t="s">
        <v>495</v>
      </c>
      <c r="G417">
        <v>200</v>
      </c>
      <c r="H417">
        <v>205</v>
      </c>
      <c r="I417">
        <v>200</v>
      </c>
      <c r="J417">
        <v>5</v>
      </c>
      <c r="K417" s="46">
        <f t="shared" si="12"/>
        <v>102.49999999999999</v>
      </c>
      <c r="L417" s="8">
        <f t="shared" si="13"/>
        <v>2.5</v>
      </c>
      <c r="M417" t="s">
        <v>20</v>
      </c>
      <c r="N417" t="s">
        <v>421</v>
      </c>
    </row>
    <row r="418" spans="1:14" x14ac:dyDescent="0.3">
      <c r="A418" t="s">
        <v>1405</v>
      </c>
      <c r="B418" s="2">
        <v>46239</v>
      </c>
      <c r="C418" s="2">
        <v>46240</v>
      </c>
      <c r="D418" s="1" t="s">
        <v>833</v>
      </c>
      <c r="E418" t="s">
        <v>834</v>
      </c>
      <c r="F418" t="s">
        <v>425</v>
      </c>
      <c r="G418">
        <v>2160</v>
      </c>
      <c r="H418">
        <v>1350</v>
      </c>
      <c r="I418">
        <v>1180</v>
      </c>
      <c r="J418">
        <v>170</v>
      </c>
      <c r="K418" s="46">
        <f t="shared" si="12"/>
        <v>62.5</v>
      </c>
      <c r="L418" s="8">
        <f t="shared" si="13"/>
        <v>14.40677966101695</v>
      </c>
      <c r="M418" t="s">
        <v>20</v>
      </c>
      <c r="N418" t="s">
        <v>421</v>
      </c>
    </row>
    <row r="419" spans="1:14" x14ac:dyDescent="0.3">
      <c r="A419" t="s">
        <v>1851</v>
      </c>
      <c r="B419" s="2">
        <v>46244</v>
      </c>
      <c r="C419" s="2">
        <v>46246</v>
      </c>
      <c r="D419" s="1" t="s">
        <v>833</v>
      </c>
      <c r="E419" t="s">
        <v>834</v>
      </c>
      <c r="F419" t="s">
        <v>425</v>
      </c>
      <c r="G419">
        <v>2160</v>
      </c>
      <c r="H419">
        <v>1801</v>
      </c>
      <c r="I419">
        <v>1760</v>
      </c>
      <c r="J419">
        <v>41</v>
      </c>
      <c r="K419" s="46">
        <f t="shared" si="12"/>
        <v>83.379629629629619</v>
      </c>
      <c r="L419" s="8">
        <f t="shared" si="13"/>
        <v>2.3295454545454546</v>
      </c>
      <c r="M419" t="s">
        <v>20</v>
      </c>
      <c r="N419" t="s">
        <v>421</v>
      </c>
    </row>
    <row r="420" spans="1:14" x14ac:dyDescent="0.3">
      <c r="A420" t="s">
        <v>1852</v>
      </c>
      <c r="B420" s="2">
        <v>46245</v>
      </c>
      <c r="C420" s="2">
        <v>46247</v>
      </c>
      <c r="D420" s="1" t="s">
        <v>833</v>
      </c>
      <c r="E420" t="s">
        <v>834</v>
      </c>
      <c r="F420" t="s">
        <v>425</v>
      </c>
      <c r="G420">
        <v>2160</v>
      </c>
      <c r="H420">
        <v>1414</v>
      </c>
      <c r="I420">
        <v>1380</v>
      </c>
      <c r="J420">
        <v>34</v>
      </c>
      <c r="K420" s="46">
        <f t="shared" si="12"/>
        <v>65.462962962962962</v>
      </c>
      <c r="L420" s="8">
        <f t="shared" si="13"/>
        <v>2.4637681159420293</v>
      </c>
      <c r="M420" t="s">
        <v>20</v>
      </c>
      <c r="N420" t="s">
        <v>421</v>
      </c>
    </row>
    <row r="421" spans="1:14" x14ac:dyDescent="0.3">
      <c r="A421" t="s">
        <v>1853</v>
      </c>
      <c r="B421" s="2">
        <v>46247</v>
      </c>
      <c r="C421" s="2">
        <v>46248</v>
      </c>
      <c r="D421" s="1" t="s">
        <v>833</v>
      </c>
      <c r="E421" t="s">
        <v>834</v>
      </c>
      <c r="F421" t="s">
        <v>425</v>
      </c>
      <c r="G421">
        <v>2160</v>
      </c>
      <c r="H421">
        <v>1725</v>
      </c>
      <c r="I421">
        <v>1620</v>
      </c>
      <c r="J421">
        <v>105</v>
      </c>
      <c r="K421" s="46">
        <f t="shared" si="12"/>
        <v>79.861111111111114</v>
      </c>
      <c r="L421" s="8">
        <f t="shared" si="13"/>
        <v>6.481481481481481</v>
      </c>
      <c r="M421" t="s">
        <v>20</v>
      </c>
      <c r="N421" t="s">
        <v>421</v>
      </c>
    </row>
    <row r="422" spans="1:14" x14ac:dyDescent="0.3">
      <c r="A422" t="s">
        <v>1411</v>
      </c>
      <c r="B422" s="2">
        <v>46239</v>
      </c>
      <c r="C422" s="2">
        <v>46240</v>
      </c>
      <c r="D422" s="1" t="s">
        <v>840</v>
      </c>
      <c r="E422" t="s">
        <v>841</v>
      </c>
      <c r="F422" t="s">
        <v>425</v>
      </c>
      <c r="G422">
        <v>3400</v>
      </c>
      <c r="H422">
        <v>3170</v>
      </c>
      <c r="I422">
        <v>3045</v>
      </c>
      <c r="J422">
        <v>125</v>
      </c>
      <c r="K422" s="46">
        <f t="shared" si="12"/>
        <v>93.235294117647058</v>
      </c>
      <c r="L422" s="8">
        <f t="shared" si="13"/>
        <v>4.1050903119868636</v>
      </c>
      <c r="M422" t="s">
        <v>20</v>
      </c>
      <c r="N422" t="s">
        <v>421</v>
      </c>
    </row>
    <row r="423" spans="1:14" x14ac:dyDescent="0.3">
      <c r="A423" t="s">
        <v>1854</v>
      </c>
      <c r="B423" s="2">
        <v>46240</v>
      </c>
      <c r="C423" s="2">
        <v>46253</v>
      </c>
      <c r="D423" s="1" t="s">
        <v>840</v>
      </c>
      <c r="E423" t="s">
        <v>841</v>
      </c>
      <c r="F423" t="s">
        <v>425</v>
      </c>
      <c r="G423">
        <v>5100</v>
      </c>
      <c r="H423">
        <v>4525</v>
      </c>
      <c r="I423">
        <v>4365</v>
      </c>
      <c r="J423">
        <v>160</v>
      </c>
      <c r="K423" s="46">
        <f t="shared" si="12"/>
        <v>88.725490196078425</v>
      </c>
      <c r="L423" s="8">
        <f t="shared" si="13"/>
        <v>3.6655211912943875</v>
      </c>
      <c r="M423" t="s">
        <v>20</v>
      </c>
      <c r="N423" t="s">
        <v>421</v>
      </c>
    </row>
    <row r="424" spans="1:14" x14ac:dyDescent="0.3">
      <c r="A424" t="s">
        <v>1855</v>
      </c>
      <c r="B424" s="2">
        <v>46244</v>
      </c>
      <c r="C424" s="2">
        <v>46245</v>
      </c>
      <c r="D424" s="1" t="s">
        <v>840</v>
      </c>
      <c r="E424" t="s">
        <v>841</v>
      </c>
      <c r="F424" t="s">
        <v>425</v>
      </c>
      <c r="G424">
        <v>3400</v>
      </c>
      <c r="H424">
        <v>3078</v>
      </c>
      <c r="I424">
        <v>3000</v>
      </c>
      <c r="J424">
        <v>78</v>
      </c>
      <c r="K424" s="46">
        <f t="shared" si="12"/>
        <v>90.529411764705884</v>
      </c>
      <c r="L424" s="8">
        <f t="shared" si="13"/>
        <v>2.6</v>
      </c>
      <c r="M424" t="s">
        <v>20</v>
      </c>
      <c r="N424" t="s">
        <v>421</v>
      </c>
    </row>
    <row r="425" spans="1:14" x14ac:dyDescent="0.3">
      <c r="A425" t="s">
        <v>1856</v>
      </c>
      <c r="B425" s="2">
        <v>46245</v>
      </c>
      <c r="C425" s="2">
        <v>46247</v>
      </c>
      <c r="D425" s="1" t="s">
        <v>840</v>
      </c>
      <c r="E425" t="s">
        <v>841</v>
      </c>
      <c r="F425" t="s">
        <v>425</v>
      </c>
      <c r="G425">
        <v>3400</v>
      </c>
      <c r="H425">
        <v>3827</v>
      </c>
      <c r="I425">
        <v>3195</v>
      </c>
      <c r="J425">
        <v>632</v>
      </c>
      <c r="K425" s="46">
        <f t="shared" si="12"/>
        <v>112.55882352941175</v>
      </c>
      <c r="L425" s="8">
        <f t="shared" si="13"/>
        <v>19.780907668231613</v>
      </c>
      <c r="M425" t="s">
        <v>20</v>
      </c>
      <c r="N425" t="s">
        <v>421</v>
      </c>
    </row>
    <row r="426" spans="1:14" x14ac:dyDescent="0.3">
      <c r="A426" t="s">
        <v>1857</v>
      </c>
      <c r="B426" s="2">
        <v>46246</v>
      </c>
      <c r="C426" s="2">
        <v>46248</v>
      </c>
      <c r="D426" s="1" t="s">
        <v>840</v>
      </c>
      <c r="E426" t="s">
        <v>841</v>
      </c>
      <c r="F426" t="s">
        <v>425</v>
      </c>
      <c r="G426">
        <v>5100</v>
      </c>
      <c r="H426">
        <v>4755</v>
      </c>
      <c r="I426">
        <v>4635</v>
      </c>
      <c r="J426">
        <v>120</v>
      </c>
      <c r="K426" s="46">
        <f t="shared" si="12"/>
        <v>93.235294117647058</v>
      </c>
      <c r="L426" s="8">
        <f t="shared" si="13"/>
        <v>2.5889967637540456</v>
      </c>
      <c r="M426" t="s">
        <v>20</v>
      </c>
      <c r="N426" t="s">
        <v>421</v>
      </c>
    </row>
    <row r="427" spans="1:14" x14ac:dyDescent="0.3">
      <c r="A427" t="s">
        <v>1858</v>
      </c>
      <c r="B427" s="2">
        <v>46248</v>
      </c>
      <c r="C427" s="2">
        <v>46251</v>
      </c>
      <c r="D427" s="1" t="s">
        <v>840</v>
      </c>
      <c r="E427" t="s">
        <v>841</v>
      </c>
      <c r="F427" t="s">
        <v>425</v>
      </c>
      <c r="G427">
        <v>1700</v>
      </c>
      <c r="H427">
        <v>1713</v>
      </c>
      <c r="I427">
        <v>1320</v>
      </c>
      <c r="J427">
        <v>393</v>
      </c>
      <c r="K427" s="46">
        <f t="shared" si="12"/>
        <v>100.76470588235293</v>
      </c>
      <c r="L427" s="8">
        <f t="shared" si="13"/>
        <v>29.772727272727273</v>
      </c>
      <c r="M427" t="s">
        <v>20</v>
      </c>
      <c r="N427" t="s">
        <v>421</v>
      </c>
    </row>
    <row r="428" spans="1:14" x14ac:dyDescent="0.3">
      <c r="A428" t="s">
        <v>1859</v>
      </c>
      <c r="B428" s="2">
        <v>46244</v>
      </c>
      <c r="C428" s="2">
        <v>46245</v>
      </c>
      <c r="D428" s="1" t="s">
        <v>847</v>
      </c>
      <c r="E428" t="s">
        <v>848</v>
      </c>
      <c r="F428" t="s">
        <v>425</v>
      </c>
      <c r="G428">
        <v>1770</v>
      </c>
      <c r="H428">
        <v>1645</v>
      </c>
      <c r="I428">
        <v>1620</v>
      </c>
      <c r="J428">
        <v>25</v>
      </c>
      <c r="K428" s="46">
        <f t="shared" si="12"/>
        <v>92.937853107344637</v>
      </c>
      <c r="L428" s="8">
        <f t="shared" si="13"/>
        <v>1.5432098765432098</v>
      </c>
      <c r="M428" t="s">
        <v>20</v>
      </c>
      <c r="N428" t="s">
        <v>421</v>
      </c>
    </row>
    <row r="429" spans="1:14" x14ac:dyDescent="0.3">
      <c r="A429" t="s">
        <v>1860</v>
      </c>
      <c r="B429" s="2">
        <v>46244</v>
      </c>
      <c r="C429" s="2">
        <v>46251</v>
      </c>
      <c r="D429" s="1" t="s">
        <v>1861</v>
      </c>
      <c r="E429" t="s">
        <v>1862</v>
      </c>
      <c r="F429" t="s">
        <v>438</v>
      </c>
      <c r="G429">
        <v>3380</v>
      </c>
      <c r="H429">
        <v>3250</v>
      </c>
      <c r="I429">
        <v>3120</v>
      </c>
      <c r="J429">
        <v>130</v>
      </c>
      <c r="K429" s="46">
        <f t="shared" si="12"/>
        <v>96.15384615384616</v>
      </c>
      <c r="L429" s="8">
        <f t="shared" si="13"/>
        <v>4.1666666666666661</v>
      </c>
      <c r="M429" t="s">
        <v>20</v>
      </c>
      <c r="N429" t="s">
        <v>421</v>
      </c>
    </row>
    <row r="430" spans="1:14" x14ac:dyDescent="0.3">
      <c r="A430" t="s">
        <v>1863</v>
      </c>
      <c r="B430" s="2">
        <v>46244</v>
      </c>
      <c r="C430" s="2">
        <v>46247</v>
      </c>
      <c r="D430" s="1" t="s">
        <v>852</v>
      </c>
      <c r="E430" t="s">
        <v>853</v>
      </c>
      <c r="F430" t="s">
        <v>425</v>
      </c>
      <c r="G430">
        <v>2446</v>
      </c>
      <c r="H430">
        <v>1933</v>
      </c>
      <c r="I430">
        <v>1920</v>
      </c>
      <c r="J430">
        <v>13</v>
      </c>
      <c r="K430" s="46">
        <f t="shared" si="12"/>
        <v>79.026982829108746</v>
      </c>
      <c r="L430" s="8">
        <f t="shared" si="13"/>
        <v>0.67708333333333337</v>
      </c>
      <c r="M430" t="s">
        <v>20</v>
      </c>
      <c r="N430" t="s">
        <v>421</v>
      </c>
    </row>
    <row r="431" spans="1:14" x14ac:dyDescent="0.3">
      <c r="A431" t="s">
        <v>1864</v>
      </c>
      <c r="B431" s="2">
        <v>46245</v>
      </c>
      <c r="C431" s="2">
        <v>46251</v>
      </c>
      <c r="D431" s="1" t="s">
        <v>852</v>
      </c>
      <c r="E431" t="s">
        <v>853</v>
      </c>
      <c r="F431" t="s">
        <v>425</v>
      </c>
      <c r="G431">
        <v>2446</v>
      </c>
      <c r="H431">
        <v>1122</v>
      </c>
      <c r="I431">
        <v>1070</v>
      </c>
      <c r="J431">
        <v>52</v>
      </c>
      <c r="K431" s="46">
        <f t="shared" si="12"/>
        <v>45.870809484873263</v>
      </c>
      <c r="L431" s="8">
        <f t="shared" si="13"/>
        <v>4.8598130841121492</v>
      </c>
      <c r="M431" t="s">
        <v>20</v>
      </c>
      <c r="N431" t="s">
        <v>421</v>
      </c>
    </row>
    <row r="432" spans="1:14" x14ac:dyDescent="0.3">
      <c r="A432" t="s">
        <v>1865</v>
      </c>
      <c r="B432" s="2">
        <v>46252</v>
      </c>
      <c r="C432" s="2">
        <v>46254</v>
      </c>
      <c r="D432" s="1" t="s">
        <v>852</v>
      </c>
      <c r="E432" t="s">
        <v>853</v>
      </c>
      <c r="F432" t="s">
        <v>425</v>
      </c>
      <c r="G432">
        <v>2446</v>
      </c>
      <c r="H432">
        <v>2195</v>
      </c>
      <c r="I432">
        <v>2070</v>
      </c>
      <c r="J432">
        <v>125</v>
      </c>
      <c r="K432" s="46">
        <f t="shared" si="12"/>
        <v>89.738348323793943</v>
      </c>
      <c r="L432" s="8">
        <f t="shared" si="13"/>
        <v>6.0386473429951693</v>
      </c>
      <c r="M432" t="s">
        <v>20</v>
      </c>
      <c r="N432" t="s">
        <v>421</v>
      </c>
    </row>
    <row r="433" spans="1:14" x14ac:dyDescent="0.3">
      <c r="A433" t="s">
        <v>1866</v>
      </c>
      <c r="B433" s="2">
        <v>46240</v>
      </c>
      <c r="C433" s="2">
        <v>46241</v>
      </c>
      <c r="D433" s="1" t="s">
        <v>860</v>
      </c>
      <c r="E433" t="s">
        <v>861</v>
      </c>
      <c r="F433" t="s">
        <v>495</v>
      </c>
      <c r="G433">
        <v>1372</v>
      </c>
      <c r="H433">
        <v>1575</v>
      </c>
      <c r="I433">
        <v>1536</v>
      </c>
      <c r="J433">
        <v>39</v>
      </c>
      <c r="K433" s="46">
        <f t="shared" si="12"/>
        <v>114.79591836734696</v>
      </c>
      <c r="L433" s="8">
        <f t="shared" si="13"/>
        <v>2.5390625</v>
      </c>
      <c r="M433" t="s">
        <v>20</v>
      </c>
      <c r="N433" t="s">
        <v>421</v>
      </c>
    </row>
    <row r="434" spans="1:14" x14ac:dyDescent="0.3">
      <c r="A434" t="s">
        <v>1867</v>
      </c>
      <c r="B434" s="2">
        <v>46244</v>
      </c>
      <c r="C434" s="2">
        <v>46245</v>
      </c>
      <c r="D434" s="1" t="s">
        <v>860</v>
      </c>
      <c r="E434" t="s">
        <v>861</v>
      </c>
      <c r="F434" t="s">
        <v>495</v>
      </c>
      <c r="G434">
        <v>1372</v>
      </c>
      <c r="H434">
        <v>1395</v>
      </c>
      <c r="I434">
        <v>1380</v>
      </c>
      <c r="J434">
        <v>15</v>
      </c>
      <c r="K434" s="46">
        <f t="shared" si="12"/>
        <v>101.67638483965014</v>
      </c>
      <c r="L434" s="8">
        <f t="shared" si="13"/>
        <v>1.0869565217391304</v>
      </c>
      <c r="M434" t="s">
        <v>20</v>
      </c>
      <c r="N434" t="s">
        <v>421</v>
      </c>
    </row>
    <row r="435" spans="1:14" x14ac:dyDescent="0.3">
      <c r="A435" t="s">
        <v>1868</v>
      </c>
      <c r="B435" s="2">
        <v>46240</v>
      </c>
      <c r="C435" s="2">
        <v>46241</v>
      </c>
      <c r="D435" s="1" t="s">
        <v>870</v>
      </c>
      <c r="E435" t="s">
        <v>871</v>
      </c>
      <c r="F435" t="s">
        <v>495</v>
      </c>
      <c r="G435">
        <v>3096</v>
      </c>
      <c r="H435">
        <v>3120</v>
      </c>
      <c r="I435">
        <v>3090</v>
      </c>
      <c r="J435">
        <v>30</v>
      </c>
      <c r="K435" s="46">
        <f t="shared" si="12"/>
        <v>100.77519379844961</v>
      </c>
      <c r="L435" s="8">
        <f t="shared" si="13"/>
        <v>0.97087378640776689</v>
      </c>
      <c r="M435" t="s">
        <v>20</v>
      </c>
      <c r="N435" t="s">
        <v>421</v>
      </c>
    </row>
    <row r="436" spans="1:14" x14ac:dyDescent="0.3">
      <c r="A436" t="s">
        <v>1869</v>
      </c>
      <c r="B436" s="2">
        <v>46246</v>
      </c>
      <c r="C436" s="2">
        <v>46247</v>
      </c>
      <c r="D436" s="1" t="s">
        <v>870</v>
      </c>
      <c r="E436" t="s">
        <v>871</v>
      </c>
      <c r="F436" t="s">
        <v>495</v>
      </c>
      <c r="G436">
        <v>3096</v>
      </c>
      <c r="H436">
        <v>3390</v>
      </c>
      <c r="I436">
        <v>3300</v>
      </c>
      <c r="J436">
        <v>90</v>
      </c>
      <c r="K436" s="46">
        <f t="shared" si="12"/>
        <v>109.49612403100775</v>
      </c>
      <c r="L436" s="8">
        <f t="shared" si="13"/>
        <v>2.7272727272727271</v>
      </c>
      <c r="M436" t="s">
        <v>20</v>
      </c>
      <c r="N436" t="s">
        <v>421</v>
      </c>
    </row>
    <row r="437" spans="1:14" x14ac:dyDescent="0.3">
      <c r="A437" t="s">
        <v>1870</v>
      </c>
      <c r="B437" s="2">
        <v>46244</v>
      </c>
      <c r="C437" s="2">
        <v>46245</v>
      </c>
      <c r="D437" s="1" t="s">
        <v>878</v>
      </c>
      <c r="E437" t="s">
        <v>879</v>
      </c>
      <c r="F437" t="s">
        <v>425</v>
      </c>
      <c r="G437">
        <v>2100</v>
      </c>
      <c r="H437">
        <v>1915</v>
      </c>
      <c r="I437">
        <v>1880</v>
      </c>
      <c r="J437">
        <v>35</v>
      </c>
      <c r="K437" s="46">
        <f t="shared" si="12"/>
        <v>91.19047619047619</v>
      </c>
      <c r="L437" s="8">
        <f t="shared" si="13"/>
        <v>1.8617021276595744</v>
      </c>
      <c r="M437" t="s">
        <v>20</v>
      </c>
      <c r="N437" t="s">
        <v>421</v>
      </c>
    </row>
    <row r="438" spans="1:14" x14ac:dyDescent="0.3">
      <c r="A438" t="s">
        <v>1871</v>
      </c>
      <c r="B438" s="2">
        <v>46245</v>
      </c>
      <c r="C438" s="2">
        <v>46246</v>
      </c>
      <c r="D438" s="1" t="s">
        <v>878</v>
      </c>
      <c r="E438" t="s">
        <v>879</v>
      </c>
      <c r="F438" t="s">
        <v>425</v>
      </c>
      <c r="G438">
        <v>2100</v>
      </c>
      <c r="H438">
        <v>2112</v>
      </c>
      <c r="I438">
        <v>2060</v>
      </c>
      <c r="J438">
        <v>52</v>
      </c>
      <c r="K438" s="46">
        <f t="shared" ref="K438:K501" si="14">(H438/G438)*100</f>
        <v>100.57142857142858</v>
      </c>
      <c r="L438" s="8">
        <f t="shared" si="13"/>
        <v>2.5242718446601939</v>
      </c>
      <c r="M438" t="s">
        <v>20</v>
      </c>
      <c r="N438" t="s">
        <v>421</v>
      </c>
    </row>
    <row r="439" spans="1:14" x14ac:dyDescent="0.3">
      <c r="A439" t="s">
        <v>1872</v>
      </c>
      <c r="B439" s="2">
        <v>46246</v>
      </c>
      <c r="C439" s="2">
        <v>46251</v>
      </c>
      <c r="D439" s="1" t="s">
        <v>878</v>
      </c>
      <c r="E439" t="s">
        <v>879</v>
      </c>
      <c r="F439" t="s">
        <v>425</v>
      </c>
      <c r="G439">
        <v>2100</v>
      </c>
      <c r="H439">
        <v>2097</v>
      </c>
      <c r="I439">
        <v>2080</v>
      </c>
      <c r="J439">
        <v>17</v>
      </c>
      <c r="K439" s="46">
        <f t="shared" si="14"/>
        <v>99.857142857142861</v>
      </c>
      <c r="L439" s="8">
        <f t="shared" ref="L439:L502" si="15">((H439-I439)/I439)*100</f>
        <v>0.8173076923076924</v>
      </c>
      <c r="M439" t="s">
        <v>20</v>
      </c>
      <c r="N439" t="s">
        <v>421</v>
      </c>
    </row>
    <row r="440" spans="1:14" x14ac:dyDescent="0.3">
      <c r="A440" t="s">
        <v>1873</v>
      </c>
      <c r="B440" s="2">
        <v>46246</v>
      </c>
      <c r="C440" s="2">
        <v>46247</v>
      </c>
      <c r="D440" s="1" t="s">
        <v>1874</v>
      </c>
      <c r="E440" t="s">
        <v>1875</v>
      </c>
      <c r="F440" t="s">
        <v>420</v>
      </c>
      <c r="G440">
        <v>45</v>
      </c>
      <c r="H440">
        <v>49</v>
      </c>
      <c r="I440">
        <v>49</v>
      </c>
      <c r="J440">
        <v>0</v>
      </c>
      <c r="K440" s="46">
        <f t="shared" si="14"/>
        <v>108.88888888888889</v>
      </c>
      <c r="L440" s="8">
        <f t="shared" si="15"/>
        <v>0</v>
      </c>
      <c r="M440" t="s">
        <v>20</v>
      </c>
      <c r="N440" t="s">
        <v>421</v>
      </c>
    </row>
    <row r="441" spans="1:14" x14ac:dyDescent="0.3">
      <c r="A441" t="s">
        <v>1876</v>
      </c>
      <c r="B441" s="2">
        <v>46248</v>
      </c>
      <c r="C441" s="2">
        <v>46251</v>
      </c>
      <c r="D441" s="1" t="s">
        <v>898</v>
      </c>
      <c r="E441" t="s">
        <v>1877</v>
      </c>
      <c r="F441" t="s">
        <v>420</v>
      </c>
      <c r="G441">
        <v>340</v>
      </c>
      <c r="H441">
        <v>387</v>
      </c>
      <c r="I441">
        <v>387</v>
      </c>
      <c r="J441">
        <v>0</v>
      </c>
      <c r="K441" s="46">
        <f t="shared" si="14"/>
        <v>113.8235294117647</v>
      </c>
      <c r="L441" s="8">
        <f t="shared" si="15"/>
        <v>0</v>
      </c>
      <c r="M441" t="s">
        <v>20</v>
      </c>
      <c r="N441" t="s">
        <v>421</v>
      </c>
    </row>
    <row r="442" spans="1:14" x14ac:dyDescent="0.3">
      <c r="A442" t="s">
        <v>1878</v>
      </c>
      <c r="B442" s="2">
        <v>46245</v>
      </c>
      <c r="C442" s="2">
        <v>46246</v>
      </c>
      <c r="D442" s="1" t="s">
        <v>908</v>
      </c>
      <c r="E442" t="s">
        <v>909</v>
      </c>
      <c r="F442" t="s">
        <v>532</v>
      </c>
      <c r="G442">
        <v>425</v>
      </c>
      <c r="H442">
        <v>406</v>
      </c>
      <c r="I442">
        <v>405</v>
      </c>
      <c r="J442">
        <v>1</v>
      </c>
      <c r="K442" s="46">
        <f t="shared" si="14"/>
        <v>95.529411764705884</v>
      </c>
      <c r="L442" s="8">
        <f t="shared" si="15"/>
        <v>0.24691358024691357</v>
      </c>
      <c r="M442" t="s">
        <v>20</v>
      </c>
      <c r="N442" t="s">
        <v>421</v>
      </c>
    </row>
    <row r="443" spans="1:14" x14ac:dyDescent="0.3">
      <c r="A443" t="s">
        <v>1879</v>
      </c>
      <c r="B443" s="2">
        <v>46252</v>
      </c>
      <c r="C443" s="2">
        <v>46254</v>
      </c>
      <c r="D443" s="1" t="s">
        <v>912</v>
      </c>
      <c r="E443" t="s">
        <v>913</v>
      </c>
      <c r="F443" t="s">
        <v>677</v>
      </c>
      <c r="G443">
        <v>1200</v>
      </c>
      <c r="H443">
        <v>1230</v>
      </c>
      <c r="I443">
        <v>1230</v>
      </c>
      <c r="J443">
        <v>0</v>
      </c>
      <c r="K443" s="46">
        <f t="shared" si="14"/>
        <v>102.49999999999999</v>
      </c>
      <c r="L443" s="8">
        <f t="shared" si="15"/>
        <v>0</v>
      </c>
      <c r="M443" t="s">
        <v>20</v>
      </c>
      <c r="N443" t="s">
        <v>421</v>
      </c>
    </row>
    <row r="444" spans="1:14" x14ac:dyDescent="0.3">
      <c r="A444" t="s">
        <v>1880</v>
      </c>
      <c r="B444" s="2">
        <v>46244</v>
      </c>
      <c r="C444" s="2">
        <v>46245</v>
      </c>
      <c r="D444" s="1" t="s">
        <v>933</v>
      </c>
      <c r="E444" t="s">
        <v>934</v>
      </c>
      <c r="F444" t="s">
        <v>420</v>
      </c>
      <c r="G444">
        <v>80</v>
      </c>
      <c r="H444">
        <v>80</v>
      </c>
      <c r="I444">
        <v>80</v>
      </c>
      <c r="J444">
        <v>0</v>
      </c>
      <c r="K444" s="46">
        <f t="shared" si="14"/>
        <v>100</v>
      </c>
      <c r="L444" s="8">
        <f t="shared" si="15"/>
        <v>0</v>
      </c>
      <c r="M444" t="s">
        <v>20</v>
      </c>
      <c r="N444" t="s">
        <v>421</v>
      </c>
    </row>
    <row r="445" spans="1:14" x14ac:dyDescent="0.3">
      <c r="A445" t="s">
        <v>1881</v>
      </c>
      <c r="B445" s="2">
        <v>46245</v>
      </c>
      <c r="C445" s="2">
        <v>46246</v>
      </c>
      <c r="D445" s="1" t="s">
        <v>933</v>
      </c>
      <c r="E445" t="s">
        <v>934</v>
      </c>
      <c r="F445" t="s">
        <v>420</v>
      </c>
      <c r="G445">
        <v>80</v>
      </c>
      <c r="H445">
        <v>77</v>
      </c>
      <c r="I445">
        <v>77</v>
      </c>
      <c r="J445">
        <v>0</v>
      </c>
      <c r="K445" s="46">
        <f t="shared" si="14"/>
        <v>96.25</v>
      </c>
      <c r="L445" s="8">
        <f t="shared" si="15"/>
        <v>0</v>
      </c>
      <c r="M445" t="s">
        <v>20</v>
      </c>
      <c r="N445" t="s">
        <v>421</v>
      </c>
    </row>
    <row r="446" spans="1:14" x14ac:dyDescent="0.3">
      <c r="A446" t="s">
        <v>1882</v>
      </c>
      <c r="B446" s="2">
        <v>46246</v>
      </c>
      <c r="C446" s="2">
        <v>46247</v>
      </c>
      <c r="D446" s="1" t="s">
        <v>933</v>
      </c>
      <c r="E446" t="s">
        <v>934</v>
      </c>
      <c r="F446" t="s">
        <v>420</v>
      </c>
      <c r="G446">
        <v>80</v>
      </c>
      <c r="H446">
        <v>72</v>
      </c>
      <c r="I446">
        <v>72</v>
      </c>
      <c r="J446">
        <v>0</v>
      </c>
      <c r="K446" s="46">
        <f t="shared" si="14"/>
        <v>90</v>
      </c>
      <c r="L446" s="8">
        <f t="shared" si="15"/>
        <v>0</v>
      </c>
      <c r="M446" t="s">
        <v>20</v>
      </c>
      <c r="N446" t="s">
        <v>421</v>
      </c>
    </row>
    <row r="447" spans="1:14" x14ac:dyDescent="0.3">
      <c r="A447" t="s">
        <v>1429</v>
      </c>
      <c r="B447" s="2">
        <v>46238</v>
      </c>
      <c r="C447" s="2">
        <v>46240</v>
      </c>
      <c r="D447" s="1" t="s">
        <v>950</v>
      </c>
      <c r="E447" t="s">
        <v>951</v>
      </c>
      <c r="F447" t="s">
        <v>420</v>
      </c>
      <c r="G447">
        <v>75</v>
      </c>
      <c r="H447">
        <v>76</v>
      </c>
      <c r="I447">
        <v>76</v>
      </c>
      <c r="J447">
        <v>0</v>
      </c>
      <c r="K447" s="46">
        <f t="shared" si="14"/>
        <v>101.33333333333334</v>
      </c>
      <c r="L447" s="8">
        <f t="shared" si="15"/>
        <v>0</v>
      </c>
      <c r="M447" t="s">
        <v>20</v>
      </c>
      <c r="N447" t="s">
        <v>421</v>
      </c>
    </row>
    <row r="448" spans="1:14" x14ac:dyDescent="0.3">
      <c r="A448" t="s">
        <v>1883</v>
      </c>
      <c r="B448" s="2">
        <v>46251</v>
      </c>
      <c r="C448" s="2">
        <v>46251</v>
      </c>
      <c r="D448" s="1" t="s">
        <v>950</v>
      </c>
      <c r="E448" t="s">
        <v>951</v>
      </c>
      <c r="F448" t="s">
        <v>420</v>
      </c>
      <c r="G448">
        <v>75</v>
      </c>
      <c r="H448">
        <v>80</v>
      </c>
      <c r="I448">
        <v>80</v>
      </c>
      <c r="J448">
        <v>0</v>
      </c>
      <c r="K448" s="46">
        <f t="shared" si="14"/>
        <v>106.66666666666667</v>
      </c>
      <c r="L448" s="8">
        <f t="shared" si="15"/>
        <v>0</v>
      </c>
      <c r="M448" t="s">
        <v>20</v>
      </c>
      <c r="N448" t="s">
        <v>421</v>
      </c>
    </row>
    <row r="449" spans="1:14" x14ac:dyDescent="0.3">
      <c r="A449" t="s">
        <v>1884</v>
      </c>
      <c r="B449" s="2">
        <v>46252</v>
      </c>
      <c r="C449" s="2">
        <v>46252</v>
      </c>
      <c r="D449" s="1" t="s">
        <v>950</v>
      </c>
      <c r="E449" t="s">
        <v>951</v>
      </c>
      <c r="F449" t="s">
        <v>420</v>
      </c>
      <c r="G449">
        <v>75</v>
      </c>
      <c r="H449">
        <v>76</v>
      </c>
      <c r="I449">
        <v>76</v>
      </c>
      <c r="J449">
        <v>0</v>
      </c>
      <c r="K449" s="46">
        <f t="shared" si="14"/>
        <v>101.33333333333334</v>
      </c>
      <c r="L449" s="8">
        <f t="shared" si="15"/>
        <v>0</v>
      </c>
      <c r="M449" t="s">
        <v>20</v>
      </c>
      <c r="N449" t="s">
        <v>421</v>
      </c>
    </row>
    <row r="450" spans="1:14" x14ac:dyDescent="0.3">
      <c r="A450" t="s">
        <v>1885</v>
      </c>
      <c r="B450" s="2">
        <v>46248</v>
      </c>
      <c r="C450" s="2">
        <v>46251</v>
      </c>
      <c r="D450" s="1" t="s">
        <v>955</v>
      </c>
      <c r="E450" t="s">
        <v>1886</v>
      </c>
      <c r="F450" t="s">
        <v>420</v>
      </c>
      <c r="G450">
        <v>408</v>
      </c>
      <c r="H450">
        <v>383</v>
      </c>
      <c r="I450">
        <v>383</v>
      </c>
      <c r="J450">
        <v>0</v>
      </c>
      <c r="K450" s="46">
        <f t="shared" si="14"/>
        <v>93.872549019607845</v>
      </c>
      <c r="L450" s="8">
        <f t="shared" si="15"/>
        <v>0</v>
      </c>
      <c r="M450" t="s">
        <v>20</v>
      </c>
      <c r="N450" t="s">
        <v>421</v>
      </c>
    </row>
    <row r="451" spans="1:14" x14ac:dyDescent="0.3">
      <c r="A451" t="s">
        <v>1433</v>
      </c>
      <c r="B451" s="2">
        <v>46239</v>
      </c>
      <c r="C451" s="2">
        <v>46240</v>
      </c>
      <c r="D451" s="1" t="s">
        <v>958</v>
      </c>
      <c r="E451" t="s">
        <v>959</v>
      </c>
      <c r="F451" t="s">
        <v>420</v>
      </c>
      <c r="G451">
        <v>66</v>
      </c>
      <c r="H451">
        <v>66</v>
      </c>
      <c r="I451">
        <v>66</v>
      </c>
      <c r="J451">
        <v>0</v>
      </c>
      <c r="K451" s="46">
        <f t="shared" si="14"/>
        <v>100</v>
      </c>
      <c r="L451" s="8">
        <f t="shared" si="15"/>
        <v>0</v>
      </c>
      <c r="M451" t="s">
        <v>20</v>
      </c>
      <c r="N451" t="s">
        <v>421</v>
      </c>
    </row>
    <row r="452" spans="1:14" x14ac:dyDescent="0.3">
      <c r="A452" t="s">
        <v>1887</v>
      </c>
      <c r="B452" s="2">
        <v>46245</v>
      </c>
      <c r="C452" s="2">
        <v>46246</v>
      </c>
      <c r="D452" s="1" t="s">
        <v>958</v>
      </c>
      <c r="E452" t="s">
        <v>959</v>
      </c>
      <c r="F452" t="s">
        <v>420</v>
      </c>
      <c r="G452">
        <v>330</v>
      </c>
      <c r="H452">
        <v>338</v>
      </c>
      <c r="I452">
        <v>338</v>
      </c>
      <c r="J452">
        <v>0</v>
      </c>
      <c r="K452" s="46">
        <f t="shared" si="14"/>
        <v>102.42424242424242</v>
      </c>
      <c r="L452" s="8">
        <f t="shared" si="15"/>
        <v>0</v>
      </c>
      <c r="M452" t="s">
        <v>20</v>
      </c>
      <c r="N452" t="s">
        <v>421</v>
      </c>
    </row>
    <row r="453" spans="1:14" x14ac:dyDescent="0.3">
      <c r="A453" t="s">
        <v>1888</v>
      </c>
      <c r="B453" s="2">
        <v>46247</v>
      </c>
      <c r="C453" s="2">
        <v>46248</v>
      </c>
      <c r="D453" s="1" t="s">
        <v>958</v>
      </c>
      <c r="E453" t="s">
        <v>959</v>
      </c>
      <c r="F453" t="s">
        <v>420</v>
      </c>
      <c r="G453">
        <v>330</v>
      </c>
      <c r="H453">
        <v>347</v>
      </c>
      <c r="I453">
        <v>347</v>
      </c>
      <c r="J453">
        <v>0</v>
      </c>
      <c r="K453" s="46">
        <f t="shared" si="14"/>
        <v>105.15151515151516</v>
      </c>
      <c r="L453" s="8">
        <f t="shared" si="15"/>
        <v>0</v>
      </c>
      <c r="M453" t="s">
        <v>20</v>
      </c>
      <c r="N453" t="s">
        <v>421</v>
      </c>
    </row>
    <row r="454" spans="1:14" x14ac:dyDescent="0.3">
      <c r="A454" t="s">
        <v>1889</v>
      </c>
      <c r="B454" s="2">
        <v>46252</v>
      </c>
      <c r="C454" s="2">
        <v>46254</v>
      </c>
      <c r="D454" s="1" t="s">
        <v>958</v>
      </c>
      <c r="E454" t="s">
        <v>959</v>
      </c>
      <c r="F454" t="s">
        <v>420</v>
      </c>
      <c r="G454">
        <v>132</v>
      </c>
      <c r="H454">
        <v>135</v>
      </c>
      <c r="I454">
        <v>135</v>
      </c>
      <c r="J454">
        <v>0</v>
      </c>
      <c r="K454" s="46">
        <f t="shared" si="14"/>
        <v>102.27272727272727</v>
      </c>
      <c r="L454" s="8">
        <f t="shared" si="15"/>
        <v>0</v>
      </c>
      <c r="M454" t="s">
        <v>20</v>
      </c>
      <c r="N454" t="s">
        <v>421</v>
      </c>
    </row>
    <row r="455" spans="1:14" x14ac:dyDescent="0.3">
      <c r="A455" t="s">
        <v>1890</v>
      </c>
      <c r="B455" s="2">
        <v>46244</v>
      </c>
      <c r="C455" s="2">
        <v>46246</v>
      </c>
      <c r="D455" s="1" t="s">
        <v>974</v>
      </c>
      <c r="E455" t="s">
        <v>975</v>
      </c>
      <c r="F455" t="s">
        <v>420</v>
      </c>
      <c r="G455">
        <v>130</v>
      </c>
      <c r="H455">
        <v>131</v>
      </c>
      <c r="I455">
        <v>131</v>
      </c>
      <c r="J455">
        <v>0</v>
      </c>
      <c r="K455" s="46">
        <f t="shared" si="14"/>
        <v>100.76923076923077</v>
      </c>
      <c r="L455" s="8">
        <f t="shared" si="15"/>
        <v>0</v>
      </c>
      <c r="M455" t="s">
        <v>20</v>
      </c>
      <c r="N455" t="s">
        <v>421</v>
      </c>
    </row>
    <row r="456" spans="1:14" x14ac:dyDescent="0.3">
      <c r="A456" t="s">
        <v>1891</v>
      </c>
      <c r="B456" s="2">
        <v>46245</v>
      </c>
      <c r="C456" s="2">
        <v>46246</v>
      </c>
      <c r="D456" s="1" t="s">
        <v>974</v>
      </c>
      <c r="E456" t="s">
        <v>975</v>
      </c>
      <c r="F456" t="s">
        <v>420</v>
      </c>
      <c r="G456">
        <v>65</v>
      </c>
      <c r="H456">
        <v>67</v>
      </c>
      <c r="I456">
        <v>67</v>
      </c>
      <c r="J456">
        <v>0</v>
      </c>
      <c r="K456" s="46">
        <f t="shared" si="14"/>
        <v>103.07692307692307</v>
      </c>
      <c r="L456" s="8">
        <f t="shared" si="15"/>
        <v>0</v>
      </c>
      <c r="M456" t="s">
        <v>20</v>
      </c>
      <c r="N456" t="s">
        <v>421</v>
      </c>
    </row>
    <row r="457" spans="1:14" x14ac:dyDescent="0.3">
      <c r="A457" t="s">
        <v>1892</v>
      </c>
      <c r="B457" s="2">
        <v>46246</v>
      </c>
      <c r="C457" s="2">
        <v>46247</v>
      </c>
      <c r="D457" s="1" t="s">
        <v>974</v>
      </c>
      <c r="E457" t="s">
        <v>975</v>
      </c>
      <c r="F457" t="s">
        <v>420</v>
      </c>
      <c r="G457">
        <v>65</v>
      </c>
      <c r="H457">
        <v>65</v>
      </c>
      <c r="I457">
        <v>65</v>
      </c>
      <c r="J457">
        <v>0</v>
      </c>
      <c r="K457" s="46">
        <f t="shared" si="14"/>
        <v>100</v>
      </c>
      <c r="L457" s="8">
        <f t="shared" si="15"/>
        <v>0</v>
      </c>
      <c r="M457" t="s">
        <v>20</v>
      </c>
      <c r="N457" t="s">
        <v>421</v>
      </c>
    </row>
    <row r="458" spans="1:14" x14ac:dyDescent="0.3">
      <c r="A458" t="s">
        <v>1893</v>
      </c>
      <c r="B458" s="2">
        <v>46241</v>
      </c>
      <c r="C458" s="2">
        <v>46244</v>
      </c>
      <c r="D458" s="1" t="s">
        <v>983</v>
      </c>
      <c r="E458" t="s">
        <v>984</v>
      </c>
      <c r="F458" t="s">
        <v>420</v>
      </c>
      <c r="G458">
        <v>621</v>
      </c>
      <c r="H458">
        <v>687</v>
      </c>
      <c r="I458">
        <v>687</v>
      </c>
      <c r="J458">
        <v>0</v>
      </c>
      <c r="K458" s="46">
        <f t="shared" si="14"/>
        <v>110.6280193236715</v>
      </c>
      <c r="L458" s="8">
        <f t="shared" si="15"/>
        <v>0</v>
      </c>
      <c r="M458" t="s">
        <v>20</v>
      </c>
      <c r="N458" t="s">
        <v>421</v>
      </c>
    </row>
    <row r="459" spans="1:14" x14ac:dyDescent="0.3">
      <c r="A459" t="s">
        <v>1894</v>
      </c>
      <c r="B459" s="2">
        <v>46252</v>
      </c>
      <c r="C459" s="2">
        <v>46252</v>
      </c>
      <c r="D459" s="1" t="s">
        <v>983</v>
      </c>
      <c r="E459" t="s">
        <v>984</v>
      </c>
      <c r="F459" t="s">
        <v>420</v>
      </c>
      <c r="G459">
        <v>621</v>
      </c>
      <c r="H459">
        <v>695</v>
      </c>
      <c r="I459">
        <v>695</v>
      </c>
      <c r="J459">
        <v>0</v>
      </c>
      <c r="K459" s="46">
        <f t="shared" si="14"/>
        <v>111.91626409017714</v>
      </c>
      <c r="L459" s="8">
        <f t="shared" si="15"/>
        <v>0</v>
      </c>
      <c r="M459" t="s">
        <v>20</v>
      </c>
      <c r="N459" t="s">
        <v>421</v>
      </c>
    </row>
    <row r="460" spans="1:14" x14ac:dyDescent="0.3">
      <c r="A460" t="s">
        <v>1895</v>
      </c>
      <c r="B460" s="2">
        <v>46244</v>
      </c>
      <c r="C460" s="2">
        <v>46245</v>
      </c>
      <c r="D460" s="1" t="s">
        <v>987</v>
      </c>
      <c r="E460" t="s">
        <v>988</v>
      </c>
      <c r="F460" t="s">
        <v>420</v>
      </c>
      <c r="G460">
        <v>315</v>
      </c>
      <c r="H460">
        <v>318</v>
      </c>
      <c r="I460">
        <v>318</v>
      </c>
      <c r="J460">
        <v>0</v>
      </c>
      <c r="K460" s="46">
        <f t="shared" si="14"/>
        <v>100.95238095238095</v>
      </c>
      <c r="L460" s="8">
        <f t="shared" si="15"/>
        <v>0</v>
      </c>
      <c r="M460" t="s">
        <v>20</v>
      </c>
      <c r="N460" t="s">
        <v>421</v>
      </c>
    </row>
    <row r="461" spans="1:14" x14ac:dyDescent="0.3">
      <c r="A461" t="s">
        <v>1896</v>
      </c>
      <c r="B461" s="2">
        <v>46246</v>
      </c>
      <c r="C461" s="2">
        <v>46247</v>
      </c>
      <c r="D461" s="1" t="s">
        <v>987</v>
      </c>
      <c r="E461" t="s">
        <v>988</v>
      </c>
      <c r="F461" t="s">
        <v>420</v>
      </c>
      <c r="G461">
        <v>315</v>
      </c>
      <c r="H461">
        <v>317</v>
      </c>
      <c r="I461">
        <v>317</v>
      </c>
      <c r="J461">
        <v>0</v>
      </c>
      <c r="K461" s="46">
        <f t="shared" si="14"/>
        <v>100.63492063492063</v>
      </c>
      <c r="L461" s="8">
        <f t="shared" si="15"/>
        <v>0</v>
      </c>
      <c r="M461" t="s">
        <v>20</v>
      </c>
      <c r="N461" t="s">
        <v>421</v>
      </c>
    </row>
    <row r="462" spans="1:14" x14ac:dyDescent="0.3">
      <c r="A462" t="s">
        <v>1897</v>
      </c>
      <c r="B462" s="2">
        <v>46251</v>
      </c>
      <c r="C462" s="2">
        <v>46251</v>
      </c>
      <c r="D462" s="1" t="s">
        <v>987</v>
      </c>
      <c r="E462" t="s">
        <v>988</v>
      </c>
      <c r="F462" t="s">
        <v>420</v>
      </c>
      <c r="G462">
        <v>315</v>
      </c>
      <c r="H462">
        <v>324</v>
      </c>
      <c r="I462">
        <v>324</v>
      </c>
      <c r="J462">
        <v>0</v>
      </c>
      <c r="K462" s="46">
        <f t="shared" si="14"/>
        <v>102.85714285714285</v>
      </c>
      <c r="L462" s="8">
        <f t="shared" si="15"/>
        <v>0</v>
      </c>
      <c r="M462" t="s">
        <v>20</v>
      </c>
      <c r="N462" t="s">
        <v>421</v>
      </c>
    </row>
    <row r="463" spans="1:14" x14ac:dyDescent="0.3">
      <c r="A463" t="s">
        <v>1898</v>
      </c>
      <c r="B463" s="2">
        <v>46240</v>
      </c>
      <c r="C463" s="2">
        <v>46241</v>
      </c>
      <c r="D463" s="1" t="s">
        <v>1000</v>
      </c>
      <c r="E463" t="s">
        <v>1001</v>
      </c>
      <c r="F463" t="s">
        <v>425</v>
      </c>
      <c r="G463">
        <v>2445</v>
      </c>
      <c r="H463">
        <v>2388</v>
      </c>
      <c r="I463">
        <v>2370</v>
      </c>
      <c r="J463">
        <v>18</v>
      </c>
      <c r="K463" s="46">
        <f t="shared" si="14"/>
        <v>97.668711656441715</v>
      </c>
      <c r="L463" s="8">
        <f t="shared" si="15"/>
        <v>0.75949367088607589</v>
      </c>
      <c r="M463" t="s">
        <v>20</v>
      </c>
      <c r="N463" t="s">
        <v>421</v>
      </c>
    </row>
    <row r="464" spans="1:14" x14ac:dyDescent="0.3">
      <c r="A464" t="s">
        <v>1899</v>
      </c>
      <c r="B464" s="2">
        <v>46241</v>
      </c>
      <c r="C464" s="2">
        <v>46244</v>
      </c>
      <c r="D464" s="1" t="s">
        <v>1000</v>
      </c>
      <c r="E464" t="s">
        <v>1001</v>
      </c>
      <c r="F464" t="s">
        <v>425</v>
      </c>
      <c r="G464">
        <v>2445</v>
      </c>
      <c r="H464">
        <v>2275</v>
      </c>
      <c r="I464">
        <v>2088</v>
      </c>
      <c r="J464">
        <v>187</v>
      </c>
      <c r="K464" s="46">
        <f t="shared" si="14"/>
        <v>93.047034764826179</v>
      </c>
      <c r="L464" s="8">
        <f t="shared" si="15"/>
        <v>8.9559386973180075</v>
      </c>
      <c r="M464" t="s">
        <v>20</v>
      </c>
      <c r="N464" t="s">
        <v>421</v>
      </c>
    </row>
    <row r="465" spans="1:14" x14ac:dyDescent="0.3">
      <c r="A465" t="s">
        <v>1900</v>
      </c>
      <c r="B465" s="2">
        <v>46244</v>
      </c>
      <c r="C465" s="2">
        <v>46245</v>
      </c>
      <c r="D465" s="1" t="s">
        <v>1000</v>
      </c>
      <c r="E465" t="s">
        <v>1001</v>
      </c>
      <c r="F465" t="s">
        <v>425</v>
      </c>
      <c r="G465">
        <v>2445</v>
      </c>
      <c r="H465">
        <v>2336</v>
      </c>
      <c r="I465">
        <v>2274</v>
      </c>
      <c r="J465">
        <v>62</v>
      </c>
      <c r="K465" s="46">
        <f t="shared" si="14"/>
        <v>95.541922290388541</v>
      </c>
      <c r="L465" s="8">
        <f t="shared" si="15"/>
        <v>2.7264731750219875</v>
      </c>
      <c r="M465" t="s">
        <v>20</v>
      </c>
      <c r="N465" t="s">
        <v>421</v>
      </c>
    </row>
    <row r="466" spans="1:14" x14ac:dyDescent="0.3">
      <c r="A466" t="s">
        <v>1901</v>
      </c>
      <c r="B466" s="2">
        <v>46245</v>
      </c>
      <c r="C466" s="2">
        <v>46246</v>
      </c>
      <c r="D466" s="1" t="s">
        <v>1000</v>
      </c>
      <c r="E466" t="s">
        <v>1001</v>
      </c>
      <c r="F466" t="s">
        <v>438</v>
      </c>
      <c r="G466">
        <v>3260</v>
      </c>
      <c r="H466">
        <v>3108</v>
      </c>
      <c r="I466">
        <v>3084</v>
      </c>
      <c r="J466">
        <v>24</v>
      </c>
      <c r="K466" s="46">
        <f t="shared" si="14"/>
        <v>95.337423312883445</v>
      </c>
      <c r="L466" s="8">
        <f t="shared" si="15"/>
        <v>0.77821011673151752</v>
      </c>
      <c r="M466" t="s">
        <v>20</v>
      </c>
      <c r="N466" t="s">
        <v>421</v>
      </c>
    </row>
    <row r="467" spans="1:14" x14ac:dyDescent="0.3">
      <c r="A467" t="s">
        <v>1902</v>
      </c>
      <c r="B467" s="2">
        <v>46247</v>
      </c>
      <c r="C467" s="2">
        <v>46248</v>
      </c>
      <c r="D467" s="1" t="s">
        <v>1000</v>
      </c>
      <c r="E467" t="s">
        <v>1001</v>
      </c>
      <c r="F467" t="s">
        <v>425</v>
      </c>
      <c r="G467">
        <v>2445</v>
      </c>
      <c r="H467">
        <v>2144</v>
      </c>
      <c r="I467">
        <v>2112</v>
      </c>
      <c r="J467">
        <v>32</v>
      </c>
      <c r="K467" s="46">
        <f t="shared" si="14"/>
        <v>87.689161554192225</v>
      </c>
      <c r="L467" s="8">
        <f t="shared" si="15"/>
        <v>1.5151515151515151</v>
      </c>
      <c r="M467" t="s">
        <v>20</v>
      </c>
      <c r="N467" t="s">
        <v>421</v>
      </c>
    </row>
    <row r="468" spans="1:14" x14ac:dyDescent="0.3">
      <c r="A468" t="s">
        <v>1903</v>
      </c>
      <c r="B468" s="2">
        <v>46248</v>
      </c>
      <c r="C468" s="2">
        <v>46251</v>
      </c>
      <c r="D468" s="1" t="s">
        <v>1000</v>
      </c>
      <c r="E468" t="s">
        <v>1001</v>
      </c>
      <c r="F468" t="s">
        <v>425</v>
      </c>
      <c r="G468">
        <v>1630</v>
      </c>
      <c r="H468">
        <v>1615</v>
      </c>
      <c r="I468">
        <v>1602</v>
      </c>
      <c r="J468">
        <v>13</v>
      </c>
      <c r="K468" s="46">
        <f t="shared" si="14"/>
        <v>99.079754601226995</v>
      </c>
      <c r="L468" s="8">
        <f t="shared" si="15"/>
        <v>0.8114856429463172</v>
      </c>
      <c r="M468" t="s">
        <v>20</v>
      </c>
      <c r="N468" t="s">
        <v>421</v>
      </c>
    </row>
    <row r="469" spans="1:14" x14ac:dyDescent="0.3">
      <c r="A469" t="s">
        <v>1904</v>
      </c>
      <c r="B469" s="2">
        <v>46251</v>
      </c>
      <c r="C469" s="2">
        <v>46253</v>
      </c>
      <c r="D469" s="1" t="s">
        <v>1000</v>
      </c>
      <c r="E469" t="s">
        <v>1001</v>
      </c>
      <c r="F469" t="s">
        <v>425</v>
      </c>
      <c r="G469">
        <v>1630</v>
      </c>
      <c r="H469">
        <v>1636</v>
      </c>
      <c r="I469">
        <v>1560</v>
      </c>
      <c r="J469">
        <v>76</v>
      </c>
      <c r="K469" s="46">
        <f t="shared" si="14"/>
        <v>100.3680981595092</v>
      </c>
      <c r="L469" s="8">
        <f t="shared" si="15"/>
        <v>4.8717948717948723</v>
      </c>
      <c r="M469" t="s">
        <v>20</v>
      </c>
      <c r="N469" t="s">
        <v>421</v>
      </c>
    </row>
    <row r="470" spans="1:14" x14ac:dyDescent="0.3">
      <c r="A470" t="s">
        <v>1441</v>
      </c>
      <c r="B470" s="2">
        <v>46239</v>
      </c>
      <c r="C470" s="2">
        <v>46240</v>
      </c>
      <c r="D470" s="1" t="s">
        <v>1011</v>
      </c>
      <c r="E470" t="s">
        <v>1012</v>
      </c>
      <c r="F470" t="s">
        <v>438</v>
      </c>
      <c r="G470">
        <v>2010</v>
      </c>
      <c r="H470">
        <v>2274</v>
      </c>
      <c r="I470">
        <v>2256</v>
      </c>
      <c r="J470">
        <v>18</v>
      </c>
      <c r="K470" s="46">
        <f t="shared" si="14"/>
        <v>113.13432835820896</v>
      </c>
      <c r="L470" s="8">
        <f t="shared" si="15"/>
        <v>0.7978723404255319</v>
      </c>
      <c r="M470" t="s">
        <v>20</v>
      </c>
      <c r="N470" t="s">
        <v>421</v>
      </c>
    </row>
    <row r="471" spans="1:14" x14ac:dyDescent="0.3">
      <c r="A471" t="s">
        <v>1905</v>
      </c>
      <c r="B471" s="2">
        <v>46240</v>
      </c>
      <c r="C471" s="2">
        <v>46241</v>
      </c>
      <c r="D471" s="1" t="s">
        <v>1011</v>
      </c>
      <c r="E471" t="s">
        <v>1012</v>
      </c>
      <c r="F471" t="s">
        <v>438</v>
      </c>
      <c r="G471">
        <v>4020</v>
      </c>
      <c r="H471">
        <v>4496</v>
      </c>
      <c r="I471">
        <v>4458</v>
      </c>
      <c r="J471">
        <v>38</v>
      </c>
      <c r="K471" s="46">
        <f t="shared" si="14"/>
        <v>111.84079601990049</v>
      </c>
      <c r="L471" s="8">
        <f t="shared" si="15"/>
        <v>0.85240017945266944</v>
      </c>
      <c r="M471" t="s">
        <v>20</v>
      </c>
      <c r="N471" t="s">
        <v>421</v>
      </c>
    </row>
    <row r="472" spans="1:14" x14ac:dyDescent="0.3">
      <c r="A472" t="s">
        <v>1906</v>
      </c>
      <c r="B472" s="2">
        <v>46244</v>
      </c>
      <c r="C472" s="2">
        <v>46245</v>
      </c>
      <c r="D472" s="1" t="s">
        <v>1011</v>
      </c>
      <c r="E472" t="s">
        <v>1012</v>
      </c>
      <c r="F472" t="s">
        <v>438</v>
      </c>
      <c r="G472">
        <v>2680</v>
      </c>
      <c r="H472">
        <v>3017</v>
      </c>
      <c r="I472">
        <v>2904</v>
      </c>
      <c r="J472">
        <v>113</v>
      </c>
      <c r="K472" s="46">
        <f t="shared" si="14"/>
        <v>112.57462686567163</v>
      </c>
      <c r="L472" s="8">
        <f t="shared" si="15"/>
        <v>3.8911845730027546</v>
      </c>
      <c r="M472" t="s">
        <v>20</v>
      </c>
      <c r="N472" t="s">
        <v>421</v>
      </c>
    </row>
    <row r="473" spans="1:14" x14ac:dyDescent="0.3">
      <c r="A473" t="s">
        <v>1907</v>
      </c>
      <c r="B473" s="2">
        <v>46247</v>
      </c>
      <c r="C473" s="2">
        <v>46248</v>
      </c>
      <c r="D473" s="1" t="s">
        <v>1011</v>
      </c>
      <c r="E473" t="s">
        <v>1012</v>
      </c>
      <c r="F473" t="s">
        <v>438</v>
      </c>
      <c r="G473">
        <v>4020</v>
      </c>
      <c r="H473">
        <v>4602</v>
      </c>
      <c r="I473">
        <v>4566</v>
      </c>
      <c r="J473">
        <v>36</v>
      </c>
      <c r="K473" s="46">
        <f t="shared" si="14"/>
        <v>114.4776119402985</v>
      </c>
      <c r="L473" s="8">
        <f t="shared" si="15"/>
        <v>0.78843626806833111</v>
      </c>
      <c r="M473" t="s">
        <v>20</v>
      </c>
      <c r="N473" t="s">
        <v>421</v>
      </c>
    </row>
    <row r="474" spans="1:14" x14ac:dyDescent="0.3">
      <c r="A474" t="s">
        <v>1908</v>
      </c>
      <c r="B474" s="2">
        <v>46248</v>
      </c>
      <c r="C474" s="2">
        <v>46251</v>
      </c>
      <c r="D474" s="1" t="s">
        <v>1011</v>
      </c>
      <c r="E474" t="s">
        <v>1012</v>
      </c>
      <c r="F474" t="s">
        <v>438</v>
      </c>
      <c r="G474">
        <v>4690</v>
      </c>
      <c r="H474">
        <v>5331</v>
      </c>
      <c r="I474">
        <v>5280</v>
      </c>
      <c r="J474">
        <v>51</v>
      </c>
      <c r="K474" s="46">
        <f t="shared" si="14"/>
        <v>113.66737739872067</v>
      </c>
      <c r="L474" s="8">
        <f t="shared" si="15"/>
        <v>0.96590909090909083</v>
      </c>
      <c r="M474" t="s">
        <v>20</v>
      </c>
      <c r="N474" t="s">
        <v>421</v>
      </c>
    </row>
    <row r="475" spans="1:14" x14ac:dyDescent="0.3">
      <c r="A475" t="s">
        <v>1909</v>
      </c>
      <c r="B475" s="2">
        <v>46244</v>
      </c>
      <c r="C475" s="2">
        <v>46245</v>
      </c>
      <c r="D475" s="1" t="s">
        <v>1016</v>
      </c>
      <c r="E475" t="s">
        <v>1017</v>
      </c>
      <c r="F475" t="s">
        <v>425</v>
      </c>
      <c r="G475">
        <v>815</v>
      </c>
      <c r="H475">
        <v>771</v>
      </c>
      <c r="I475">
        <v>756</v>
      </c>
      <c r="J475">
        <v>15</v>
      </c>
      <c r="K475" s="46">
        <f t="shared" si="14"/>
        <v>94.601226993865026</v>
      </c>
      <c r="L475" s="8">
        <f t="shared" si="15"/>
        <v>1.984126984126984</v>
      </c>
      <c r="M475" t="s">
        <v>20</v>
      </c>
      <c r="N475" t="s">
        <v>421</v>
      </c>
    </row>
    <row r="476" spans="1:14" x14ac:dyDescent="0.3">
      <c r="A476" t="s">
        <v>1910</v>
      </c>
      <c r="B476" s="2">
        <v>46247</v>
      </c>
      <c r="C476" s="2">
        <v>46248</v>
      </c>
      <c r="D476" s="1" t="s">
        <v>1016</v>
      </c>
      <c r="E476" t="s">
        <v>1017</v>
      </c>
      <c r="F476" t="s">
        <v>425</v>
      </c>
      <c r="G476">
        <v>815</v>
      </c>
      <c r="H476">
        <v>794</v>
      </c>
      <c r="I476">
        <v>792</v>
      </c>
      <c r="J476">
        <v>2</v>
      </c>
      <c r="K476" s="46">
        <f t="shared" si="14"/>
        <v>97.423312883435585</v>
      </c>
      <c r="L476" s="8">
        <f t="shared" si="15"/>
        <v>0.25252525252525254</v>
      </c>
      <c r="M476" t="s">
        <v>20</v>
      </c>
      <c r="N476" t="s">
        <v>421</v>
      </c>
    </row>
    <row r="477" spans="1:14" x14ac:dyDescent="0.3">
      <c r="A477" t="s">
        <v>1911</v>
      </c>
      <c r="B477" s="2">
        <v>46244</v>
      </c>
      <c r="C477" s="2">
        <v>46245</v>
      </c>
      <c r="D477" s="1" t="s">
        <v>1022</v>
      </c>
      <c r="E477" t="s">
        <v>1023</v>
      </c>
      <c r="F477" t="s">
        <v>420</v>
      </c>
      <c r="G477">
        <v>78</v>
      </c>
      <c r="H477">
        <v>75</v>
      </c>
      <c r="I477">
        <v>75</v>
      </c>
      <c r="J477">
        <v>0</v>
      </c>
      <c r="K477" s="46">
        <f t="shared" si="14"/>
        <v>96.15384615384616</v>
      </c>
      <c r="L477" s="8">
        <f t="shared" si="15"/>
        <v>0</v>
      </c>
      <c r="M477" t="s">
        <v>20</v>
      </c>
      <c r="N477" t="s">
        <v>421</v>
      </c>
    </row>
    <row r="478" spans="1:14" x14ac:dyDescent="0.3">
      <c r="A478" t="s">
        <v>1445</v>
      </c>
      <c r="B478" s="2">
        <v>46239</v>
      </c>
      <c r="C478" s="2">
        <v>46240</v>
      </c>
      <c r="D478" s="1" t="s">
        <v>1025</v>
      </c>
      <c r="E478" t="s">
        <v>1026</v>
      </c>
      <c r="F478" t="s">
        <v>420</v>
      </c>
      <c r="G478">
        <v>120</v>
      </c>
      <c r="H478">
        <v>130</v>
      </c>
      <c r="I478">
        <v>130</v>
      </c>
      <c r="J478">
        <v>0</v>
      </c>
      <c r="K478" s="46">
        <f t="shared" si="14"/>
        <v>108.33333333333333</v>
      </c>
      <c r="L478" s="8">
        <f t="shared" si="15"/>
        <v>0</v>
      </c>
      <c r="M478" t="s">
        <v>20</v>
      </c>
      <c r="N478" t="s">
        <v>421</v>
      </c>
    </row>
    <row r="479" spans="1:14" x14ac:dyDescent="0.3">
      <c r="A479" t="s">
        <v>1447</v>
      </c>
      <c r="B479" s="2">
        <v>46238</v>
      </c>
      <c r="C479" s="2">
        <v>46240</v>
      </c>
      <c r="D479" s="1" t="s">
        <v>1033</v>
      </c>
      <c r="E479" t="s">
        <v>1034</v>
      </c>
      <c r="F479" t="s">
        <v>438</v>
      </c>
      <c r="G479">
        <v>204</v>
      </c>
      <c r="H479">
        <v>187</v>
      </c>
      <c r="I479">
        <v>181</v>
      </c>
      <c r="J479">
        <v>6</v>
      </c>
      <c r="K479" s="46">
        <f t="shared" si="14"/>
        <v>91.666666666666657</v>
      </c>
      <c r="L479" s="8">
        <f t="shared" si="15"/>
        <v>3.3149171270718232</v>
      </c>
      <c r="M479" t="s">
        <v>20</v>
      </c>
      <c r="N479" t="s">
        <v>421</v>
      </c>
    </row>
    <row r="480" spans="1:14" x14ac:dyDescent="0.3">
      <c r="A480" t="s">
        <v>1912</v>
      </c>
      <c r="B480" s="2">
        <v>46244</v>
      </c>
      <c r="C480" s="2">
        <v>46245</v>
      </c>
      <c r="D480" s="1" t="s">
        <v>1033</v>
      </c>
      <c r="E480" t="s">
        <v>1034</v>
      </c>
      <c r="F480" t="s">
        <v>438</v>
      </c>
      <c r="G480">
        <v>204</v>
      </c>
      <c r="H480">
        <v>184</v>
      </c>
      <c r="I480">
        <v>174</v>
      </c>
      <c r="J480">
        <v>10</v>
      </c>
      <c r="K480" s="46">
        <f t="shared" si="14"/>
        <v>90.196078431372555</v>
      </c>
      <c r="L480" s="8">
        <f t="shared" si="15"/>
        <v>5.7471264367816088</v>
      </c>
      <c r="M480" t="s">
        <v>20</v>
      </c>
      <c r="N480" t="s">
        <v>421</v>
      </c>
    </row>
    <row r="481" spans="1:14" x14ac:dyDescent="0.3">
      <c r="A481" t="s">
        <v>1913</v>
      </c>
      <c r="B481" s="2">
        <v>46245</v>
      </c>
      <c r="C481" s="2">
        <v>46247</v>
      </c>
      <c r="D481" s="1" t="s">
        <v>1033</v>
      </c>
      <c r="E481" t="s">
        <v>1034</v>
      </c>
      <c r="F481" t="s">
        <v>438</v>
      </c>
      <c r="G481">
        <v>204</v>
      </c>
      <c r="H481">
        <v>189</v>
      </c>
      <c r="I481">
        <v>189</v>
      </c>
      <c r="J481">
        <v>0</v>
      </c>
      <c r="K481" s="46">
        <f t="shared" si="14"/>
        <v>92.64705882352942</v>
      </c>
      <c r="L481" s="8">
        <f t="shared" si="15"/>
        <v>0</v>
      </c>
      <c r="M481" t="s">
        <v>20</v>
      </c>
      <c r="N481" t="s">
        <v>421</v>
      </c>
    </row>
    <row r="482" spans="1:14" x14ac:dyDescent="0.3">
      <c r="A482" t="s">
        <v>1914</v>
      </c>
      <c r="B482" s="2">
        <v>46246</v>
      </c>
      <c r="C482" s="2">
        <v>46247</v>
      </c>
      <c r="D482" s="1" t="s">
        <v>1033</v>
      </c>
      <c r="E482" t="s">
        <v>1034</v>
      </c>
      <c r="F482" t="s">
        <v>438</v>
      </c>
      <c r="G482">
        <v>204</v>
      </c>
      <c r="H482">
        <v>195</v>
      </c>
      <c r="I482">
        <v>191</v>
      </c>
      <c r="J482">
        <v>4</v>
      </c>
      <c r="K482" s="46">
        <f t="shared" si="14"/>
        <v>95.588235294117652</v>
      </c>
      <c r="L482" s="8">
        <f t="shared" si="15"/>
        <v>2.0942408376963351</v>
      </c>
      <c r="M482" t="s">
        <v>20</v>
      </c>
      <c r="N482" t="s">
        <v>421</v>
      </c>
    </row>
    <row r="483" spans="1:14" x14ac:dyDescent="0.3">
      <c r="A483" t="s">
        <v>1915</v>
      </c>
      <c r="B483" s="2">
        <v>46247</v>
      </c>
      <c r="C483" s="2">
        <v>46251</v>
      </c>
      <c r="D483" s="1" t="s">
        <v>1033</v>
      </c>
      <c r="E483" t="s">
        <v>1034</v>
      </c>
      <c r="F483" t="s">
        <v>438</v>
      </c>
      <c r="G483">
        <v>204</v>
      </c>
      <c r="H483">
        <v>192</v>
      </c>
      <c r="I483">
        <v>185</v>
      </c>
      <c r="J483">
        <v>7</v>
      </c>
      <c r="K483" s="46">
        <f t="shared" si="14"/>
        <v>94.117647058823522</v>
      </c>
      <c r="L483" s="8">
        <f t="shared" si="15"/>
        <v>3.7837837837837842</v>
      </c>
      <c r="M483" t="s">
        <v>20</v>
      </c>
      <c r="N483" t="s">
        <v>421</v>
      </c>
    </row>
    <row r="484" spans="1:14" x14ac:dyDescent="0.3">
      <c r="A484" t="s">
        <v>1448</v>
      </c>
      <c r="B484" s="2">
        <v>46238</v>
      </c>
      <c r="C484" s="2">
        <v>46240</v>
      </c>
      <c r="D484" s="1" t="s">
        <v>1045</v>
      </c>
      <c r="E484" t="s">
        <v>1046</v>
      </c>
      <c r="F484" t="s">
        <v>438</v>
      </c>
      <c r="G484">
        <v>204</v>
      </c>
      <c r="H484">
        <v>204</v>
      </c>
      <c r="I484">
        <v>202</v>
      </c>
      <c r="J484">
        <v>2</v>
      </c>
      <c r="K484" s="46">
        <f t="shared" si="14"/>
        <v>100</v>
      </c>
      <c r="L484" s="8">
        <f t="shared" si="15"/>
        <v>0.99009900990099009</v>
      </c>
      <c r="M484" t="s">
        <v>20</v>
      </c>
      <c r="N484" t="s">
        <v>421</v>
      </c>
    </row>
    <row r="485" spans="1:14" x14ac:dyDescent="0.3">
      <c r="A485" t="s">
        <v>1916</v>
      </c>
      <c r="B485" s="2">
        <v>46244</v>
      </c>
      <c r="C485" s="2">
        <v>46245</v>
      </c>
      <c r="D485" s="1" t="s">
        <v>1045</v>
      </c>
      <c r="E485" t="s">
        <v>1046</v>
      </c>
      <c r="F485" t="s">
        <v>438</v>
      </c>
      <c r="G485">
        <v>204</v>
      </c>
      <c r="H485">
        <v>207</v>
      </c>
      <c r="I485">
        <v>204</v>
      </c>
      <c r="J485">
        <v>3</v>
      </c>
      <c r="K485" s="46">
        <f t="shared" si="14"/>
        <v>101.47058823529412</v>
      </c>
      <c r="L485" s="8">
        <f t="shared" si="15"/>
        <v>1.4705882352941175</v>
      </c>
      <c r="M485" t="s">
        <v>20</v>
      </c>
      <c r="N485" t="s">
        <v>421</v>
      </c>
    </row>
    <row r="486" spans="1:14" x14ac:dyDescent="0.3">
      <c r="A486" t="s">
        <v>1917</v>
      </c>
      <c r="B486" s="2">
        <v>46247</v>
      </c>
      <c r="C486" s="2">
        <v>46251</v>
      </c>
      <c r="D486" s="1" t="s">
        <v>1045</v>
      </c>
      <c r="E486" t="s">
        <v>1046</v>
      </c>
      <c r="F486" t="s">
        <v>438</v>
      </c>
      <c r="G486">
        <v>204</v>
      </c>
      <c r="H486">
        <v>204</v>
      </c>
      <c r="I486">
        <v>200</v>
      </c>
      <c r="J486">
        <v>4</v>
      </c>
      <c r="K486" s="46">
        <f t="shared" si="14"/>
        <v>100</v>
      </c>
      <c r="L486" s="8">
        <f t="shared" si="15"/>
        <v>2</v>
      </c>
      <c r="M486" t="s">
        <v>20</v>
      </c>
      <c r="N486" t="s">
        <v>421</v>
      </c>
    </row>
    <row r="487" spans="1:14" x14ac:dyDescent="0.3">
      <c r="A487" t="s">
        <v>1918</v>
      </c>
      <c r="B487" s="2">
        <v>46244</v>
      </c>
      <c r="C487" s="2">
        <v>46245</v>
      </c>
      <c r="D487" s="1" t="s">
        <v>1050</v>
      </c>
      <c r="E487" t="s">
        <v>1051</v>
      </c>
      <c r="F487" t="s">
        <v>438</v>
      </c>
      <c r="G487">
        <v>85</v>
      </c>
      <c r="H487">
        <v>82</v>
      </c>
      <c r="I487">
        <v>79</v>
      </c>
      <c r="J487">
        <v>3</v>
      </c>
      <c r="K487" s="46">
        <f t="shared" si="14"/>
        <v>96.470588235294116</v>
      </c>
      <c r="L487" s="8">
        <f t="shared" si="15"/>
        <v>3.79746835443038</v>
      </c>
      <c r="M487" t="s">
        <v>20</v>
      </c>
      <c r="N487" t="s">
        <v>421</v>
      </c>
    </row>
    <row r="488" spans="1:14" x14ac:dyDescent="0.3">
      <c r="A488" t="s">
        <v>1919</v>
      </c>
      <c r="B488" s="2">
        <v>46245</v>
      </c>
      <c r="C488" s="2">
        <v>46247</v>
      </c>
      <c r="D488" s="1" t="s">
        <v>1050</v>
      </c>
      <c r="E488" t="s">
        <v>1051</v>
      </c>
      <c r="F488" t="s">
        <v>438</v>
      </c>
      <c r="G488">
        <v>170</v>
      </c>
      <c r="H488">
        <v>163</v>
      </c>
      <c r="I488">
        <v>162</v>
      </c>
      <c r="J488">
        <v>1</v>
      </c>
      <c r="K488" s="46">
        <f t="shared" si="14"/>
        <v>95.882352941176478</v>
      </c>
      <c r="L488" s="8">
        <f t="shared" si="15"/>
        <v>0.61728395061728392</v>
      </c>
      <c r="M488" t="s">
        <v>20</v>
      </c>
      <c r="N488" t="s">
        <v>421</v>
      </c>
    </row>
    <row r="489" spans="1:14" x14ac:dyDescent="0.3">
      <c r="A489" t="s">
        <v>1920</v>
      </c>
      <c r="B489" s="2">
        <v>46246</v>
      </c>
      <c r="C489" s="2">
        <v>46247</v>
      </c>
      <c r="D489" s="1" t="s">
        <v>1050</v>
      </c>
      <c r="E489" t="s">
        <v>1051</v>
      </c>
      <c r="F489" t="s">
        <v>438</v>
      </c>
      <c r="G489">
        <v>170</v>
      </c>
      <c r="H489">
        <v>167</v>
      </c>
      <c r="I489">
        <v>164</v>
      </c>
      <c r="J489">
        <v>3</v>
      </c>
      <c r="K489" s="46">
        <f t="shared" si="14"/>
        <v>98.235294117647058</v>
      </c>
      <c r="L489" s="8">
        <f t="shared" si="15"/>
        <v>1.8292682926829267</v>
      </c>
      <c r="M489" t="s">
        <v>20</v>
      </c>
      <c r="N489" t="s">
        <v>421</v>
      </c>
    </row>
    <row r="490" spans="1:14" x14ac:dyDescent="0.3">
      <c r="A490" t="s">
        <v>1921</v>
      </c>
      <c r="B490" s="2">
        <v>46247</v>
      </c>
      <c r="C490" s="2">
        <v>46251</v>
      </c>
      <c r="D490" s="1" t="s">
        <v>1050</v>
      </c>
      <c r="E490" t="s">
        <v>1051</v>
      </c>
      <c r="F490" t="s">
        <v>438</v>
      </c>
      <c r="G490">
        <v>170</v>
      </c>
      <c r="H490">
        <v>165</v>
      </c>
      <c r="I490">
        <v>159</v>
      </c>
      <c r="J490">
        <v>6</v>
      </c>
      <c r="K490" s="46">
        <f t="shared" si="14"/>
        <v>97.058823529411768</v>
      </c>
      <c r="L490" s="8">
        <f t="shared" si="15"/>
        <v>3.7735849056603774</v>
      </c>
      <c r="M490" t="s">
        <v>20</v>
      </c>
      <c r="N490" t="s">
        <v>421</v>
      </c>
    </row>
    <row r="491" spans="1:14" x14ac:dyDescent="0.3">
      <c r="A491" t="s">
        <v>1922</v>
      </c>
      <c r="B491" s="2">
        <v>46244</v>
      </c>
      <c r="C491" s="2">
        <v>46245</v>
      </c>
      <c r="D491" s="1" t="s">
        <v>1059</v>
      </c>
      <c r="E491" t="s">
        <v>1060</v>
      </c>
      <c r="F491" t="s">
        <v>438</v>
      </c>
      <c r="G491">
        <v>137</v>
      </c>
      <c r="H491">
        <v>171</v>
      </c>
      <c r="I491">
        <v>165</v>
      </c>
      <c r="J491">
        <v>6</v>
      </c>
      <c r="K491" s="46">
        <f t="shared" si="14"/>
        <v>124.81751824817518</v>
      </c>
      <c r="L491" s="8">
        <f t="shared" si="15"/>
        <v>3.6363636363636362</v>
      </c>
      <c r="M491" t="s">
        <v>20</v>
      </c>
      <c r="N491" t="s">
        <v>421</v>
      </c>
    </row>
    <row r="492" spans="1:14" x14ac:dyDescent="0.3">
      <c r="A492" t="s">
        <v>1923</v>
      </c>
      <c r="B492" s="2">
        <v>46246</v>
      </c>
      <c r="C492" s="2">
        <v>46247</v>
      </c>
      <c r="D492" s="1" t="s">
        <v>1059</v>
      </c>
      <c r="E492" t="s">
        <v>1060</v>
      </c>
      <c r="F492" t="s">
        <v>438</v>
      </c>
      <c r="G492">
        <v>137</v>
      </c>
      <c r="H492">
        <v>160</v>
      </c>
      <c r="I492">
        <v>148</v>
      </c>
      <c r="J492">
        <v>12</v>
      </c>
      <c r="K492" s="46">
        <f t="shared" si="14"/>
        <v>116.7883211678832</v>
      </c>
      <c r="L492" s="8">
        <f t="shared" si="15"/>
        <v>8.1081081081081088</v>
      </c>
      <c r="M492" t="s">
        <v>20</v>
      </c>
      <c r="N492" t="s">
        <v>421</v>
      </c>
    </row>
    <row r="493" spans="1:14" x14ac:dyDescent="0.3">
      <c r="A493" t="s">
        <v>1924</v>
      </c>
      <c r="B493" s="2">
        <v>46241</v>
      </c>
      <c r="C493" s="2">
        <v>46244</v>
      </c>
      <c r="D493" s="1" t="s">
        <v>1073</v>
      </c>
      <c r="E493" t="s">
        <v>1074</v>
      </c>
      <c r="F493" t="s">
        <v>677</v>
      </c>
      <c r="G493">
        <v>6000</v>
      </c>
      <c r="H493">
        <v>5990</v>
      </c>
      <c r="I493">
        <v>5970</v>
      </c>
      <c r="J493">
        <v>20</v>
      </c>
      <c r="K493" s="46">
        <f t="shared" si="14"/>
        <v>99.833333333333329</v>
      </c>
      <c r="L493" s="8">
        <f t="shared" si="15"/>
        <v>0.33500837520938026</v>
      </c>
      <c r="M493" t="s">
        <v>20</v>
      </c>
      <c r="N493" t="s">
        <v>421</v>
      </c>
    </row>
    <row r="494" spans="1:14" x14ac:dyDescent="0.3">
      <c r="A494" t="s">
        <v>1925</v>
      </c>
      <c r="B494" s="2">
        <v>46244</v>
      </c>
      <c r="C494" s="2">
        <v>46245</v>
      </c>
      <c r="D494" s="1" t="s">
        <v>1073</v>
      </c>
      <c r="E494" t="s">
        <v>1074</v>
      </c>
      <c r="F494" t="s">
        <v>677</v>
      </c>
      <c r="G494">
        <v>3600</v>
      </c>
      <c r="H494">
        <v>4111</v>
      </c>
      <c r="I494">
        <v>4110</v>
      </c>
      <c r="J494">
        <v>1</v>
      </c>
      <c r="K494" s="46">
        <f t="shared" si="14"/>
        <v>114.19444444444444</v>
      </c>
      <c r="L494" s="8">
        <f t="shared" si="15"/>
        <v>2.4330900243309004E-2</v>
      </c>
      <c r="M494" t="s">
        <v>20</v>
      </c>
      <c r="N494" t="s">
        <v>421</v>
      </c>
    </row>
    <row r="495" spans="1:14" x14ac:dyDescent="0.3">
      <c r="A495" t="s">
        <v>1926</v>
      </c>
      <c r="B495" s="2">
        <v>46244</v>
      </c>
      <c r="C495" s="2">
        <v>46245</v>
      </c>
      <c r="D495" s="1" t="s">
        <v>1081</v>
      </c>
      <c r="E495" t="s">
        <v>1453</v>
      </c>
      <c r="F495" t="s">
        <v>677</v>
      </c>
      <c r="G495">
        <v>4000</v>
      </c>
      <c r="H495">
        <v>3780</v>
      </c>
      <c r="I495">
        <v>3780</v>
      </c>
      <c r="J495">
        <v>0</v>
      </c>
      <c r="K495" s="46">
        <f t="shared" si="14"/>
        <v>94.5</v>
      </c>
      <c r="L495" s="8">
        <f t="shared" si="15"/>
        <v>0</v>
      </c>
      <c r="M495" t="s">
        <v>20</v>
      </c>
      <c r="N495" t="s">
        <v>421</v>
      </c>
    </row>
    <row r="496" spans="1:14" x14ac:dyDescent="0.3">
      <c r="A496" t="s">
        <v>1456</v>
      </c>
      <c r="B496" s="2">
        <v>46239</v>
      </c>
      <c r="C496" s="2">
        <v>46240</v>
      </c>
      <c r="D496" s="1" t="s">
        <v>1085</v>
      </c>
      <c r="E496" t="s">
        <v>1086</v>
      </c>
      <c r="F496" t="s">
        <v>438</v>
      </c>
      <c r="G496">
        <v>600</v>
      </c>
      <c r="H496">
        <v>564</v>
      </c>
      <c r="I496">
        <v>564</v>
      </c>
      <c r="J496">
        <v>0</v>
      </c>
      <c r="K496" s="46">
        <f t="shared" si="14"/>
        <v>94</v>
      </c>
      <c r="L496" s="8">
        <f t="shared" si="15"/>
        <v>0</v>
      </c>
      <c r="M496" t="s">
        <v>20</v>
      </c>
      <c r="N496" t="s">
        <v>421</v>
      </c>
    </row>
    <row r="497" spans="1:14" x14ac:dyDescent="0.3">
      <c r="A497" t="s">
        <v>1927</v>
      </c>
      <c r="B497" s="2">
        <v>46251</v>
      </c>
      <c r="C497" s="2">
        <v>46253</v>
      </c>
      <c r="D497" s="1" t="s">
        <v>1085</v>
      </c>
      <c r="E497" t="s">
        <v>1086</v>
      </c>
      <c r="F497" t="s">
        <v>438</v>
      </c>
      <c r="G497">
        <v>600</v>
      </c>
      <c r="H497">
        <v>565</v>
      </c>
      <c r="I497">
        <v>556</v>
      </c>
      <c r="J497">
        <v>9</v>
      </c>
      <c r="K497" s="46">
        <f t="shared" si="14"/>
        <v>94.166666666666671</v>
      </c>
      <c r="L497" s="8">
        <f t="shared" si="15"/>
        <v>1.6187050359712229</v>
      </c>
      <c r="M497" t="s">
        <v>20</v>
      </c>
      <c r="N497" t="s">
        <v>421</v>
      </c>
    </row>
    <row r="498" spans="1:14" x14ac:dyDescent="0.3">
      <c r="A498" t="s">
        <v>1928</v>
      </c>
      <c r="B498" s="2">
        <v>46252</v>
      </c>
      <c r="C498" s="2">
        <v>46254</v>
      </c>
      <c r="D498" s="1" t="s">
        <v>1085</v>
      </c>
      <c r="E498" t="s">
        <v>1086</v>
      </c>
      <c r="F498" t="s">
        <v>438</v>
      </c>
      <c r="G498">
        <v>600</v>
      </c>
      <c r="H498">
        <v>599</v>
      </c>
      <c r="I498">
        <v>592</v>
      </c>
      <c r="J498">
        <v>7</v>
      </c>
      <c r="K498" s="46">
        <f t="shared" si="14"/>
        <v>99.833333333333329</v>
      </c>
      <c r="L498" s="8">
        <f t="shared" si="15"/>
        <v>1.1824324324324325</v>
      </c>
      <c r="M498" t="s">
        <v>20</v>
      </c>
      <c r="N498" t="s">
        <v>421</v>
      </c>
    </row>
    <row r="499" spans="1:14" x14ac:dyDescent="0.3">
      <c r="A499" t="s">
        <v>1929</v>
      </c>
      <c r="B499" s="2">
        <v>46245</v>
      </c>
      <c r="C499" s="2">
        <v>46246</v>
      </c>
      <c r="D499" s="1" t="s">
        <v>1930</v>
      </c>
      <c r="E499" t="s">
        <v>1931</v>
      </c>
      <c r="F499" t="s">
        <v>438</v>
      </c>
      <c r="G499">
        <v>580</v>
      </c>
      <c r="H499">
        <v>680</v>
      </c>
      <c r="I499">
        <v>620</v>
      </c>
      <c r="J499">
        <v>60</v>
      </c>
      <c r="K499" s="46">
        <f t="shared" si="14"/>
        <v>117.24137931034481</v>
      </c>
      <c r="L499" s="8">
        <f t="shared" si="15"/>
        <v>9.67741935483871</v>
      </c>
      <c r="M499" t="s">
        <v>20</v>
      </c>
      <c r="N499" t="s">
        <v>421</v>
      </c>
    </row>
    <row r="500" spans="1:14" x14ac:dyDescent="0.3">
      <c r="A500" t="s">
        <v>1458</v>
      </c>
      <c r="B500" s="2">
        <v>46239</v>
      </c>
      <c r="C500" s="2">
        <v>46240</v>
      </c>
      <c r="D500" s="1" t="s">
        <v>1098</v>
      </c>
      <c r="E500" t="s">
        <v>1099</v>
      </c>
      <c r="F500" t="s">
        <v>438</v>
      </c>
      <c r="G500">
        <v>1200</v>
      </c>
      <c r="H500">
        <v>1315</v>
      </c>
      <c r="I500">
        <v>1280</v>
      </c>
      <c r="J500">
        <v>35</v>
      </c>
      <c r="K500" s="46">
        <f t="shared" si="14"/>
        <v>109.58333333333334</v>
      </c>
      <c r="L500" s="8">
        <f t="shared" si="15"/>
        <v>2.734375</v>
      </c>
      <c r="M500" t="s">
        <v>20</v>
      </c>
      <c r="N500" t="s">
        <v>421</v>
      </c>
    </row>
    <row r="501" spans="1:14" x14ac:dyDescent="0.3">
      <c r="A501" t="s">
        <v>1932</v>
      </c>
      <c r="B501" s="2">
        <v>46240</v>
      </c>
      <c r="C501" s="2">
        <v>46241</v>
      </c>
      <c r="D501" s="1" t="s">
        <v>1098</v>
      </c>
      <c r="E501" t="s">
        <v>1099</v>
      </c>
      <c r="F501" t="s">
        <v>438</v>
      </c>
      <c r="G501">
        <v>1200</v>
      </c>
      <c r="H501">
        <v>1300</v>
      </c>
      <c r="I501">
        <v>1260</v>
      </c>
      <c r="J501">
        <v>40</v>
      </c>
      <c r="K501" s="46">
        <f t="shared" si="14"/>
        <v>108.33333333333333</v>
      </c>
      <c r="L501" s="8">
        <f t="shared" si="15"/>
        <v>3.1746031746031744</v>
      </c>
      <c r="M501" t="s">
        <v>20</v>
      </c>
      <c r="N501" t="s">
        <v>421</v>
      </c>
    </row>
    <row r="502" spans="1:14" x14ac:dyDescent="0.3">
      <c r="A502" t="s">
        <v>1933</v>
      </c>
      <c r="B502" s="2">
        <v>46245</v>
      </c>
      <c r="C502" s="2">
        <v>46251</v>
      </c>
      <c r="D502" s="1" t="s">
        <v>1106</v>
      </c>
      <c r="E502" t="s">
        <v>1107</v>
      </c>
      <c r="F502" t="s">
        <v>425</v>
      </c>
      <c r="G502">
        <v>1605</v>
      </c>
      <c r="H502">
        <v>1322</v>
      </c>
      <c r="I502">
        <v>1305</v>
      </c>
      <c r="J502">
        <v>17</v>
      </c>
      <c r="K502" s="46">
        <f t="shared" ref="K502:K519" si="16">(H502/G502)*100</f>
        <v>82.36760124610592</v>
      </c>
      <c r="L502" s="8">
        <f t="shared" si="15"/>
        <v>1.3026819923371646</v>
      </c>
      <c r="M502" t="s">
        <v>20</v>
      </c>
      <c r="N502" t="s">
        <v>421</v>
      </c>
    </row>
    <row r="503" spans="1:14" x14ac:dyDescent="0.3">
      <c r="A503" t="s">
        <v>1463</v>
      </c>
      <c r="B503" s="2">
        <v>46239</v>
      </c>
      <c r="C503" s="2">
        <v>46240</v>
      </c>
      <c r="D503" s="1" t="s">
        <v>1110</v>
      </c>
      <c r="E503" t="s">
        <v>1111</v>
      </c>
      <c r="F503" t="s">
        <v>677</v>
      </c>
      <c r="G503">
        <v>2000</v>
      </c>
      <c r="H503">
        <v>1995</v>
      </c>
      <c r="I503">
        <v>1995</v>
      </c>
      <c r="J503">
        <v>0</v>
      </c>
      <c r="K503" s="46">
        <f t="shared" si="16"/>
        <v>99.75</v>
      </c>
      <c r="L503" s="8">
        <f t="shared" ref="L503:L519" si="17">((H503-I503)/I503)*100</f>
        <v>0</v>
      </c>
      <c r="M503" t="s">
        <v>20</v>
      </c>
      <c r="N503" t="s">
        <v>421</v>
      </c>
    </row>
    <row r="504" spans="1:14" x14ac:dyDescent="0.3">
      <c r="A504" t="s">
        <v>1934</v>
      </c>
      <c r="B504" s="2">
        <v>46240</v>
      </c>
      <c r="C504" s="2">
        <v>46241</v>
      </c>
      <c r="D504" s="1" t="s">
        <v>1110</v>
      </c>
      <c r="E504" t="s">
        <v>1111</v>
      </c>
      <c r="F504" t="s">
        <v>677</v>
      </c>
      <c r="G504">
        <v>1000</v>
      </c>
      <c r="H504">
        <v>1006</v>
      </c>
      <c r="I504">
        <v>1005</v>
      </c>
      <c r="J504">
        <v>1</v>
      </c>
      <c r="K504" s="46">
        <f t="shared" si="16"/>
        <v>100.6</v>
      </c>
      <c r="L504" s="8">
        <f t="shared" si="17"/>
        <v>9.9502487562189046E-2</v>
      </c>
      <c r="M504" t="s">
        <v>20</v>
      </c>
      <c r="N504" t="s">
        <v>421</v>
      </c>
    </row>
    <row r="505" spans="1:14" x14ac:dyDescent="0.3">
      <c r="A505" t="s">
        <v>1935</v>
      </c>
      <c r="B505" s="2">
        <v>46246</v>
      </c>
      <c r="C505" s="2">
        <v>46247</v>
      </c>
      <c r="D505" s="1" t="s">
        <v>1110</v>
      </c>
      <c r="E505" t="s">
        <v>1111</v>
      </c>
      <c r="F505" t="s">
        <v>677</v>
      </c>
      <c r="G505">
        <v>5000</v>
      </c>
      <c r="H505">
        <v>4995</v>
      </c>
      <c r="I505">
        <v>4995</v>
      </c>
      <c r="J505">
        <v>0</v>
      </c>
      <c r="K505" s="46">
        <f t="shared" si="16"/>
        <v>99.9</v>
      </c>
      <c r="L505" s="8">
        <f t="shared" si="17"/>
        <v>0</v>
      </c>
      <c r="M505" t="s">
        <v>20</v>
      </c>
      <c r="N505" t="s">
        <v>421</v>
      </c>
    </row>
    <row r="506" spans="1:14" x14ac:dyDescent="0.3">
      <c r="A506" t="s">
        <v>1936</v>
      </c>
      <c r="B506" s="2">
        <v>46248</v>
      </c>
      <c r="C506" s="2">
        <v>46251</v>
      </c>
      <c r="D506" s="1" t="s">
        <v>1110</v>
      </c>
      <c r="E506" t="s">
        <v>1111</v>
      </c>
      <c r="F506" t="s">
        <v>677</v>
      </c>
      <c r="G506">
        <v>5000</v>
      </c>
      <c r="H506">
        <v>5000</v>
      </c>
      <c r="I506">
        <v>4995</v>
      </c>
      <c r="J506">
        <v>5</v>
      </c>
      <c r="K506" s="46">
        <f t="shared" si="16"/>
        <v>100</v>
      </c>
      <c r="L506" s="8">
        <f t="shared" si="17"/>
        <v>0.10010010010010009</v>
      </c>
      <c r="M506" t="s">
        <v>20</v>
      </c>
      <c r="N506" t="s">
        <v>421</v>
      </c>
    </row>
    <row r="507" spans="1:14" x14ac:dyDescent="0.3">
      <c r="A507" t="s">
        <v>1937</v>
      </c>
      <c r="B507" s="2">
        <v>46245</v>
      </c>
      <c r="C507" s="2">
        <v>46246</v>
      </c>
      <c r="D507" s="1" t="s">
        <v>1115</v>
      </c>
      <c r="E507" t="s">
        <v>1116</v>
      </c>
      <c r="F507" t="s">
        <v>677</v>
      </c>
      <c r="G507">
        <v>5000</v>
      </c>
      <c r="H507">
        <v>4995</v>
      </c>
      <c r="I507">
        <v>4995</v>
      </c>
      <c r="J507">
        <v>0</v>
      </c>
      <c r="K507" s="46">
        <f t="shared" si="16"/>
        <v>99.9</v>
      </c>
      <c r="L507" s="8">
        <f t="shared" si="17"/>
        <v>0</v>
      </c>
      <c r="M507" t="s">
        <v>20</v>
      </c>
      <c r="N507" t="s">
        <v>421</v>
      </c>
    </row>
    <row r="508" spans="1:14" x14ac:dyDescent="0.3">
      <c r="A508" t="s">
        <v>1938</v>
      </c>
      <c r="B508" s="2">
        <v>46247</v>
      </c>
      <c r="C508" s="2">
        <v>46248</v>
      </c>
      <c r="D508" s="1" t="s">
        <v>1115</v>
      </c>
      <c r="E508" t="s">
        <v>1116</v>
      </c>
      <c r="F508" t="s">
        <v>677</v>
      </c>
      <c r="G508">
        <v>5000</v>
      </c>
      <c r="H508">
        <v>4984</v>
      </c>
      <c r="I508">
        <v>4980</v>
      </c>
      <c r="J508">
        <v>4</v>
      </c>
      <c r="K508" s="46">
        <f t="shared" si="16"/>
        <v>99.68</v>
      </c>
      <c r="L508" s="8">
        <f t="shared" si="17"/>
        <v>8.0321285140562249E-2</v>
      </c>
      <c r="M508" t="s">
        <v>20</v>
      </c>
      <c r="N508" t="s">
        <v>421</v>
      </c>
    </row>
    <row r="509" spans="1:14" x14ac:dyDescent="0.3">
      <c r="A509" t="s">
        <v>1939</v>
      </c>
      <c r="B509" s="2">
        <v>46252</v>
      </c>
      <c r="C509" s="2">
        <v>46254</v>
      </c>
      <c r="D509" s="1" t="s">
        <v>1115</v>
      </c>
      <c r="E509" t="s">
        <v>1116</v>
      </c>
      <c r="F509" t="s">
        <v>677</v>
      </c>
      <c r="G509">
        <v>5000</v>
      </c>
      <c r="H509">
        <v>5013</v>
      </c>
      <c r="I509">
        <v>5010</v>
      </c>
      <c r="J509">
        <v>3</v>
      </c>
      <c r="K509" s="46">
        <f t="shared" si="16"/>
        <v>100.25999999999999</v>
      </c>
      <c r="L509" s="8">
        <f t="shared" si="17"/>
        <v>5.9880239520958084E-2</v>
      </c>
      <c r="M509" t="s">
        <v>20</v>
      </c>
      <c r="N509" t="s">
        <v>421</v>
      </c>
    </row>
    <row r="510" spans="1:14" x14ac:dyDescent="0.3">
      <c r="A510" t="s">
        <v>1940</v>
      </c>
      <c r="B510" s="2">
        <v>46244</v>
      </c>
      <c r="C510" s="2">
        <v>46244</v>
      </c>
      <c r="D510" s="1" t="s">
        <v>1120</v>
      </c>
      <c r="E510" t="s">
        <v>1121</v>
      </c>
      <c r="F510" t="s">
        <v>425</v>
      </c>
      <c r="G510">
        <v>690</v>
      </c>
      <c r="H510">
        <v>665</v>
      </c>
      <c r="I510">
        <v>660</v>
      </c>
      <c r="J510">
        <v>5</v>
      </c>
      <c r="K510" s="46">
        <f t="shared" si="16"/>
        <v>96.376811594202891</v>
      </c>
      <c r="L510" s="8">
        <f t="shared" si="17"/>
        <v>0.75757575757575757</v>
      </c>
      <c r="M510" t="s">
        <v>20</v>
      </c>
      <c r="N510" t="s">
        <v>421</v>
      </c>
    </row>
    <row r="511" spans="1:14" x14ac:dyDescent="0.3">
      <c r="A511" t="s">
        <v>1941</v>
      </c>
      <c r="B511" s="2">
        <v>46246</v>
      </c>
      <c r="C511" s="2">
        <v>46247</v>
      </c>
      <c r="D511" s="1" t="s">
        <v>1120</v>
      </c>
      <c r="E511" t="s">
        <v>1121</v>
      </c>
      <c r="F511" t="s">
        <v>425</v>
      </c>
      <c r="G511">
        <v>690</v>
      </c>
      <c r="H511">
        <v>619</v>
      </c>
      <c r="I511">
        <v>600</v>
      </c>
      <c r="J511">
        <v>19</v>
      </c>
      <c r="K511" s="46">
        <f t="shared" si="16"/>
        <v>89.710144927536234</v>
      </c>
      <c r="L511" s="8">
        <f t="shared" si="17"/>
        <v>3.166666666666667</v>
      </c>
      <c r="M511" t="s">
        <v>20</v>
      </c>
      <c r="N511" t="s">
        <v>421</v>
      </c>
    </row>
    <row r="512" spans="1:14" x14ac:dyDescent="0.3">
      <c r="A512" t="s">
        <v>1942</v>
      </c>
      <c r="B512" s="2">
        <v>46244</v>
      </c>
      <c r="C512" s="2">
        <v>46245</v>
      </c>
      <c r="D512" s="1" t="s">
        <v>1943</v>
      </c>
      <c r="E512" t="s">
        <v>1944</v>
      </c>
      <c r="F512" t="s">
        <v>425</v>
      </c>
      <c r="G512">
        <v>720</v>
      </c>
      <c r="H512">
        <v>645</v>
      </c>
      <c r="I512">
        <v>630</v>
      </c>
      <c r="J512">
        <v>15</v>
      </c>
      <c r="K512" s="46">
        <f t="shared" si="16"/>
        <v>89.583333333333343</v>
      </c>
      <c r="L512" s="8">
        <f t="shared" si="17"/>
        <v>2.3809523809523809</v>
      </c>
      <c r="M512" t="s">
        <v>20</v>
      </c>
      <c r="N512" t="s">
        <v>421</v>
      </c>
    </row>
    <row r="513" spans="1:14" x14ac:dyDescent="0.3">
      <c r="A513" t="s">
        <v>1945</v>
      </c>
      <c r="B513" s="2">
        <v>46245</v>
      </c>
      <c r="C513" s="2">
        <v>46246</v>
      </c>
      <c r="D513" s="1" t="s">
        <v>1943</v>
      </c>
      <c r="E513" t="s">
        <v>1944</v>
      </c>
      <c r="F513" t="s">
        <v>425</v>
      </c>
      <c r="G513">
        <v>720</v>
      </c>
      <c r="H513">
        <v>600</v>
      </c>
      <c r="I513">
        <v>585</v>
      </c>
      <c r="J513">
        <v>15</v>
      </c>
      <c r="K513" s="46">
        <f t="shared" si="16"/>
        <v>83.333333333333343</v>
      </c>
      <c r="L513" s="8">
        <f t="shared" si="17"/>
        <v>2.5641025641025639</v>
      </c>
      <c r="M513" t="s">
        <v>20</v>
      </c>
      <c r="N513" t="s">
        <v>421</v>
      </c>
    </row>
    <row r="514" spans="1:14" x14ac:dyDescent="0.3">
      <c r="A514" t="s">
        <v>1946</v>
      </c>
      <c r="B514" s="2">
        <v>46246</v>
      </c>
      <c r="C514" s="2">
        <v>46247</v>
      </c>
      <c r="D514" s="1" t="s">
        <v>1129</v>
      </c>
      <c r="E514" t="s">
        <v>1130</v>
      </c>
      <c r="F514" t="s">
        <v>438</v>
      </c>
      <c r="G514">
        <v>1360</v>
      </c>
      <c r="H514">
        <v>1342</v>
      </c>
      <c r="I514">
        <v>1320</v>
      </c>
      <c r="J514">
        <v>22</v>
      </c>
      <c r="K514" s="46">
        <f t="shared" si="16"/>
        <v>98.676470588235304</v>
      </c>
      <c r="L514" s="8">
        <f t="shared" si="17"/>
        <v>1.6666666666666667</v>
      </c>
      <c r="M514" t="s">
        <v>20</v>
      </c>
      <c r="N514" t="s">
        <v>421</v>
      </c>
    </row>
    <row r="515" spans="1:14" x14ac:dyDescent="0.3">
      <c r="A515" t="s">
        <v>1947</v>
      </c>
      <c r="B515" s="2">
        <v>46241</v>
      </c>
      <c r="C515" s="2">
        <v>46244</v>
      </c>
      <c r="D515" s="1" t="s">
        <v>1134</v>
      </c>
      <c r="E515" t="s">
        <v>1135</v>
      </c>
      <c r="F515" t="s">
        <v>438</v>
      </c>
      <c r="G515">
        <v>6192</v>
      </c>
      <c r="H515">
        <v>6383</v>
      </c>
      <c r="I515">
        <v>6270</v>
      </c>
      <c r="J515">
        <v>113</v>
      </c>
      <c r="K515" s="46">
        <f t="shared" si="16"/>
        <v>103.08462532299743</v>
      </c>
      <c r="L515" s="8">
        <f t="shared" si="17"/>
        <v>1.802232854864434</v>
      </c>
      <c r="M515" t="s">
        <v>20</v>
      </c>
      <c r="N515" t="s">
        <v>421</v>
      </c>
    </row>
    <row r="516" spans="1:14" x14ac:dyDescent="0.3">
      <c r="A516" t="s">
        <v>1948</v>
      </c>
      <c r="B516" s="2">
        <v>46247</v>
      </c>
      <c r="C516" s="2">
        <v>46248</v>
      </c>
      <c r="D516" s="1" t="s">
        <v>1134</v>
      </c>
      <c r="E516" t="s">
        <v>1135</v>
      </c>
      <c r="F516" t="s">
        <v>438</v>
      </c>
      <c r="G516">
        <v>3096</v>
      </c>
      <c r="H516">
        <v>3270</v>
      </c>
      <c r="I516">
        <v>3240</v>
      </c>
      <c r="J516">
        <v>30</v>
      </c>
      <c r="K516" s="46">
        <f t="shared" si="16"/>
        <v>105.62015503875971</v>
      </c>
      <c r="L516" s="8">
        <f t="shared" si="17"/>
        <v>0.92592592592592582</v>
      </c>
      <c r="M516" t="s">
        <v>20</v>
      </c>
      <c r="N516" t="s">
        <v>421</v>
      </c>
    </row>
    <row r="517" spans="1:14" x14ac:dyDescent="0.3">
      <c r="A517" t="s">
        <v>1949</v>
      </c>
      <c r="B517" s="2">
        <v>46248</v>
      </c>
      <c r="C517" s="2">
        <v>46251</v>
      </c>
      <c r="D517" s="1" t="s">
        <v>1134</v>
      </c>
      <c r="E517" t="s">
        <v>1135</v>
      </c>
      <c r="F517" t="s">
        <v>438</v>
      </c>
      <c r="G517">
        <v>3096</v>
      </c>
      <c r="H517">
        <v>3150</v>
      </c>
      <c r="I517">
        <v>3120</v>
      </c>
      <c r="J517">
        <v>30</v>
      </c>
      <c r="K517" s="46">
        <f t="shared" si="16"/>
        <v>101.74418604651163</v>
      </c>
      <c r="L517" s="8">
        <f t="shared" si="17"/>
        <v>0.96153846153846156</v>
      </c>
      <c r="M517" t="s">
        <v>20</v>
      </c>
      <c r="N517" t="s">
        <v>421</v>
      </c>
    </row>
    <row r="518" spans="1:14" x14ac:dyDescent="0.3">
      <c r="A518" t="s">
        <v>1950</v>
      </c>
      <c r="B518" s="2">
        <v>46240</v>
      </c>
      <c r="C518" s="2">
        <v>46241</v>
      </c>
      <c r="D518" s="1" t="s">
        <v>1951</v>
      </c>
      <c r="E518" t="s">
        <v>1952</v>
      </c>
      <c r="F518" t="s">
        <v>495</v>
      </c>
      <c r="G518">
        <v>640</v>
      </c>
      <c r="H518">
        <v>660</v>
      </c>
      <c r="I518">
        <v>651</v>
      </c>
      <c r="J518">
        <v>9</v>
      </c>
      <c r="K518" s="46">
        <f t="shared" si="16"/>
        <v>103.125</v>
      </c>
      <c r="L518" s="8">
        <f t="shared" si="17"/>
        <v>1.3824884792626728</v>
      </c>
      <c r="M518" t="s">
        <v>20</v>
      </c>
      <c r="N518" t="s">
        <v>421</v>
      </c>
    </row>
    <row r="519" spans="1:14" x14ac:dyDescent="0.3">
      <c r="A519" t="s">
        <v>1953</v>
      </c>
      <c r="B519" s="2">
        <v>46244</v>
      </c>
      <c r="C519" s="2">
        <v>46245</v>
      </c>
      <c r="D519" s="1" t="s">
        <v>1951</v>
      </c>
      <c r="E519" t="s">
        <v>1952</v>
      </c>
      <c r="F519" t="s">
        <v>495</v>
      </c>
      <c r="G519">
        <v>128</v>
      </c>
      <c r="H519">
        <v>134</v>
      </c>
      <c r="I519">
        <v>132</v>
      </c>
      <c r="J519">
        <v>2</v>
      </c>
      <c r="K519" s="46">
        <f t="shared" si="16"/>
        <v>104.6875</v>
      </c>
      <c r="L519" s="8">
        <f t="shared" si="17"/>
        <v>1.5151515151515151</v>
      </c>
      <c r="M519" t="s">
        <v>20</v>
      </c>
      <c r="N519" t="s">
        <v>421</v>
      </c>
    </row>
    <row r="520" spans="1:14" x14ac:dyDescent="0.3">
      <c r="G520">
        <v>428083</v>
      </c>
      <c r="J520">
        <v>11652</v>
      </c>
      <c r="N520" t="s">
        <v>1954</v>
      </c>
    </row>
    <row r="521" spans="1:14" x14ac:dyDescent="0.3">
      <c r="A521" t="s">
        <v>1955</v>
      </c>
      <c r="G521">
        <v>500290</v>
      </c>
      <c r="J521">
        <v>11943</v>
      </c>
    </row>
    <row r="524" spans="1:14" x14ac:dyDescent="0.3">
      <c r="A524" t="s">
        <v>1960</v>
      </c>
    </row>
    <row r="525" spans="1:14" x14ac:dyDescent="0.3">
      <c r="A525" t="s">
        <v>1961</v>
      </c>
    </row>
  </sheetData>
  <autoFilter ref="A2:N521" xr:uid="{F67D774E-2DEF-4AE4-AD84-0E4C298CCAC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9F77-42C5-4E5F-ABF7-7B7DE5664FE0}">
  <dimension ref="A1:N143"/>
  <sheetViews>
    <sheetView tabSelected="1" topLeftCell="A112" workbookViewId="0">
      <selection activeCell="F128" sqref="F128"/>
    </sheetView>
  </sheetViews>
  <sheetFormatPr baseColWidth="10" defaultRowHeight="14.4" x14ac:dyDescent="0.3"/>
  <cols>
    <col min="1" max="1" width="46.33203125" customWidth="1"/>
    <col min="2" max="2" width="25.88671875" customWidth="1"/>
    <col min="3" max="14" width="13.33203125" customWidth="1"/>
  </cols>
  <sheetData>
    <row r="1" spans="1:14" ht="21" x14ac:dyDescent="0.4">
      <c r="A1" s="9" t="s">
        <v>1148</v>
      </c>
    </row>
    <row r="2" spans="1:14" x14ac:dyDescent="0.3">
      <c r="A2" s="10" t="s">
        <v>1149</v>
      </c>
    </row>
    <row r="4" spans="1:14" ht="15.6" x14ac:dyDescent="0.3">
      <c r="A4" s="11" t="s">
        <v>1150</v>
      </c>
    </row>
    <row r="5" spans="1:14" x14ac:dyDescent="0.3">
      <c r="A5" t="s">
        <v>1959</v>
      </c>
    </row>
    <row r="6" spans="1:14" x14ac:dyDescent="0.3">
      <c r="A6" t="s">
        <v>1151</v>
      </c>
      <c r="B6">
        <f>COUNT(hoja1!$G$4:$G$1595)</f>
        <v>1589</v>
      </c>
    </row>
    <row r="7" spans="1:14" x14ac:dyDescent="0.3">
      <c r="A7" t="s">
        <v>1152</v>
      </c>
      <c r="B7" t="str">
        <f>TEXT(MIN(hoja1!$B$4:$B$1595),"dd/mm/yyyy")&amp;" a "&amp;TEXT(MAX(hoja1!$B$4:$B$1595),"dd/mm/yyyy")</f>
        <v>07/07/2026 a 19/08/2026</v>
      </c>
    </row>
    <row r="8" spans="1:14" x14ac:dyDescent="0.3">
      <c r="A8" t="s">
        <v>1153</v>
      </c>
    </row>
    <row r="9" spans="1:14" x14ac:dyDescent="0.3">
      <c r="A9" t="s">
        <v>1154</v>
      </c>
    </row>
    <row r="10" spans="1:14" x14ac:dyDescent="0.3">
      <c r="A10" t="s">
        <v>1155</v>
      </c>
    </row>
    <row r="12" spans="1:14" ht="15.6" x14ac:dyDescent="0.3">
      <c r="A12" s="11" t="s">
        <v>1156</v>
      </c>
    </row>
    <row r="13" spans="1:14" ht="28.8" x14ac:dyDescent="0.3">
      <c r="A13" s="22" t="s">
        <v>1157</v>
      </c>
      <c r="B13" s="23" t="s">
        <v>1158</v>
      </c>
      <c r="C13" s="23" t="s">
        <v>1159</v>
      </c>
      <c r="D13" s="23" t="s">
        <v>1160</v>
      </c>
      <c r="E13" s="23" t="s">
        <v>1161</v>
      </c>
      <c r="F13" s="23" t="s">
        <v>1162</v>
      </c>
      <c r="G13" s="23" t="s">
        <v>1163</v>
      </c>
      <c r="H13" s="23" t="s">
        <v>1164</v>
      </c>
      <c r="I13" s="23" t="s">
        <v>1165</v>
      </c>
      <c r="J13" s="23" t="s">
        <v>1166</v>
      </c>
      <c r="K13" s="23" t="s">
        <v>1167</v>
      </c>
      <c r="L13" s="23" t="s">
        <v>1168</v>
      </c>
      <c r="M13" s="23" t="s">
        <v>1169</v>
      </c>
      <c r="N13" s="24" t="s">
        <v>1170</v>
      </c>
    </row>
    <row r="14" spans="1:14" x14ac:dyDescent="0.3">
      <c r="A14" s="25" t="s">
        <v>39</v>
      </c>
      <c r="B14" s="13" t="str">
        <f>INDEX(hoja1!$N$4:$N$1595,MATCH($A14,hoja1!$F$4:$F$1595,0))</f>
        <v>FABRICA ZONA 7</v>
      </c>
      <c r="C14" s="14">
        <f>COUNTIFS(hoja1!$F$4:$F$1595,$A14)</f>
        <v>99</v>
      </c>
      <c r="D14" s="14">
        <f>SUMIFS(hoja1!$G$4:$G$1595,hoja1!$F$4:$F$1595,$A14)</f>
        <v>25163</v>
      </c>
      <c r="E14" s="14">
        <f>SUMIFS(hoja1!$H$4:$H$1595,hoja1!$F$4:$F$1595,$A14)</f>
        <v>26764</v>
      </c>
      <c r="F14" s="14">
        <f>SUMIFS(hoja1!$I$4:$I$1595,hoja1!$F$4:$F$1595,$A14)</f>
        <v>26381</v>
      </c>
      <c r="G14" s="14">
        <f>SUMIFS(hoja1!$J$4:$J$1595,hoja1!$F$4:$F$1595,$A14)</f>
        <v>383</v>
      </c>
      <c r="H14" s="15">
        <f>IF($D14=0,"",$E14/$D14*100)</f>
        <v>106.36251639311686</v>
      </c>
      <c r="I14" s="15">
        <f>AVERAGEIFS(hoja1!$K$4:$K$1595,hoja1!$F$4:$F$1595,$A14)</f>
        <v>107.06996893751422</v>
      </c>
      <c r="J14" s="15">
        <f>_xlfn.MINIFS(hoja1!$K$4:$K$1595,hoja1!$F$4:$F$1595,$A14)</f>
        <v>78.571428571428569</v>
      </c>
      <c r="K14" s="15">
        <f>_xlfn.MAXIFS(hoja1!$K$4:$K$1595,hoja1!$F$4:$F$1595,$A14)</f>
        <v>135.21126760563379</v>
      </c>
      <c r="L14" s="15">
        <f>IF($F14=0,"",($E14-$F14)/$F14*100)</f>
        <v>1.4518024335696145</v>
      </c>
      <c r="M14" s="15">
        <f>AVERAGEIFS(hoja1!$L$4:$L$1595,hoja1!$F$4:$F$1595,$A14)</f>
        <v>1.5767166701594959</v>
      </c>
      <c r="N14" s="16">
        <f>_xlfn.MAXIFS(hoja1!$L$4:$L$1595,hoja1!$F$4:$F$1595,$A14)</f>
        <v>9.7643097643097647</v>
      </c>
    </row>
    <row r="15" spans="1:14" x14ac:dyDescent="0.3">
      <c r="A15" s="25" t="s">
        <v>97</v>
      </c>
      <c r="B15" s="13" t="str">
        <f>INDEX(hoja1!$N$4:$N$1595,MATCH($A15,hoja1!$F$4:$F$1595,0))</f>
        <v>FABRICA ZONA 7</v>
      </c>
      <c r="C15" s="14">
        <f>COUNTIFS(hoja1!$F$4:$F$1595,$A15)</f>
        <v>163</v>
      </c>
      <c r="D15" s="14">
        <f>SUMIFS(hoja1!$G$4:$G$1595,hoja1!$F$4:$F$1595,$A15)</f>
        <v>42532</v>
      </c>
      <c r="E15" s="14">
        <f>SUMIFS(hoja1!$H$4:$H$1595,hoja1!$F$4:$F$1595,$A15)</f>
        <v>44895</v>
      </c>
      <c r="F15" s="14">
        <f>SUMIFS(hoja1!$I$4:$I$1595,hoja1!$F$4:$F$1595,$A15)</f>
        <v>44472</v>
      </c>
      <c r="G15" s="14">
        <f>SUMIFS(hoja1!$J$4:$J$1595,hoja1!$F$4:$F$1595,$A15)</f>
        <v>423</v>
      </c>
      <c r="H15" s="15">
        <f>IF($D15=0,"",$E15/$D15*100)</f>
        <v>105.55581679676477</v>
      </c>
      <c r="I15" s="15">
        <f>AVERAGEIFS(hoja1!$K$4:$K$1595,hoja1!$F$4:$F$1595,$A15)</f>
        <v>104.55997331822346</v>
      </c>
      <c r="J15" s="15">
        <f>_xlfn.MINIFS(hoja1!$K$4:$K$1595,hoja1!$F$4:$F$1595,$A15)</f>
        <v>72.916666666666657</v>
      </c>
      <c r="K15" s="15">
        <f>_xlfn.MAXIFS(hoja1!$K$4:$K$1595,hoja1!$F$4:$F$1595,$A15)</f>
        <v>131.57894736842107</v>
      </c>
      <c r="L15" s="15">
        <f>IF($F15=0,"",($E15-$F15)/$F15*100)</f>
        <v>0.95116028062601188</v>
      </c>
      <c r="M15" s="15">
        <f>AVERAGEIFS(hoja1!$L$4:$L$1595,hoja1!$F$4:$F$1595,$A15)</f>
        <v>2.8427924928821646</v>
      </c>
      <c r="N15" s="16">
        <f>_xlfn.MAXIFS(hoja1!$L$4:$L$1595,hoja1!$F$4:$F$1595,$A15)</f>
        <v>27.868852459016392</v>
      </c>
    </row>
    <row r="16" spans="1:14" x14ac:dyDescent="0.3">
      <c r="A16" s="25" t="s">
        <v>61</v>
      </c>
      <c r="B16" s="13" t="str">
        <f>INDEX(hoja1!$N$4:$N$1595,MATCH($A16,hoja1!$F$4:$F$1595,0))</f>
        <v>FABRICA ZONA 7</v>
      </c>
      <c r="C16" s="14">
        <f>COUNTIFS(hoja1!$F$4:$F$1595,$A16)</f>
        <v>186</v>
      </c>
      <c r="D16" s="14">
        <f>SUMIFS(hoja1!$G$4:$G$1595,hoja1!$F$4:$F$1595,$A16)</f>
        <v>84704</v>
      </c>
      <c r="E16" s="14">
        <f>SUMIFS(hoja1!$H$4:$H$1595,hoja1!$F$4:$F$1595,$A16)</f>
        <v>86694</v>
      </c>
      <c r="F16" s="14">
        <f>SUMIFS(hoja1!$I$4:$I$1595,hoja1!$F$4:$F$1595,$A16)</f>
        <v>86100</v>
      </c>
      <c r="G16" s="14">
        <f>SUMIFS(hoja1!$J$4:$J$1595,hoja1!$F$4:$F$1595,$A16)</f>
        <v>594</v>
      </c>
      <c r="H16" s="15">
        <f>IF($D16=0,"",$E16/$D16*100)</f>
        <v>102.34935776350586</v>
      </c>
      <c r="I16" s="15">
        <f>AVERAGEIFS(hoja1!$K$4:$K$1595,hoja1!$F$4:$F$1595,$A16)</f>
        <v>103.33530388250588</v>
      </c>
      <c r="J16" s="15">
        <f>_xlfn.MINIFS(hoja1!$K$4:$K$1595,hoja1!$F$4:$F$1595,$A16)</f>
        <v>86.885245901639337</v>
      </c>
      <c r="K16" s="15">
        <f>_xlfn.MAXIFS(hoja1!$K$4:$K$1595,hoja1!$F$4:$F$1595,$A16)</f>
        <v>128</v>
      </c>
      <c r="L16" s="15">
        <f>IF($F16=0,"",($E16-$F16)/$F16*100)</f>
        <v>0.68989547038327526</v>
      </c>
      <c r="M16" s="15">
        <f>AVERAGEIFS(hoja1!$L$4:$L$1595,hoja1!$F$4:$F$1595,$A16)</f>
        <v>0.7097425702038298</v>
      </c>
      <c r="N16" s="16">
        <f>_xlfn.MAXIFS(hoja1!$L$4:$L$1595,hoja1!$F$4:$F$1595,$A16)</f>
        <v>10.87719298245614</v>
      </c>
    </row>
    <row r="17" spans="1:14" x14ac:dyDescent="0.3">
      <c r="A17" s="25" t="s">
        <v>19</v>
      </c>
      <c r="B17" s="13" t="str">
        <f>INDEX(hoja1!$N$4:$N$1595,MATCH($A17,hoja1!$F$4:$F$1595,0))</f>
        <v>FABRICA ZONA 7</v>
      </c>
      <c r="C17" s="14">
        <f>COUNTIFS(hoja1!$F$4:$F$1595,$A17)</f>
        <v>159</v>
      </c>
      <c r="D17" s="14">
        <f>SUMIFS(hoja1!$G$4:$G$1595,hoja1!$F$4:$F$1595,$A17)</f>
        <v>29644</v>
      </c>
      <c r="E17" s="14">
        <f>SUMIFS(hoja1!$H$4:$H$1595,hoja1!$F$4:$F$1595,$A17)</f>
        <v>29644</v>
      </c>
      <c r="F17" s="14">
        <f>SUMIFS(hoja1!$I$4:$I$1595,hoja1!$F$4:$F$1595,$A17)</f>
        <v>29644</v>
      </c>
      <c r="G17" s="14">
        <f>SUMIFS(hoja1!$J$4:$J$1595,hoja1!$F$4:$F$1595,$A17)</f>
        <v>0</v>
      </c>
      <c r="H17" s="15">
        <f>IF($D17=0,"",$E17/$D17*100)</f>
        <v>100</v>
      </c>
      <c r="I17" s="15">
        <f>AVERAGEIFS(hoja1!$K$4:$K$1595,hoja1!$F$4:$F$1595,$A17)</f>
        <v>100</v>
      </c>
      <c r="J17" s="15">
        <f>_xlfn.MINIFS(hoja1!$K$4:$K$1595,hoja1!$F$4:$F$1595,$A17)</f>
        <v>100</v>
      </c>
      <c r="K17" s="15">
        <f>_xlfn.MAXIFS(hoja1!$K$4:$K$1595,hoja1!$F$4:$F$1595,$A17)</f>
        <v>100</v>
      </c>
      <c r="L17" s="15">
        <f>IF($F17=0,"",($E17-$F17)/$F17*100)</f>
        <v>0</v>
      </c>
      <c r="M17" s="15">
        <f>AVERAGEIFS(hoja1!$L$4:$L$1595,hoja1!$F$4:$F$1595,$A17)</f>
        <v>0</v>
      </c>
      <c r="N17" s="16">
        <f>_xlfn.MAXIFS(hoja1!$L$4:$L$1595,hoja1!$F$4:$F$1595,$A17)</f>
        <v>0</v>
      </c>
    </row>
    <row r="18" spans="1:14" x14ac:dyDescent="0.3">
      <c r="A18" s="25" t="s">
        <v>46</v>
      </c>
      <c r="B18" s="13" t="str">
        <f>INDEX(hoja1!$N$4:$N$1595,MATCH($A18,hoja1!$F$4:$F$1595,0))</f>
        <v>FABRICA ZONA 7</v>
      </c>
      <c r="C18" s="14">
        <f>COUNTIFS(hoja1!$F$4:$F$1595,$A18)</f>
        <v>8</v>
      </c>
      <c r="D18" s="14">
        <f>SUMIFS(hoja1!$G$4:$G$1595,hoja1!$F$4:$F$1595,$A18)</f>
        <v>601</v>
      </c>
      <c r="E18" s="14">
        <f>SUMIFS(hoja1!$H$4:$H$1595,hoja1!$F$4:$F$1595,$A18)</f>
        <v>602</v>
      </c>
      <c r="F18" s="14">
        <f>SUMIFS(hoja1!$I$4:$I$1595,hoja1!$F$4:$F$1595,$A18)</f>
        <v>597</v>
      </c>
      <c r="G18" s="14">
        <f>SUMIFS(hoja1!$J$4:$J$1595,hoja1!$F$4:$F$1595,$A18)</f>
        <v>5</v>
      </c>
      <c r="H18" s="15">
        <f>IF($D18=0,"",$E18/$D18*100)</f>
        <v>100.16638935108153</v>
      </c>
      <c r="I18" s="15">
        <f>AVERAGEIFS(hoja1!$K$4:$K$1595,hoja1!$F$4:$F$1595,$A18)</f>
        <v>99.320512820512818</v>
      </c>
      <c r="J18" s="15">
        <f>_xlfn.MINIFS(hoja1!$K$4:$K$1595,hoja1!$F$4:$F$1595,$A18)</f>
        <v>94.871794871794862</v>
      </c>
      <c r="K18" s="15">
        <f>_xlfn.MAXIFS(hoja1!$K$4:$K$1595,hoja1!$F$4:$F$1595,$A18)</f>
        <v>108</v>
      </c>
      <c r="L18" s="15">
        <f>IF($F18=0,"",($E18-$F18)/$F18*100)</f>
        <v>0.83752093802345051</v>
      </c>
      <c r="M18" s="15">
        <f>AVERAGEIFS(hoja1!$L$4:$L$1595,hoja1!$F$4:$F$1595,$A18)</f>
        <v>1.1647084541821382</v>
      </c>
      <c r="N18" s="16">
        <f>_xlfn.MAXIFS(hoja1!$L$4:$L$1595,hoja1!$F$4:$F$1595,$A18)</f>
        <v>2.7027027027027026</v>
      </c>
    </row>
    <row r="19" spans="1:14" x14ac:dyDescent="0.3">
      <c r="A19" s="25" t="s">
        <v>438</v>
      </c>
      <c r="B19" s="13" t="str">
        <f>INDEX(hoja1!$N$4:$N$1595,MATCH($A19,hoja1!$F$4:$F$1595,0))</f>
        <v>FABRICA UTATLAN</v>
      </c>
      <c r="C19" s="14">
        <f>COUNTIFS(hoja1!$F$4:$F$1595,$A19)</f>
        <v>372</v>
      </c>
      <c r="D19" s="14">
        <f>SUMIFS(hoja1!$G$4:$G$1595,hoja1!$F$4:$F$1595,$A19)</f>
        <v>671067</v>
      </c>
      <c r="E19" s="14">
        <f>SUMIFS(hoja1!$H$4:$H$1595,hoja1!$F$4:$F$1595,$A19)</f>
        <v>668042</v>
      </c>
      <c r="F19" s="14">
        <f>SUMIFS(hoja1!$I$4:$I$1595,hoja1!$F$4:$F$1595,$A19)</f>
        <v>649609</v>
      </c>
      <c r="G19" s="14">
        <f>SUMIFS(hoja1!$J$4:$J$1595,hoja1!$F$4:$F$1595,$A19)</f>
        <v>18433</v>
      </c>
      <c r="H19" s="15">
        <f>IF($D19=0,"",$E19/$D19*100)</f>
        <v>99.549225338155495</v>
      </c>
      <c r="I19" s="15">
        <f>AVERAGEIFS(hoja1!$K$4:$K$1595,hoja1!$F$4:$F$1595,$A19)</f>
        <v>101.34314383276033</v>
      </c>
      <c r="J19" s="15">
        <f>_xlfn.MINIFS(hoja1!$K$4:$K$1595,hoja1!$F$4:$F$1595,$A19)</f>
        <v>22.777777777777779</v>
      </c>
      <c r="K19" s="15">
        <f>_xlfn.MAXIFS(hoja1!$K$4:$K$1595,hoja1!$F$4:$F$1595,$A19)</f>
        <v>231.19658119658118</v>
      </c>
      <c r="L19" s="15">
        <f>IF($F19=0,"",($E19-$F19)/$F19*100)</f>
        <v>2.8375530511430722</v>
      </c>
      <c r="M19" s="15">
        <f>AVERAGEIFS(hoja1!$L$4:$L$1595,hoja1!$F$4:$F$1595,$A19)</f>
        <v>4.166899289790325</v>
      </c>
      <c r="N19" s="16">
        <f>_xlfn.MAXIFS(hoja1!$L$4:$L$1595,hoja1!$F$4:$F$1595,$A19)</f>
        <v>100</v>
      </c>
    </row>
    <row r="20" spans="1:14" x14ac:dyDescent="0.3">
      <c r="A20" s="25" t="s">
        <v>677</v>
      </c>
      <c r="B20" s="13" t="str">
        <f>INDEX(hoja1!$N$4:$N$1595,MATCH($A20,hoja1!$F$4:$F$1595,0))</f>
        <v>FABRICA UTATLAN</v>
      </c>
      <c r="C20" s="14">
        <f>COUNTIFS(hoja1!$F$4:$F$1595,$A20)</f>
        <v>76</v>
      </c>
      <c r="D20" s="14">
        <f>SUMIFS(hoja1!$G$4:$G$1595,hoja1!$F$4:$F$1595,$A20)</f>
        <v>152304</v>
      </c>
      <c r="E20" s="14">
        <f>SUMIFS(hoja1!$H$4:$H$1595,hoja1!$F$4:$F$1595,$A20)</f>
        <v>151673</v>
      </c>
      <c r="F20" s="14">
        <f>SUMIFS(hoja1!$I$4:$I$1595,hoja1!$F$4:$F$1595,$A20)</f>
        <v>151456</v>
      </c>
      <c r="G20" s="14">
        <f>SUMIFS(hoja1!$J$4:$J$1595,hoja1!$F$4:$F$1595,$A20)</f>
        <v>217</v>
      </c>
      <c r="H20" s="15">
        <f>IF($D20=0,"",$E20/$D20*100)</f>
        <v>99.585697026998631</v>
      </c>
      <c r="I20" s="15">
        <f>AVERAGEIFS(hoja1!$K$4:$K$1595,hoja1!$F$4:$F$1595,$A20)</f>
        <v>100.85958238499911</v>
      </c>
      <c r="J20" s="15">
        <f>_xlfn.MINIFS(hoja1!$K$4:$K$1595,hoja1!$F$4:$F$1595,$A20)</f>
        <v>51.310344827586206</v>
      </c>
      <c r="K20" s="15">
        <f>_xlfn.MAXIFS(hoja1!$K$4:$K$1595,hoja1!$F$4:$F$1595,$A20)</f>
        <v>118</v>
      </c>
      <c r="L20" s="15">
        <f>IF($F20=0,"",($E20-$F20)/$F20*100)</f>
        <v>0.14327593492499471</v>
      </c>
      <c r="M20" s="15">
        <f>AVERAGEIFS(hoja1!$L$4:$L$1595,hoja1!$F$4:$F$1595,$A20)</f>
        <v>0.11694912471330567</v>
      </c>
      <c r="N20" s="16">
        <f>_xlfn.MAXIFS(hoja1!$L$4:$L$1595,hoja1!$F$4:$F$1595,$A20)</f>
        <v>1.1864406779661016</v>
      </c>
    </row>
    <row r="21" spans="1:14" x14ac:dyDescent="0.3">
      <c r="A21" s="25" t="s">
        <v>425</v>
      </c>
      <c r="B21" s="13" t="str">
        <f>INDEX(hoja1!$N$4:$N$1595,MATCH($A21,hoja1!$F$4:$F$1595,0))</f>
        <v>FABRICA UTATLAN</v>
      </c>
      <c r="C21" s="14">
        <f>COUNTIFS(hoja1!$F$4:$F$1595,$A21)</f>
        <v>168</v>
      </c>
      <c r="D21" s="14">
        <f>SUMIFS(hoja1!$G$4:$G$1595,hoja1!$F$4:$F$1595,$A21)</f>
        <v>273263</v>
      </c>
      <c r="E21" s="14">
        <f>SUMIFS(hoja1!$H$4:$H$1595,hoja1!$F$4:$F$1595,$A21)</f>
        <v>240979</v>
      </c>
      <c r="F21" s="14">
        <f>SUMIFS(hoja1!$I$4:$I$1595,hoja1!$F$4:$F$1595,$A21)</f>
        <v>227765</v>
      </c>
      <c r="G21" s="14">
        <f>SUMIFS(hoja1!$J$4:$J$1595,hoja1!$F$4:$F$1595,$A21)</f>
        <v>13214</v>
      </c>
      <c r="H21" s="15">
        <f>IF($D21=0,"",$E21/$D21*100)</f>
        <v>88.185740477122778</v>
      </c>
      <c r="I21" s="15">
        <f>AVERAGEIFS(hoja1!$K$4:$K$1595,hoja1!$F$4:$F$1595,$A21)</f>
        <v>89.529653115858736</v>
      </c>
      <c r="J21" s="15">
        <f>_xlfn.MINIFS(hoja1!$K$4:$K$1595,hoja1!$F$4:$F$1595,$A21)</f>
        <v>30.335241210139003</v>
      </c>
      <c r="K21" s="15">
        <f>_xlfn.MAXIFS(hoja1!$K$4:$K$1595,hoja1!$F$4:$F$1595,$A21)</f>
        <v>184.16666666666666</v>
      </c>
      <c r="L21" s="15">
        <f>IF($F21=0,"",($E21-$F21)/$F21*100)</f>
        <v>5.8015937479419577</v>
      </c>
      <c r="M21" s="15">
        <f>AVERAGEIFS(hoja1!$L$4:$L$1595,hoja1!$F$4:$F$1595,$A21)</f>
        <v>7.1564851296068985</v>
      </c>
      <c r="N21" s="16">
        <f>_xlfn.MAXIFS(hoja1!$L$4:$L$1595,hoja1!$F$4:$F$1595,$A21)</f>
        <v>83.75</v>
      </c>
    </row>
    <row r="22" spans="1:14" x14ac:dyDescent="0.3">
      <c r="A22" s="25" t="s">
        <v>532</v>
      </c>
      <c r="B22" s="13" t="str">
        <f>INDEX(hoja1!$N$4:$N$1595,MATCH($A22,hoja1!$F$4:$F$1595,0))</f>
        <v>FABRICA UTATLAN</v>
      </c>
      <c r="C22" s="14">
        <f>COUNTIFS(hoja1!$F$4:$F$1595,$A22)</f>
        <v>67</v>
      </c>
      <c r="D22" s="14">
        <f>SUMIFS(hoja1!$G$4:$G$1595,hoja1!$F$4:$F$1595,$A22)</f>
        <v>109836</v>
      </c>
      <c r="E22" s="14">
        <f>SUMIFS(hoja1!$H$4:$H$1595,hoja1!$F$4:$F$1595,$A22)</f>
        <v>110172</v>
      </c>
      <c r="F22" s="14">
        <f>SUMIFS(hoja1!$I$4:$I$1595,hoja1!$F$4:$F$1595,$A22)</f>
        <v>108005</v>
      </c>
      <c r="G22" s="14">
        <f>SUMIFS(hoja1!$J$4:$J$1595,hoja1!$F$4:$F$1595,$A22)</f>
        <v>2167</v>
      </c>
      <c r="H22" s="15">
        <f>IF($D22=0,"",$E22/$D22*100)</f>
        <v>100.30591063039441</v>
      </c>
      <c r="I22" s="15">
        <f>AVERAGEIFS(hoja1!$K$4:$K$1595,hoja1!$F$4:$F$1595,$A22)</f>
        <v>101.26889848803698</v>
      </c>
      <c r="J22" s="15">
        <f>_xlfn.MINIFS(hoja1!$K$4:$K$1595,hoja1!$F$4:$F$1595,$A22)</f>
        <v>52.472952086553327</v>
      </c>
      <c r="K22" s="15">
        <f>_xlfn.MAXIFS(hoja1!$K$4:$K$1595,hoja1!$F$4:$F$1595,$A22)</f>
        <v>198.04347826086956</v>
      </c>
      <c r="L22" s="15">
        <f>IF($F22=0,"",($E22-$F22)/$F22*100)</f>
        <v>2.0063885931206888</v>
      </c>
      <c r="M22" s="15">
        <f>AVERAGEIFS(hoja1!$L$4:$L$1595,hoja1!$F$4:$F$1595,$A22)</f>
        <v>2.6143510270295103</v>
      </c>
      <c r="N22" s="16">
        <f>_xlfn.MAXIFS(hoja1!$L$4:$L$1595,hoja1!$F$4:$F$1595,$A22)</f>
        <v>52</v>
      </c>
    </row>
    <row r="23" spans="1:14" x14ac:dyDescent="0.3">
      <c r="A23" s="25" t="s">
        <v>495</v>
      </c>
      <c r="B23" s="13" t="str">
        <f>INDEX(hoja1!$N$4:$N$1595,MATCH($A23,hoja1!$F$4:$F$1595,0))</f>
        <v>FABRICA UTATLAN</v>
      </c>
      <c r="C23" s="14">
        <f>COUNTIFS(hoja1!$F$4:$F$1595,$A23)</f>
        <v>56</v>
      </c>
      <c r="D23" s="14">
        <f>SUMIFS(hoja1!$G$4:$G$1595,hoja1!$F$4:$F$1595,$A23)</f>
        <v>50929</v>
      </c>
      <c r="E23" s="14">
        <f>SUMIFS(hoja1!$H$4:$H$1595,hoja1!$F$4:$F$1595,$A23)</f>
        <v>49761</v>
      </c>
      <c r="F23" s="14">
        <f>SUMIFS(hoja1!$I$4:$I$1595,hoja1!$F$4:$F$1595,$A23)</f>
        <v>48200</v>
      </c>
      <c r="G23" s="14">
        <f>SUMIFS(hoja1!$J$4:$J$1595,hoja1!$F$4:$F$1595,$A23)</f>
        <v>1561</v>
      </c>
      <c r="H23" s="15">
        <f>IF($D23=0,"",$E23/$D23*100)</f>
        <v>97.706611164562432</v>
      </c>
      <c r="I23" s="15">
        <f>AVERAGEIFS(hoja1!$K$4:$K$1595,hoja1!$F$4:$F$1595,$A23)</f>
        <v>96.414290334249912</v>
      </c>
      <c r="J23" s="15">
        <f>_xlfn.MINIFS(hoja1!$K$4:$K$1595,hoja1!$F$4:$F$1595,$A23)</f>
        <v>51.195090439276484</v>
      </c>
      <c r="K23" s="15">
        <f>_xlfn.MAXIFS(hoja1!$K$4:$K$1595,hoja1!$F$4:$F$1595,$A23)</f>
        <v>117.43697478991596</v>
      </c>
      <c r="L23" s="15">
        <f>IF($F23=0,"",($E23-$F23)/$F23*100)</f>
        <v>3.2385892116182569</v>
      </c>
      <c r="M23" s="15">
        <f>AVERAGEIFS(hoja1!$L$4:$L$1595,hoja1!$F$4:$F$1595,$A23)</f>
        <v>4.7887133452861992</v>
      </c>
      <c r="N23" s="16">
        <f>_xlfn.MAXIFS(hoja1!$L$4:$L$1595,hoja1!$F$4:$F$1595,$A23)</f>
        <v>33.333333333333329</v>
      </c>
    </row>
    <row r="24" spans="1:14" x14ac:dyDescent="0.3">
      <c r="A24" s="25" t="s">
        <v>420</v>
      </c>
      <c r="B24" s="13" t="str">
        <f>INDEX(hoja1!$N$4:$N$1595,MATCH($A24,hoja1!$F$4:$F$1595,0))</f>
        <v>FABRICA UTATLAN</v>
      </c>
      <c r="C24" s="14">
        <f>COUNTIFS(hoja1!$F$4:$F$1595,$A24)</f>
        <v>211</v>
      </c>
      <c r="D24" s="14">
        <f>SUMIFS(hoja1!$G$4:$G$1595,hoja1!$F$4:$F$1595,$A24)</f>
        <v>77772</v>
      </c>
      <c r="E24" s="14">
        <f>SUMIFS(hoja1!$H$4:$H$1595,hoja1!$F$4:$F$1595,$A24)</f>
        <v>78380</v>
      </c>
      <c r="F24" s="14">
        <f>SUMIFS(hoja1!$I$4:$I$1595,hoja1!$F$4:$F$1595,$A24)</f>
        <v>78380</v>
      </c>
      <c r="G24" s="14">
        <f>SUMIFS(hoja1!$J$4:$J$1595,hoja1!$F$4:$F$1595,$A24)</f>
        <v>0</v>
      </c>
      <c r="H24" s="15">
        <f>IF($D24=0,"",$E24/$D24*100)</f>
        <v>100.78177236023247</v>
      </c>
      <c r="I24" s="15">
        <f>AVERAGEIFS(hoja1!$K$4:$K$1595,hoja1!$F$4:$F$1595,$A24)</f>
        <v>101.12693809455706</v>
      </c>
      <c r="J24" s="15">
        <f>_xlfn.MINIFS(hoja1!$K$4:$K$1595,hoja1!$F$4:$F$1595,$A24)</f>
        <v>68.75</v>
      </c>
      <c r="K24" s="15">
        <f>_xlfn.MAXIFS(hoja1!$K$4:$K$1595,hoja1!$F$4:$F$1595,$A24)</f>
        <v>169.58333333333334</v>
      </c>
      <c r="L24" s="15">
        <f>IF($F24=0,"",($E24-$F24)/$F24*100)</f>
        <v>0</v>
      </c>
      <c r="M24" s="15">
        <f>AVERAGEIFS(hoja1!$L$4:$L$1595,hoja1!$F$4:$F$1595,$A24)</f>
        <v>0</v>
      </c>
      <c r="N24" s="16">
        <f>_xlfn.MAXIFS(hoja1!$L$4:$L$1595,hoja1!$F$4:$F$1595,$A24)</f>
        <v>0</v>
      </c>
    </row>
    <row r="25" spans="1:14" x14ac:dyDescent="0.3">
      <c r="A25" s="25" t="s">
        <v>491</v>
      </c>
      <c r="B25" s="13" t="str">
        <f>INDEX(hoja1!$N$4:$N$1595,MATCH($A25,hoja1!$F$4:$F$1595,0))</f>
        <v>FABRICA UTATLAN</v>
      </c>
      <c r="C25" s="14">
        <f>COUNTIFS(hoja1!$F$4:$F$1595,$A25)</f>
        <v>9</v>
      </c>
      <c r="D25" s="14">
        <f>SUMIFS(hoja1!$G$4:$G$1595,hoja1!$F$4:$F$1595,$A25)</f>
        <v>1081</v>
      </c>
      <c r="E25" s="14">
        <f>SUMIFS(hoja1!$H$4:$H$1595,hoja1!$F$4:$F$1595,$A25)</f>
        <v>1097</v>
      </c>
      <c r="F25" s="14">
        <f>SUMIFS(hoja1!$I$4:$I$1595,hoja1!$F$4:$F$1595,$A25)</f>
        <v>1081</v>
      </c>
      <c r="G25" s="14">
        <f>SUMIFS(hoja1!$J$4:$J$1595,hoja1!$F$4:$F$1595,$A25)</f>
        <v>16</v>
      </c>
      <c r="H25" s="15">
        <f>IF($D25=0,"",$E25/$D25*100)</f>
        <v>101.48011100832564</v>
      </c>
      <c r="I25" s="15">
        <f>AVERAGEIFS(hoja1!$K$4:$K$1595,hoja1!$F$4:$F$1595,$A25)</f>
        <v>100.9024252679075</v>
      </c>
      <c r="J25" s="15">
        <f>_xlfn.MINIFS(hoja1!$K$4:$K$1595,hoja1!$F$4:$F$1595,$A25)</f>
        <v>100</v>
      </c>
      <c r="K25" s="15">
        <f>_xlfn.MAXIFS(hoja1!$K$4:$K$1595,hoja1!$F$4:$F$1595,$A25)</f>
        <v>108.12182741116752</v>
      </c>
      <c r="L25" s="15">
        <f>IF($F25=0,"",($E25-$F25)/$F25*100)</f>
        <v>1.4801110083256246</v>
      </c>
      <c r="M25" s="15">
        <f>AVERAGEIFS(hoja1!$L$4:$L$1595,hoja1!$F$4:$F$1595,$A25)</f>
        <v>0.90242526790750133</v>
      </c>
      <c r="N25" s="16">
        <f>_xlfn.MAXIFS(hoja1!$L$4:$L$1595,hoja1!$F$4:$F$1595,$A25)</f>
        <v>8.1218274111675122</v>
      </c>
    </row>
    <row r="26" spans="1:14" x14ac:dyDescent="0.3">
      <c r="A26" s="17" t="s">
        <v>1171</v>
      </c>
      <c r="B26" s="18"/>
      <c r="C26" s="19">
        <f>SUM(C14:C25)</f>
        <v>1574</v>
      </c>
      <c r="D26" s="19">
        <f>SUM(D14:D25)</f>
        <v>1518896</v>
      </c>
      <c r="E26" s="19">
        <f>SUM(E14:E25)</f>
        <v>1488703</v>
      </c>
      <c r="F26" s="19">
        <f>SUM(F14:F25)</f>
        <v>1451690</v>
      </c>
      <c r="G26" s="19">
        <f>SUM(G14:G25)</f>
        <v>37013</v>
      </c>
      <c r="H26" s="20">
        <f>E26/D26*100</f>
        <v>98.012174632101207</v>
      </c>
      <c r="I26" s="20">
        <f>AVERAGE(hoja1!$K$4:$K$1595)</f>
        <v>100.63261061648303</v>
      </c>
      <c r="J26" s="20">
        <f>MIN(J14:J25)</f>
        <v>22.777777777777779</v>
      </c>
      <c r="K26" s="20">
        <f>MAX(K14:K25)</f>
        <v>231.19658119658118</v>
      </c>
      <c r="L26" s="20">
        <f>(E26-F26)/F26*100</f>
        <v>2.5496490297515311</v>
      </c>
      <c r="M26" s="20">
        <f>AVERAGE(hoja1!$L$4:$L$1595)</f>
        <v>2.4977071107428759</v>
      </c>
      <c r="N26" s="21">
        <f>MAX(N14:N25)</f>
        <v>100</v>
      </c>
    </row>
    <row r="28" spans="1:14" ht="15.6" x14ac:dyDescent="0.3">
      <c r="A28" s="11" t="s">
        <v>1172</v>
      </c>
    </row>
    <row r="29" spans="1:14" x14ac:dyDescent="0.3">
      <c r="A29" s="26" t="s">
        <v>1173</v>
      </c>
    </row>
    <row r="30" spans="1:14" x14ac:dyDescent="0.3">
      <c r="A30" t="str">
        <f>"• Centro 2 es el de mayor rendimiento ponderado ("&amp;TEXT(H14,"0.0")&amp;"%): produce "&amp;TEXT(E14-D14,"#,##0")&amp;" unidades por encima del plan. Su máximo llega a "&amp;TEXT(K14,"0.0")&amp;"%, señal de que el plan está subestimado más que de una mejora de proceso."</f>
        <v>• Centro 2 es el de mayor rendimiento ponderado (106.4%): produce 1,601 unidades por encima del plan. Su máximo llega a 135.2%, señal de que el plan está subestimado más que de una mejora de proceso.</v>
      </c>
    </row>
    <row r="31" spans="1:14" x14ac:dyDescent="0.3">
      <c r="A31" t="str">
        <f>"• Centro 3 ("&amp;TEXT(H15,"0.0")&amp;"%) y Centro 6 ("&amp;TEXT(H16,"0.0")&amp;"%) confirman la tendencia de FABRICA ZONA 7 a superar sistemáticamente la cantidad planificada, con mínimos que nunca bajan de "&amp;TEXT(MIN(J15:J16),"0.0")&amp;"%."</f>
        <v>• Centro 3 (105.6%) y Centro 6 (102.3%) confirman la tendencia de FABRICA ZONA 7 a superar sistemáticamente la cantidad planificada, con mínimos que nunca bajan de 72.9%.</v>
      </c>
    </row>
    <row r="32" spans="1:14" x14ac:dyDescent="0.3">
      <c r="A32" t="str">
        <f>"• Los centros intermedios son los más estables: CENTRO INTERMEDIO ZONA 7 cumple exactamente "&amp;TEXT(H17,"0.0")&amp;"% en sus "&amp;TEXT(C17,"0")&amp;" órdenes (variabilidad nula) y CENTRO INTERMEDIO UTATLAN alcanza "&amp;TEXT(H24,"0.0")&amp;"%."</f>
        <v>• Los centros intermedios son los más estables: CENTRO INTERMEDIO ZONA 7 cumple exactamente 100.0% en sus 159 órdenes (variabilidad nula) y CENTRO INTERMEDIO UTATLAN alcanza 100.8%.</v>
      </c>
    </row>
    <row r="33" spans="1:1" x14ac:dyDescent="0.3">
      <c r="A33" t="str">
        <f>"• REEMPAQUE ("&amp;TEXT(H25,"0.0")&amp;"%) y Centro 10 ("&amp;TEXT(H22,"0.0")&amp;"%) se mantienen apenas sobre el objetivo del 100%."</f>
        <v>• REEMPAQUE (101.5%) y Centro 10 (100.3%) se mantienen apenas sobre el objetivo del 100%.</v>
      </c>
    </row>
    <row r="34" spans="1:1" x14ac:dyDescent="0.3">
      <c r="A34" s="27" t="s">
        <v>1174</v>
      </c>
    </row>
    <row r="35" spans="1:1" x14ac:dyDescent="0.3">
      <c r="A35" t="str">
        <f>"• Centro 9 es el más débil ("&amp;TEXT(H21,"0.0")&amp;"%): deja de producir "&amp;TEXT(D21-E21,"#,##0")&amp;" unidades planificadas, con órdenes que caen hasta "&amp;TEXT(J21,"0.0")&amp;"%."</f>
        <v>• Centro 9 es el más débil (88.2%): deja de producir 32,284 unidades planificadas, con órdenes que caen hasta 30.3%.</v>
      </c>
    </row>
    <row r="36" spans="1:1" x14ac:dyDescent="0.3">
      <c r="A36" t="str">
        <f>"• Centro 8 ("&amp;TEXT(H20,"0.0")&amp;"%) y Centro 7 ("&amp;TEXT(H19,"0.0")&amp;"%) también quedan por debajo del plan; Centro 7 concentra "&amp;TEXT(C19,"0")&amp;" órdenes ("&amp;TEXT(C19/C26,"0.0%")&amp;" del total), por lo que su desviación arrastra el resultado global."</f>
        <v>• Centro 8 (99.6%) y Centro 7 (99.5%) también quedan por debajo del plan; Centro 7 concentra 372 órdenes (23.6% del total), por lo que su desviación arrastra el resultado global.</v>
      </c>
    </row>
    <row r="37" spans="1:1" x14ac:dyDescent="0.3">
      <c r="A37" t="str">
        <f>"• Dispersión crítica: Centro 7 oscila entre "&amp;TEXT(J19,"0.0")&amp;"% y "&amp;TEXT(K19,"0.0")&amp;"%, y Centro 10 entre "&amp;TEXT(J22,"0.0")&amp;"% y "&amp;TEXT(K22,"0.0")&amp;"%. El problema no es solo el nivel, es la falta de control del plan."</f>
        <v>• Dispersión crítica: Centro 7 oscila entre 22.8% y 231.2%, y Centro 10 entre 52.5% y 198.0%. El problema no es solo el nivel, es la falta de control del plan.</v>
      </c>
    </row>
    <row r="38" spans="1:1" x14ac:dyDescent="0.3">
      <c r="A38" t="str">
        <f>"• Lectura global: el rendimiento ponderado es "&amp;TEXT(H26,"0.0")&amp;"% frente a un promedio simple de "&amp;TEXT(I26,"0.0")&amp;"%. Como el ponderado es menor, las órdenes grandes rinden peor que las pequeñas."</f>
        <v>• Lectura global: el rendimiento ponderado es 98.0% frente a un promedio simple de 100.6%. Como el ponderado es menor, las órdenes grandes rinden peor que las pequeñas.</v>
      </c>
    </row>
    <row r="39" spans="1:1" x14ac:dyDescent="0.3">
      <c r="A39" t="str">
        <f>"• Contraste por fábrica: ZONA 7 opera por encima del plan (Centros 2, 3 y 6 entre "&amp;TEXT(MIN(H14:H16),"0.0")&amp;"% y "&amp;TEXT(MAX(H14:H16),"0.0")&amp;"%), mientras UTATLAN opera por debajo en la mayoría de sus centros productivos."</f>
        <v>• Contraste por fábrica: ZONA 7 opera por encima del plan (Centros 2, 3 y 6 entre 102.3% y 106.4%), mientras UTATLAN opera por debajo en la mayoría de sus centros productivos.</v>
      </c>
    </row>
    <row r="41" spans="1:1" ht="15.6" x14ac:dyDescent="0.3">
      <c r="A41" s="11" t="s">
        <v>1175</v>
      </c>
    </row>
    <row r="42" spans="1:1" x14ac:dyDescent="0.3">
      <c r="A42" s="26" t="s">
        <v>1176</v>
      </c>
    </row>
    <row r="43" spans="1:1" x14ac:dyDescent="0.3">
      <c r="A43" t="str">
        <f>"• Merma cero en los dos centros intermedios: CENTRO INTERMEDIO ZONA 7 ("&amp;TEXT(C17,"0")&amp;" órdenes) y CENTRO INTERMEDIO UTATLAN ("&amp;TEXT(C24,"0")&amp;" órdenes) no registran unidades malas; son procesos de masa/insumo donde no se descarta pieza."</f>
        <v>• Merma cero en los dos centros intermedios: CENTRO INTERMEDIO ZONA 7 (159 órdenes) y CENTRO INTERMEDIO UTATLAN (211 órdenes) no registran unidades malas; son procesos de masa/insumo donde no se descarta pieza.</v>
      </c>
    </row>
    <row r="44" spans="1:1" x14ac:dyDescent="0.3">
      <c r="A44" t="str">
        <f>"• Centro 8 es el mejor centro de producto terminado: "&amp;TEXT(L20,"0.00")&amp;"% de merma ("&amp;TEXT(G20,"#,##0")&amp;" unidades malas sobre "&amp;TEXT(F20,"#,##0")&amp;" buenas) y un máximo de solo "&amp;TEXT(N20,"0.0")&amp;"%."</f>
        <v>• Centro 8 es el mejor centro de producto terminado: 0.14% de merma (217 unidades malas sobre 151,456 buenas) y un máximo de solo 1.2%.</v>
      </c>
    </row>
    <row r="45" spans="1:1" x14ac:dyDescent="0.3">
      <c r="A45" t="str">
        <f>"• Centro 6 ("&amp;TEXT(L16,"0.00")&amp;"%), Centro 3 ("&amp;TEXT(L15,"0.00")&amp;"%) y Centro 2 ("&amp;TEXT(L14,"0.00")&amp;"%) se ubican en torno al 1%–1.5%: FABRICA ZONA 7 controla mejor la calidad que UTATLAN."</f>
        <v>• Centro 6 (0.69%), Centro 3 (0.95%) y Centro 2 (1.45%) se ubican en torno al 1%–1.5%: FABRICA ZONA 7 controla mejor la calidad que UTATLAN.</v>
      </c>
    </row>
    <row r="46" spans="1:1" x14ac:dyDescent="0.3">
      <c r="A46" s="27" t="s">
        <v>1177</v>
      </c>
    </row>
    <row r="47" spans="1:1" x14ac:dyDescent="0.3">
      <c r="A47" t="str">
        <f>"• Centro 9 encabeza la merma con "&amp;TEXT(L21,"0.00")&amp;"% ("&amp;TEXT(G21,"#,##0")&amp;" unidades malas). Es el mismo centro con el peor rendimiento: baja producción y alto descarte van juntos."</f>
        <v>• Centro 9 encabeza la merma con 5.80% (13,214 unidades malas). Es el mismo centro con el peor rendimiento: baja producción y alto descarte van juntos.</v>
      </c>
    </row>
    <row r="48" spans="1:1" x14ac:dyDescent="0.3">
      <c r="A48" t="str">
        <f>"• Centro 88 le sigue con "&amp;TEXT(L23,"0.00")&amp;"% y un promedio simple de "&amp;TEXT(M23,"0.00")&amp;"%, con órdenes que llegan al "&amp;TEXT(N23,"0.0")&amp;"%."</f>
        <v>• Centro 88 le sigue con 3.24% y un promedio simple de 4.79%, con órdenes que llegan al 33.3%.</v>
      </c>
    </row>
    <row r="49" spans="1:3" x14ac:dyDescent="0.3">
      <c r="A49" t="str">
        <f>"• Centro 10 ("&amp;TEXT(L22,"0.00")&amp;"%) y Centro 7 ("&amp;TEXT(L19,"0.00")&amp;"%) están sobre el promedio global. Centro 7 registra una orden con "&amp;TEXT(N19,"0.0")&amp;"% de merma: pérdida total del lote."</f>
        <v>• Centro 10 (2.01%) y Centro 7 (2.84%) están sobre el promedio global. Centro 7 registra una orden con 100.0% de merma: pérdida total del lote.</v>
      </c>
    </row>
    <row r="50" spans="1:3" x14ac:dyDescent="0.3">
      <c r="A50" t="str">
        <f>"• Alerta de casos extremos: en Centro 3 la merma ponderada es baja ("&amp;TEXT(L15,"0.00")&amp;"%) pero el promedio simple sube a "&amp;TEXT(M15,"0.00")&amp;"% y el máximo a "&amp;TEXT(N15,"0.0")&amp;"%. El descarte se concentra en órdenes pequeñas, no en el volumen."</f>
        <v>• Alerta de casos extremos: en Centro 3 la merma ponderada es baja (0.95%) pero el promedio simple sube a 2.84% y el máximo a 27.9%. El descarte se concentra en órdenes pequeñas, no en el volumen.</v>
      </c>
    </row>
    <row r="51" spans="1:3" x14ac:dyDescent="0.3">
      <c r="A51" t="str">
        <f>"• Lectura global: "&amp;TEXT(G26,"#,##0")&amp;" unidades malas equivalen a "&amp;TEXT(L26,"0.00")&amp;"% de las "&amp;TEXT(F26,"#,##0")&amp;" unidades buenas producidas."</f>
        <v>• Lectura global: 37,013 unidades malas equivalen a 2.55% de las 1,451,690 unidades buenas producidas.</v>
      </c>
    </row>
    <row r="53" spans="1:3" x14ac:dyDescent="0.3">
      <c r="A53" s="28" t="s">
        <v>1178</v>
      </c>
    </row>
    <row r="54" spans="1:3" x14ac:dyDescent="0.3">
      <c r="A54" t="s">
        <v>1179</v>
      </c>
    </row>
    <row r="55" spans="1:3" x14ac:dyDescent="0.3">
      <c r="A55" t="s">
        <v>1180</v>
      </c>
    </row>
    <row r="56" spans="1:3" x14ac:dyDescent="0.3">
      <c r="A56" t="s">
        <v>1181</v>
      </c>
    </row>
    <row r="57" spans="1:3" x14ac:dyDescent="0.3">
      <c r="A57" t="s">
        <v>1182</v>
      </c>
    </row>
    <row r="59" spans="1:3" ht="15.6" x14ac:dyDescent="0.3">
      <c r="A59" s="11" t="s">
        <v>1183</v>
      </c>
    </row>
    <row r="60" spans="1:3" x14ac:dyDescent="0.3">
      <c r="A60" s="29" t="s">
        <v>1184</v>
      </c>
    </row>
    <row r="61" spans="1:3" ht="28.8" x14ac:dyDescent="0.3">
      <c r="A61" s="30" t="s">
        <v>1157</v>
      </c>
      <c r="B61" s="31" t="s">
        <v>1185</v>
      </c>
      <c r="C61" s="32" t="s">
        <v>1168</v>
      </c>
    </row>
    <row r="62" spans="1:3" x14ac:dyDescent="0.3">
      <c r="A62" s="12" t="str">
        <f>A14</f>
        <v>Centro 2</v>
      </c>
      <c r="B62" s="33">
        <f>H14</f>
        <v>106.36251639311686</v>
      </c>
      <c r="C62" s="34">
        <f>L14</f>
        <v>1.4518024335696145</v>
      </c>
    </row>
    <row r="63" spans="1:3" x14ac:dyDescent="0.3">
      <c r="A63" s="12" t="str">
        <f>A15</f>
        <v>Centro 3</v>
      </c>
      <c r="B63" s="33">
        <f>H15</f>
        <v>105.55581679676477</v>
      </c>
      <c r="C63" s="34">
        <f>L15</f>
        <v>0.95116028062601188</v>
      </c>
    </row>
    <row r="64" spans="1:3" x14ac:dyDescent="0.3">
      <c r="A64" s="12" t="str">
        <f>A16</f>
        <v>Centro 6</v>
      </c>
      <c r="B64" s="33">
        <f>H16</f>
        <v>102.34935776350586</v>
      </c>
      <c r="C64" s="34">
        <f>L16</f>
        <v>0.68989547038327526</v>
      </c>
    </row>
    <row r="65" spans="1:3" x14ac:dyDescent="0.3">
      <c r="A65" s="12" t="str">
        <f>A17</f>
        <v>CENTRO INTERMEDIO ZONA 7</v>
      </c>
      <c r="B65" s="33">
        <f>H17</f>
        <v>100</v>
      </c>
      <c r="C65" s="34">
        <f>L17</f>
        <v>0</v>
      </c>
    </row>
    <row r="66" spans="1:3" x14ac:dyDescent="0.3">
      <c r="A66" s="12" t="str">
        <f>A18</f>
        <v>SIN GLUTEN</v>
      </c>
      <c r="B66" s="33">
        <f>H18</f>
        <v>100.16638935108153</v>
      </c>
      <c r="C66" s="34">
        <f>L18</f>
        <v>0.83752093802345051</v>
      </c>
    </row>
    <row r="67" spans="1:3" x14ac:dyDescent="0.3">
      <c r="A67" s="12" t="str">
        <f>A19</f>
        <v>Centro 7</v>
      </c>
      <c r="B67" s="33">
        <f>H19</f>
        <v>99.549225338155495</v>
      </c>
      <c r="C67" s="34">
        <f>L19</f>
        <v>2.8375530511430722</v>
      </c>
    </row>
    <row r="68" spans="1:3" x14ac:dyDescent="0.3">
      <c r="A68" s="12" t="str">
        <f>A20</f>
        <v>Centro 8</v>
      </c>
      <c r="B68" s="33">
        <f>H20</f>
        <v>99.585697026998631</v>
      </c>
      <c r="C68" s="34">
        <f>L20</f>
        <v>0.14327593492499471</v>
      </c>
    </row>
    <row r="69" spans="1:3" x14ac:dyDescent="0.3">
      <c r="A69" s="12" t="str">
        <f>A21</f>
        <v>Centro 9</v>
      </c>
      <c r="B69" s="33">
        <f>H21</f>
        <v>88.185740477122778</v>
      </c>
      <c r="C69" s="34">
        <f>L21</f>
        <v>5.8015937479419577</v>
      </c>
    </row>
    <row r="70" spans="1:3" x14ac:dyDescent="0.3">
      <c r="A70" s="12" t="str">
        <f>A22</f>
        <v>Centro 10</v>
      </c>
      <c r="B70" s="33">
        <f>H22</f>
        <v>100.30591063039441</v>
      </c>
      <c r="C70" s="34">
        <f>L22</f>
        <v>2.0063885931206888</v>
      </c>
    </row>
    <row r="71" spans="1:3" x14ac:dyDescent="0.3">
      <c r="A71" s="12" t="str">
        <f>A23</f>
        <v>Centro 88</v>
      </c>
      <c r="B71" s="33">
        <f>H23</f>
        <v>97.706611164562432</v>
      </c>
      <c r="C71" s="34">
        <f>L23</f>
        <v>3.2385892116182569</v>
      </c>
    </row>
    <row r="72" spans="1:3" x14ac:dyDescent="0.3">
      <c r="A72" s="12" t="str">
        <f>A24</f>
        <v>CENTRO INTERMEDIO UTATLAN</v>
      </c>
      <c r="B72" s="33">
        <f>H24</f>
        <v>100.78177236023247</v>
      </c>
      <c r="C72" s="34">
        <f>L24</f>
        <v>0</v>
      </c>
    </row>
    <row r="73" spans="1:3" x14ac:dyDescent="0.3">
      <c r="A73" s="35" t="str">
        <f>A25</f>
        <v>REEMPAQUE</v>
      </c>
      <c r="B73" s="36">
        <f>H25</f>
        <v>101.48011100832564</v>
      </c>
      <c r="C73" s="37">
        <f>L25</f>
        <v>1.4801110083256246</v>
      </c>
    </row>
    <row r="120" spans="1:10" ht="15.6" x14ac:dyDescent="0.3">
      <c r="A120" s="11" t="s">
        <v>1201</v>
      </c>
      <c r="J120" s="41" t="s">
        <v>1205</v>
      </c>
    </row>
    <row r="121" spans="1:10" x14ac:dyDescent="0.3">
      <c r="A121" s="29" t="s">
        <v>1204</v>
      </c>
      <c r="J121" s="42" t="s">
        <v>19</v>
      </c>
    </row>
    <row r="122" spans="1:10" x14ac:dyDescent="0.3">
      <c r="A122" s="26" t="s">
        <v>1202</v>
      </c>
      <c r="J122" s="42" t="s">
        <v>420</v>
      </c>
    </row>
    <row r="123" spans="1:10" ht="28.8" x14ac:dyDescent="0.3">
      <c r="A123" s="23" t="s">
        <v>1203</v>
      </c>
      <c r="B123" s="23" t="s">
        <v>1159</v>
      </c>
      <c r="C123" s="23" t="s">
        <v>1160</v>
      </c>
      <c r="D123" s="23" t="s">
        <v>1161</v>
      </c>
      <c r="E123" s="23" t="s">
        <v>1164</v>
      </c>
      <c r="F123" s="23" t="s">
        <v>1168</v>
      </c>
      <c r="G123" s="23" t="s">
        <v>1162</v>
      </c>
      <c r="J123" s="42" t="s">
        <v>491</v>
      </c>
    </row>
    <row r="124" spans="1:10" x14ac:dyDescent="0.3">
      <c r="A124" s="40" t="s">
        <v>309</v>
      </c>
      <c r="B124" s="14">
        <f>COUNTIFS(hoja1!$E$4:$E$1595,$A124,hoja1!$F$4:$F$1595,"&lt;&gt;"&amp;$J$121,hoja1!$F$4:$F$1595,"&lt;&gt;"&amp;$J$122,hoja1!$F$4:$F$1595,"&lt;&gt;"&amp;$J$123)</f>
        <v>1</v>
      </c>
      <c r="C124" s="14">
        <f>SUMIFS(hoja1!$G$4:$G$1595,hoja1!$E$4:$E$1595,$A124,hoja1!$F$4:$F$1595,"&lt;&gt;"&amp;$J$121,hoja1!$F$4:$F$1595,"&lt;&gt;"&amp;$J$122,hoja1!$F$4:$F$1595,"&lt;&gt;"&amp;$J$123)</f>
        <v>150</v>
      </c>
      <c r="D124" s="14">
        <f>SUMIFS(hoja1!$H$4:$H$1595,hoja1!$E$4:$E$1595,$A124,hoja1!$F$4:$F$1595,"&lt;&gt;"&amp;$J$121,hoja1!$F$4:$F$1595,"&lt;&gt;"&amp;$J$122,hoja1!$F$4:$F$1595,"&lt;&gt;"&amp;$J$123)</f>
        <v>192</v>
      </c>
      <c r="E124" s="33">
        <f>$D124/$C124*100</f>
        <v>128</v>
      </c>
      <c r="F124" s="33">
        <f>($D124-$G124)/$G124*100</f>
        <v>3.7837837837837842</v>
      </c>
      <c r="G124" s="14">
        <f>SUMIFS(hoja1!$I$4:$I$1595,hoja1!$E$4:$E$1595,$A124,hoja1!$F$4:$F$1595,"&lt;&gt;"&amp;$J$121,hoja1!$F$4:$F$1595,"&lt;&gt;"&amp;$J$122,hoja1!$F$4:$F$1595,"&lt;&gt;"&amp;$J$123)</f>
        <v>185</v>
      </c>
    </row>
    <row r="125" spans="1:10" x14ac:dyDescent="0.3">
      <c r="A125" s="40" t="s">
        <v>312</v>
      </c>
      <c r="B125" s="14">
        <f>COUNTIFS(hoja1!$E$4:$E$1595,$A125,hoja1!$F$4:$F$1595,"&lt;&gt;"&amp;$J$121,hoja1!$F$4:$F$1595,"&lt;&gt;"&amp;$J$122,hoja1!$F$4:$F$1595,"&lt;&gt;"&amp;$J$123)</f>
        <v>6</v>
      </c>
      <c r="C125" s="14">
        <f>SUMIFS(hoja1!$G$4:$G$1595,hoja1!$E$4:$E$1595,$A125,hoja1!$F$4:$F$1595,"&lt;&gt;"&amp;$J$121,hoja1!$F$4:$F$1595,"&lt;&gt;"&amp;$J$122,hoja1!$F$4:$F$1595,"&lt;&gt;"&amp;$J$123)</f>
        <v>900</v>
      </c>
      <c r="D125" s="14">
        <f>SUMIFS(hoja1!$H$4:$H$1595,hoja1!$E$4:$E$1595,$A125,hoja1!$F$4:$F$1595,"&lt;&gt;"&amp;$J$121,hoja1!$F$4:$F$1595,"&lt;&gt;"&amp;$J$122,hoja1!$F$4:$F$1595,"&lt;&gt;"&amp;$J$123)</f>
        <v>1112</v>
      </c>
      <c r="E125" s="33">
        <f>$D125/$C125*100</f>
        <v>123.55555555555556</v>
      </c>
      <c r="F125" s="33">
        <f>($D125-$G125)/$G125*100</f>
        <v>5.103969754253308</v>
      </c>
      <c r="G125" s="14">
        <f>SUMIFS(hoja1!$I$4:$I$1595,hoja1!$E$4:$E$1595,$A125,hoja1!$F$4:$F$1595,"&lt;&gt;"&amp;$J$121,hoja1!$F$4:$F$1595,"&lt;&gt;"&amp;$J$122,hoja1!$F$4:$F$1595,"&lt;&gt;"&amp;$J$123)</f>
        <v>1058</v>
      </c>
    </row>
    <row r="126" spans="1:10" x14ac:dyDescent="0.3">
      <c r="A126" s="40" t="s">
        <v>148</v>
      </c>
      <c r="B126" s="14">
        <f>COUNTIFS(hoja1!$E$4:$E$1595,$A126,hoja1!$F$4:$F$1595,"&lt;&gt;"&amp;$J$121,hoja1!$F$4:$F$1595,"&lt;&gt;"&amp;$J$122,hoja1!$F$4:$F$1595,"&lt;&gt;"&amp;$J$123)</f>
        <v>8</v>
      </c>
      <c r="C126" s="14">
        <f>SUMIFS(hoja1!$G$4:$G$1595,hoja1!$E$4:$E$1595,$A126,hoja1!$F$4:$F$1595,"&lt;&gt;"&amp;$J$121,hoja1!$F$4:$F$1595,"&lt;&gt;"&amp;$J$122,hoja1!$F$4:$F$1595,"&lt;&gt;"&amp;$J$123)</f>
        <v>1136</v>
      </c>
      <c r="D126" s="14">
        <f>SUMIFS(hoja1!$H$4:$H$1595,hoja1!$E$4:$E$1595,$A126,hoja1!$F$4:$F$1595,"&lt;&gt;"&amp;$J$121,hoja1!$F$4:$F$1595,"&lt;&gt;"&amp;$J$122,hoja1!$F$4:$F$1595,"&lt;&gt;"&amp;$J$123)</f>
        <v>1355</v>
      </c>
      <c r="E126" s="33">
        <f>$D126/$C126*100</f>
        <v>119.2781690140845</v>
      </c>
      <c r="F126" s="33">
        <f>($D126-$G126)/$G126*100</f>
        <v>7.3855243722304287E-2</v>
      </c>
      <c r="G126" s="14">
        <f>SUMIFS(hoja1!$I$4:$I$1595,hoja1!$E$4:$E$1595,$A126,hoja1!$F$4:$F$1595,"&lt;&gt;"&amp;$J$121,hoja1!$F$4:$F$1595,"&lt;&gt;"&amp;$J$122,hoja1!$F$4:$F$1595,"&lt;&gt;"&amp;$J$123)</f>
        <v>1354</v>
      </c>
    </row>
    <row r="127" spans="1:10" x14ac:dyDescent="0.3">
      <c r="A127" s="40" t="s">
        <v>399</v>
      </c>
      <c r="B127" s="14">
        <f>COUNTIFS(hoja1!$E$4:$E$1595,$A127,hoja1!$F$4:$F$1595,"&lt;&gt;"&amp;$J$121,hoja1!$F$4:$F$1595,"&lt;&gt;"&amp;$J$122,hoja1!$F$4:$F$1595,"&lt;&gt;"&amp;$J$123)</f>
        <v>7</v>
      </c>
      <c r="C127" s="14">
        <f>SUMIFS(hoja1!$G$4:$G$1595,hoja1!$E$4:$E$1595,$A127,hoja1!$F$4:$F$1595,"&lt;&gt;"&amp;$J$121,hoja1!$F$4:$F$1595,"&lt;&gt;"&amp;$J$122,hoja1!$F$4:$F$1595,"&lt;&gt;"&amp;$J$123)</f>
        <v>3104</v>
      </c>
      <c r="D127" s="14">
        <f>SUMIFS(hoja1!$H$4:$H$1595,hoja1!$E$4:$E$1595,$A127,hoja1!$F$4:$F$1595,"&lt;&gt;"&amp;$J$121,hoja1!$F$4:$F$1595,"&lt;&gt;"&amp;$J$122,hoja1!$F$4:$F$1595,"&lt;&gt;"&amp;$J$123)</f>
        <v>3685</v>
      </c>
      <c r="E127" s="33">
        <f>$D127/$C127*100</f>
        <v>118.71778350515463</v>
      </c>
      <c r="F127" s="33">
        <f>($D127-$G127)/$G127*100</f>
        <v>0.27210884353741494</v>
      </c>
      <c r="G127" s="14">
        <f>SUMIFS(hoja1!$I$4:$I$1595,hoja1!$E$4:$E$1595,$A127,hoja1!$F$4:$F$1595,"&lt;&gt;"&amp;$J$121,hoja1!$F$4:$F$1595,"&lt;&gt;"&amp;$J$122,hoja1!$F$4:$F$1595,"&lt;&gt;"&amp;$J$123)</f>
        <v>3675</v>
      </c>
    </row>
    <row r="128" spans="1:10" x14ac:dyDescent="0.3">
      <c r="A128" s="40" t="s">
        <v>409</v>
      </c>
      <c r="B128" s="14">
        <f>COUNTIFS(hoja1!$E$4:$E$1595,$A128,hoja1!$F$4:$F$1595,"&lt;&gt;"&amp;$J$121,hoja1!$F$4:$F$1595,"&lt;&gt;"&amp;$J$122,hoja1!$F$4:$F$1595,"&lt;&gt;"&amp;$J$123)</f>
        <v>3</v>
      </c>
      <c r="C128" s="14">
        <f>SUMIFS(hoja1!$G$4:$G$1595,hoja1!$E$4:$E$1595,$A128,hoja1!$F$4:$F$1595,"&lt;&gt;"&amp;$J$121,hoja1!$F$4:$F$1595,"&lt;&gt;"&amp;$J$122,hoja1!$F$4:$F$1595,"&lt;&gt;"&amp;$J$123)</f>
        <v>364</v>
      </c>
      <c r="D128" s="14">
        <f>SUMIFS(hoja1!$H$4:$H$1595,hoja1!$E$4:$E$1595,$A128,hoja1!$F$4:$F$1595,"&lt;&gt;"&amp;$J$121,hoja1!$F$4:$F$1595,"&lt;&gt;"&amp;$J$122,hoja1!$F$4:$F$1595,"&lt;&gt;"&amp;$J$123)</f>
        <v>424</v>
      </c>
      <c r="E128" s="33">
        <f>$D128/$C128*100</f>
        <v>116.4835164835165</v>
      </c>
      <c r="F128" s="33">
        <f>($D128-$G128)/$G128*100</f>
        <v>1.1933174224343674</v>
      </c>
      <c r="G128" s="14">
        <f>SUMIFS(hoja1!$I$4:$I$1595,hoja1!$E$4:$E$1595,$A128,hoja1!$F$4:$F$1595,"&lt;&gt;"&amp;$J$121,hoja1!$F$4:$F$1595,"&lt;&gt;"&amp;$J$122,hoja1!$F$4:$F$1595,"&lt;&gt;"&amp;$J$123)</f>
        <v>419</v>
      </c>
    </row>
    <row r="130" spans="1:8" x14ac:dyDescent="0.3">
      <c r="A130" s="27" t="s">
        <v>1206</v>
      </c>
    </row>
    <row r="131" spans="1:8" ht="28.8" x14ac:dyDescent="0.3">
      <c r="A131" s="23" t="s">
        <v>1203</v>
      </c>
      <c r="B131" s="23" t="s">
        <v>1159</v>
      </c>
      <c r="C131" s="23" t="s">
        <v>1161</v>
      </c>
      <c r="D131" s="23" t="s">
        <v>1162</v>
      </c>
      <c r="E131" s="23" t="s">
        <v>1163</v>
      </c>
      <c r="F131" s="23" t="s">
        <v>1168</v>
      </c>
      <c r="G131" s="23" t="s">
        <v>1164</v>
      </c>
      <c r="H131" s="23" t="s">
        <v>1160</v>
      </c>
    </row>
    <row r="132" spans="1:8" x14ac:dyDescent="0.3">
      <c r="A132" s="40" t="s">
        <v>356</v>
      </c>
      <c r="B132" s="14">
        <f>COUNTIFS(hoja1!$E$4:$E$1595,$A132,hoja1!$F$4:$F$1595,"&lt;&gt;"&amp;$J$121,hoja1!$F$4:$F$1595,"&lt;&gt;"&amp;$J$122,hoja1!$F$4:$F$1595,"&lt;&gt;"&amp;$J$123)</f>
        <v>19</v>
      </c>
      <c r="C132" s="14">
        <f>SUMIFS(hoja1!$H$4:$H$1595,hoja1!$E$4:$E$1595,$A132,hoja1!$F$4:$F$1595,"&lt;&gt;"&amp;$J$121,hoja1!$F$4:$F$1595,"&lt;&gt;"&amp;$J$122,hoja1!$F$4:$F$1595,"&lt;&gt;"&amp;$J$123)</f>
        <v>544</v>
      </c>
      <c r="D132" s="14">
        <f>SUMIFS(hoja1!$I$4:$I$1595,hoja1!$E$4:$E$1595,$A132,hoja1!$F$4:$F$1595,"&lt;&gt;"&amp;$J$121,hoja1!$F$4:$F$1595,"&lt;&gt;"&amp;$J$122,hoja1!$F$4:$F$1595,"&lt;&gt;"&amp;$J$123)</f>
        <v>465</v>
      </c>
      <c r="E132" s="14">
        <f>SUMIFS(hoja1!$J$4:$J$1595,hoja1!$E$4:$E$1595,$A132,hoja1!$F$4:$F$1595,"&lt;&gt;"&amp;$J$121,hoja1!$F$4:$F$1595,"&lt;&gt;"&amp;$J$122,hoja1!$F$4:$F$1595,"&lt;&gt;"&amp;$J$123)</f>
        <v>79</v>
      </c>
      <c r="F132" s="33">
        <f>($C132-$D132)/$D132*100</f>
        <v>16.989247311827956</v>
      </c>
      <c r="G132" s="33">
        <f>$C132/$H132*100</f>
        <v>99.451553930530167</v>
      </c>
      <c r="H132" s="14">
        <f>SUMIFS(hoja1!$G$4:$G$1595,hoja1!$E$4:$E$1595,$A132,hoja1!$F$4:$F$1595,"&lt;&gt;"&amp;$J$121,hoja1!$F$4:$F$1595,"&lt;&gt;"&amp;$J$122,hoja1!$F$4:$F$1595,"&lt;&gt;"&amp;$J$123)</f>
        <v>547</v>
      </c>
    </row>
    <row r="133" spans="1:8" x14ac:dyDescent="0.3">
      <c r="A133" s="40" t="s">
        <v>484</v>
      </c>
      <c r="B133" s="14">
        <f>COUNTIFS(hoja1!$E$4:$E$1595,$A133,hoja1!$F$4:$F$1595,"&lt;&gt;"&amp;$J$121,hoja1!$F$4:$F$1595,"&lt;&gt;"&amp;$J$122,hoja1!$F$4:$F$1595,"&lt;&gt;"&amp;$J$123)</f>
        <v>9</v>
      </c>
      <c r="C133" s="14">
        <f>SUMIFS(hoja1!$H$4:$H$1595,hoja1!$E$4:$E$1595,$A133,hoja1!$F$4:$F$1595,"&lt;&gt;"&amp;$J$121,hoja1!$F$4:$F$1595,"&lt;&gt;"&amp;$J$122,hoja1!$F$4:$F$1595,"&lt;&gt;"&amp;$J$123)</f>
        <v>8505</v>
      </c>
      <c r="D133" s="14">
        <f>SUMIFS(hoja1!$I$4:$I$1595,hoja1!$E$4:$E$1595,$A133,hoja1!$F$4:$F$1595,"&lt;&gt;"&amp;$J$121,hoja1!$F$4:$F$1595,"&lt;&gt;"&amp;$J$122,hoja1!$F$4:$F$1595,"&lt;&gt;"&amp;$J$123)</f>
        <v>7689</v>
      </c>
      <c r="E133" s="14">
        <f>SUMIFS(hoja1!$J$4:$J$1595,hoja1!$E$4:$E$1595,$A133,hoja1!$F$4:$F$1595,"&lt;&gt;"&amp;$J$121,hoja1!$F$4:$F$1595,"&lt;&gt;"&amp;$J$122,hoja1!$F$4:$F$1595,"&lt;&gt;"&amp;$J$123)</f>
        <v>816</v>
      </c>
      <c r="F133" s="33">
        <f>($C133-$D133)/$D133*100</f>
        <v>10.612563402262973</v>
      </c>
      <c r="G133" s="33">
        <f>$C133/$H133*100</f>
        <v>82.03125</v>
      </c>
      <c r="H133" s="14">
        <f>SUMIFS(hoja1!$G$4:$G$1595,hoja1!$E$4:$E$1595,$A133,hoja1!$F$4:$F$1595,"&lt;&gt;"&amp;$J$121,hoja1!$F$4:$F$1595,"&lt;&gt;"&amp;$J$122,hoja1!$F$4:$F$1595,"&lt;&gt;"&amp;$J$123)</f>
        <v>10368</v>
      </c>
    </row>
    <row r="134" spans="1:8" x14ac:dyDescent="0.3">
      <c r="A134" s="40" t="s">
        <v>461</v>
      </c>
      <c r="B134" s="14">
        <f>COUNTIFS(hoja1!$E$4:$E$1595,$A134,hoja1!$F$4:$F$1595,"&lt;&gt;"&amp;$J$121,hoja1!$F$4:$F$1595,"&lt;&gt;"&amp;$J$122,hoja1!$F$4:$F$1595,"&lt;&gt;"&amp;$J$123)</f>
        <v>14</v>
      </c>
      <c r="C134" s="14">
        <f>SUMIFS(hoja1!$H$4:$H$1595,hoja1!$E$4:$E$1595,$A134,hoja1!$F$4:$F$1595,"&lt;&gt;"&amp;$J$121,hoja1!$F$4:$F$1595,"&lt;&gt;"&amp;$J$122,hoja1!$F$4:$F$1595,"&lt;&gt;"&amp;$J$123)</f>
        <v>8180</v>
      </c>
      <c r="D134" s="14">
        <f>SUMIFS(hoja1!$I$4:$I$1595,hoja1!$E$4:$E$1595,$A134,hoja1!$F$4:$F$1595,"&lt;&gt;"&amp;$J$121,hoja1!$F$4:$F$1595,"&lt;&gt;"&amp;$J$122,hoja1!$F$4:$F$1595,"&lt;&gt;"&amp;$J$123)</f>
        <v>6302</v>
      </c>
      <c r="E134" s="14">
        <f>SUMIFS(hoja1!$J$4:$J$1595,hoja1!$E$4:$E$1595,$A134,hoja1!$F$4:$F$1595,"&lt;&gt;"&amp;$J$121,hoja1!$F$4:$F$1595,"&lt;&gt;"&amp;$J$122,hoja1!$F$4:$F$1595,"&lt;&gt;"&amp;$J$123)</f>
        <v>1878</v>
      </c>
      <c r="F134" s="33">
        <f>($C134-$D134)/$D134*100</f>
        <v>29.800063471913678</v>
      </c>
      <c r="G134" s="33">
        <f>$C134/$H134*100</f>
        <v>70.822510822510822</v>
      </c>
      <c r="H134" s="14">
        <f>SUMIFS(hoja1!$G$4:$G$1595,hoja1!$E$4:$E$1595,$A134,hoja1!$F$4:$F$1595,"&lt;&gt;"&amp;$J$121,hoja1!$F$4:$F$1595,"&lt;&gt;"&amp;$J$122,hoja1!$F$4:$F$1595,"&lt;&gt;"&amp;$J$123)</f>
        <v>11550</v>
      </c>
    </row>
    <row r="135" spans="1:8" x14ac:dyDescent="0.3">
      <c r="A135" s="40" t="s">
        <v>531</v>
      </c>
      <c r="B135" s="14">
        <f>COUNTIFS(hoja1!$E$4:$E$1595,$A135,hoja1!$F$4:$F$1595,"&lt;&gt;"&amp;$J$121,hoja1!$F$4:$F$1595,"&lt;&gt;"&amp;$J$122,hoja1!$F$4:$F$1595,"&lt;&gt;"&amp;$J$123)</f>
        <v>2</v>
      </c>
      <c r="C135" s="14">
        <f>SUMIFS(hoja1!$H$4:$H$1595,hoja1!$E$4:$E$1595,$A135,hoja1!$F$4:$F$1595,"&lt;&gt;"&amp;$J$121,hoja1!$F$4:$F$1595,"&lt;&gt;"&amp;$J$122,hoja1!$F$4:$F$1595,"&lt;&gt;"&amp;$J$123)</f>
        <v>1439</v>
      </c>
      <c r="D135" s="14">
        <f>SUMIFS(hoja1!$I$4:$I$1595,hoja1!$E$4:$E$1595,$A135,hoja1!$F$4:$F$1595,"&lt;&gt;"&amp;$J$121,hoja1!$F$4:$F$1595,"&lt;&gt;"&amp;$J$122,hoja1!$F$4:$F$1595,"&lt;&gt;"&amp;$J$123)</f>
        <v>1321</v>
      </c>
      <c r="E135" s="14">
        <f>SUMIFS(hoja1!$J$4:$J$1595,hoja1!$E$4:$E$1595,$A135,hoja1!$F$4:$F$1595,"&lt;&gt;"&amp;$J$121,hoja1!$F$4:$F$1595,"&lt;&gt;"&amp;$J$122,hoja1!$F$4:$F$1595,"&lt;&gt;"&amp;$J$123)</f>
        <v>118</v>
      </c>
      <c r="F135" s="33">
        <f>($C135-$D135)/$D135*100</f>
        <v>8.9326267978803937</v>
      </c>
      <c r="G135" s="33">
        <f>$C135/$H135*100</f>
        <v>99.241379310344826</v>
      </c>
      <c r="H135" s="14">
        <f>SUMIFS(hoja1!$G$4:$G$1595,hoja1!$E$4:$E$1595,$A135,hoja1!$F$4:$F$1595,"&lt;&gt;"&amp;$J$121,hoja1!$F$4:$F$1595,"&lt;&gt;"&amp;$J$122,hoja1!$F$4:$F$1595,"&lt;&gt;"&amp;$J$123)</f>
        <v>1450</v>
      </c>
    </row>
    <row r="136" spans="1:8" x14ac:dyDescent="0.3">
      <c r="A136" s="40" t="s">
        <v>573</v>
      </c>
      <c r="B136" s="14">
        <f>COUNTIFS(hoja1!$E$4:$E$1595,$A136,hoja1!$F$4:$F$1595,"&lt;&gt;"&amp;$J$121,hoja1!$F$4:$F$1595,"&lt;&gt;"&amp;$J$122,hoja1!$F$4:$F$1595,"&lt;&gt;"&amp;$J$123)</f>
        <v>8</v>
      </c>
      <c r="C136" s="14">
        <f>SUMIFS(hoja1!$H$4:$H$1595,hoja1!$E$4:$E$1595,$A136,hoja1!$F$4:$F$1595,"&lt;&gt;"&amp;$J$121,hoja1!$F$4:$F$1595,"&lt;&gt;"&amp;$J$122,hoja1!$F$4:$F$1595,"&lt;&gt;"&amp;$J$123)</f>
        <v>4852</v>
      </c>
      <c r="D136" s="14">
        <f>SUMIFS(hoja1!$I$4:$I$1595,hoja1!$E$4:$E$1595,$A136,hoja1!$F$4:$F$1595,"&lt;&gt;"&amp;$J$121,hoja1!$F$4:$F$1595,"&lt;&gt;"&amp;$J$122,hoja1!$F$4:$F$1595,"&lt;&gt;"&amp;$J$123)</f>
        <v>4489</v>
      </c>
      <c r="E136" s="14">
        <f>SUMIFS(hoja1!$J$4:$J$1595,hoja1!$E$4:$E$1595,$A136,hoja1!$F$4:$F$1595,"&lt;&gt;"&amp;$J$121,hoja1!$F$4:$F$1595,"&lt;&gt;"&amp;$J$122,hoja1!$F$4:$F$1595,"&lt;&gt;"&amp;$J$123)</f>
        <v>363</v>
      </c>
      <c r="F136" s="33">
        <f>($C136-$D136)/$D136*100</f>
        <v>8.0864335041211852</v>
      </c>
      <c r="G136" s="33">
        <f>$C136/$H136*100</f>
        <v>103.14625850340136</v>
      </c>
      <c r="H136" s="14">
        <f>SUMIFS(hoja1!$G$4:$G$1595,hoja1!$E$4:$E$1595,$A136,hoja1!$F$4:$F$1595,"&lt;&gt;"&amp;$J$121,hoja1!$F$4:$F$1595,"&lt;&gt;"&amp;$J$122,hoja1!$F$4:$F$1595,"&lt;&gt;"&amp;$J$123)</f>
        <v>4704</v>
      </c>
    </row>
    <row r="138" spans="1:8" x14ac:dyDescent="0.3">
      <c r="A138" s="28" t="s">
        <v>1207</v>
      </c>
    </row>
    <row r="139" spans="1:8" x14ac:dyDescent="0.3">
      <c r="A139" t="str">
        <f>"• Los mejores rendimientos superan el plan entre "&amp;TEXT(E128-100,"0.0")&amp;" y "&amp;TEXT(E124-100,"0.0")&amp;" puntos, pero se apoyan en pocas órdenes (de "&amp;TEXT(MIN(B124:B128),"0")&amp;" a "&amp;TEXT(MAX(B124:B128),"0")&amp;"): son planes subestimados más que productos de alta eficiencia."</f>
        <v>• Los mejores rendimientos superan el plan entre 16.5 y 28.0 puntos, pero se apoyan en pocas órdenes (de 1 a 8): son planes subestimados más que productos de alta eficiencia.</v>
      </c>
    </row>
    <row r="140" spans="1:8" x14ac:dyDescent="0.3">
      <c r="A140" t="str">
        <f>"• PALITOS SIMPLES aparece en las dos listas: rinde "&amp;TEXT(E125,"0.0")&amp;"% del plan pero descarta "&amp;TEXT(F125,"0.00")&amp;"% de lo producido; el exceso de producción no se traduce en unidades buenas."</f>
        <v>• PALITOS SIMPLES aparece en las dos listas: rinde 123.6% del plan pero descarta 5.10% de lo producido; el exceso de producción no se traduce en unidades buenas.</v>
      </c>
    </row>
    <row r="141" spans="1:8" x14ac:dyDescent="0.3">
      <c r="A141" t="str">
        <f>"• (S7) PAN DE BANANO CON PANELA es el producto con mayor merma ("&amp;TEXT(F132,"0.00")&amp;"% en "&amp;TEXT(B132,"0")&amp;" órdenes), seguido de BARRA GALLEGA PEQ 18 ("&amp;TEXT(F133,"0.00")&amp;"%) y BARRA BLANCA 4 ONZAS ("&amp;TEXT(F134,"0.00")&amp;"%)."</f>
        <v>• (S7) PAN DE BANANO CON PANELA es el producto con mayor merma (16.99% en 19 órdenes), seguido de BARRA GALLEGA PEQ 18 (10.61%) y BARRA BLANCA 4 ONZAS (29.80%).</v>
      </c>
    </row>
    <row r="142" spans="1:8" x14ac:dyDescent="0.3">
      <c r="A142" t="str">
        <f>"• Las dos barras combinan merma alta con rendimiento bajo ("&amp;TEXT(G133,"0.0")&amp;"% y "&amp;TEXT(G134,"0.0")&amp;"%): pierden unidades por proceso y además no alcanzan el plan; son la prioridad de mejora."</f>
        <v>• Las dos barras combinan merma alta con rendimiento bajo (82.0% y 70.8%): pierden unidades por proceso y además no alcanzan el plan; son la prioridad de mejora.</v>
      </c>
    </row>
    <row r="143" spans="1:8" x14ac:dyDescent="0.3">
      <c r="A143" t="str">
        <f>"• CHAMPURRADA es el mayor volumen de la lista ("&amp;TEXT(C136,"#,##0")&amp;" u producidas) con "&amp;TEXT(E136,"#,##0")&amp;" unidades malas: aunque su merma ("&amp;TEXT(F136,"0.00")&amp;"%) no es la más alta, es la de mayor impacto absoluto."</f>
        <v>• CHAMPURRADA es el mayor volumen de la lista (4,852 u producidas) con 363 unidades malas: aunque su merma (8.09%) no es la más alta, es la de mayor impacto absoluto.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5338B-429B-43E0-8C30-4DA90F7E48B4}">
  <dimension ref="A1:Y9"/>
  <sheetViews>
    <sheetView topLeftCell="M1" workbookViewId="0">
      <selection activeCell="S9" sqref="S9"/>
    </sheetView>
  </sheetViews>
  <sheetFormatPr baseColWidth="10" defaultRowHeight="14.4" x14ac:dyDescent="0.3"/>
  <cols>
    <col min="1" max="1" width="25.88671875" customWidth="1"/>
    <col min="2" max="25" width="14.44140625" customWidth="1"/>
  </cols>
  <sheetData>
    <row r="1" spans="1:25" ht="18" x14ac:dyDescent="0.35">
      <c r="A1" s="38" t="s">
        <v>1470</v>
      </c>
    </row>
    <row r="2" spans="1:25" x14ac:dyDescent="0.3">
      <c r="A2" s="39" t="s">
        <v>1190</v>
      </c>
    </row>
    <row r="3" spans="1:25" x14ac:dyDescent="0.3">
      <c r="A3" s="39" t="s">
        <v>1191</v>
      </c>
    </row>
    <row r="4" spans="1:25" x14ac:dyDescent="0.3">
      <c r="A4" s="47" t="s">
        <v>1197</v>
      </c>
      <c r="B4" s="48">
        <f>DATE(2026,7,6)</f>
        <v>46209</v>
      </c>
      <c r="C4" s="49">
        <f>B4+6</f>
        <v>46215</v>
      </c>
      <c r="D4" s="50"/>
      <c r="E4" s="49">
        <f>C4+1</f>
        <v>46216</v>
      </c>
      <c r="F4" s="49">
        <f>E4+6</f>
        <v>46222</v>
      </c>
      <c r="G4" s="50"/>
      <c r="H4" s="49">
        <f>F4+1</f>
        <v>46223</v>
      </c>
      <c r="I4" s="49">
        <f>H4+6</f>
        <v>46229</v>
      </c>
      <c r="J4" s="50"/>
      <c r="K4" s="49">
        <f>I4+1</f>
        <v>46230</v>
      </c>
      <c r="L4" s="49">
        <f>K4+6</f>
        <v>46236</v>
      </c>
      <c r="M4" s="50"/>
      <c r="N4" s="49">
        <f>L4+1</f>
        <v>46237</v>
      </c>
      <c r="O4" s="49">
        <f>N4+6</f>
        <v>46243</v>
      </c>
      <c r="P4" s="50"/>
      <c r="Q4" s="49">
        <f>O4+1</f>
        <v>46244</v>
      </c>
      <c r="R4" s="49">
        <f>Q4+6</f>
        <v>46250</v>
      </c>
      <c r="S4" s="50"/>
      <c r="T4" s="49">
        <f>R4+1</f>
        <v>46251</v>
      </c>
      <c r="U4" s="49">
        <f>T4+6</f>
        <v>46257</v>
      </c>
      <c r="V4" s="50"/>
      <c r="W4" s="49"/>
      <c r="X4" s="49"/>
      <c r="Y4" s="50"/>
    </row>
    <row r="5" spans="1:25" x14ac:dyDescent="0.3">
      <c r="A5" s="55" t="s">
        <v>1192</v>
      </c>
      <c r="B5" s="51" t="s">
        <v>1198</v>
      </c>
      <c r="C5" s="51"/>
      <c r="D5" s="51"/>
      <c r="E5" s="51" t="s">
        <v>1199</v>
      </c>
      <c r="F5" s="51"/>
      <c r="G5" s="51"/>
      <c r="H5" s="51" t="s">
        <v>1200</v>
      </c>
      <c r="I5" s="51"/>
      <c r="J5" s="51"/>
      <c r="K5" s="51" t="s">
        <v>1468</v>
      </c>
      <c r="L5" s="51"/>
      <c r="M5" s="51"/>
      <c r="N5" s="51" t="s">
        <v>1469</v>
      </c>
      <c r="O5" s="51"/>
      <c r="P5" s="51"/>
      <c r="Q5" s="51" t="s">
        <v>1956</v>
      </c>
      <c r="R5" s="51"/>
      <c r="S5" s="51"/>
      <c r="T5" s="51" t="s">
        <v>1957</v>
      </c>
      <c r="U5" s="51"/>
      <c r="V5" s="51"/>
      <c r="W5" s="51" t="s">
        <v>1958</v>
      </c>
      <c r="X5" s="51"/>
      <c r="Y5" s="51"/>
    </row>
    <row r="6" spans="1:25" x14ac:dyDescent="0.3">
      <c r="A6" s="43"/>
      <c r="B6" s="43" t="s">
        <v>1193</v>
      </c>
      <c r="C6" s="43" t="s">
        <v>1194</v>
      </c>
      <c r="D6" s="43" t="s">
        <v>1195</v>
      </c>
      <c r="E6" s="43" t="s">
        <v>1193</v>
      </c>
      <c r="F6" s="43" t="s">
        <v>1194</v>
      </c>
      <c r="G6" s="43" t="s">
        <v>1195</v>
      </c>
      <c r="H6" s="43" t="s">
        <v>1193</v>
      </c>
      <c r="I6" s="43" t="s">
        <v>1194</v>
      </c>
      <c r="J6" s="43" t="s">
        <v>1195</v>
      </c>
      <c r="K6" s="43" t="s">
        <v>1193</v>
      </c>
      <c r="L6" s="43" t="s">
        <v>1194</v>
      </c>
      <c r="M6" s="43" t="s">
        <v>1195</v>
      </c>
      <c r="N6" s="43" t="s">
        <v>1193</v>
      </c>
      <c r="O6" s="43" t="s">
        <v>1194</v>
      </c>
      <c r="P6" s="43" t="s">
        <v>1195</v>
      </c>
      <c r="Q6" s="43" t="s">
        <v>1193</v>
      </c>
      <c r="R6" s="43" t="s">
        <v>1194</v>
      </c>
      <c r="S6" s="43" t="s">
        <v>1195</v>
      </c>
      <c r="T6" s="43" t="s">
        <v>1193</v>
      </c>
      <c r="U6" s="43" t="s">
        <v>1194</v>
      </c>
      <c r="V6" s="43" t="s">
        <v>1195</v>
      </c>
      <c r="W6" s="43" t="s">
        <v>1193</v>
      </c>
      <c r="X6" s="43" t="s">
        <v>1194</v>
      </c>
      <c r="Y6" s="43" t="s">
        <v>1195</v>
      </c>
    </row>
    <row r="7" spans="1:25" x14ac:dyDescent="0.3">
      <c r="A7" s="56" t="s">
        <v>21</v>
      </c>
      <c r="B7" s="44">
        <f>SUMIFS(hoja1!$H$4:$H$1595,hoja1!$N$4:$N$1595,$A7,hoja1!$B$4:$B$1595,"&gt;="&amp;B$4,hoja1!$B$4:$B$1595,"&lt;="&amp;C$4,hoja1!$F$4:$F$1595,"&lt;&gt;*INTERMEDIO*",hoja1!$F$4:$F$1595,"&lt;&gt;REEMPAQUE")</f>
        <v>8199</v>
      </c>
      <c r="C7" s="44">
        <f>SUMIFS(hoja1!$I$4:$I$1595,hoja1!$N$4:$N$1595,$A7,hoja1!$B$4:$B$1595,"&gt;="&amp;B$4,hoja1!$B$4:$B$1595,"&lt;="&amp;C$4,hoja1!$F$4:$F$1595,"&lt;&gt;*INTERMEDIO*",hoja1!$F$4:$F$1595,"&lt;&gt;REEMPAQUE")</f>
        <v>8033</v>
      </c>
      <c r="D7" s="53">
        <f>IFERROR(C7/B7,"-")</f>
        <v>0.97975362849127945</v>
      </c>
      <c r="E7" s="44">
        <f>SUMIFS(hoja1!$H$4:$H$1595,hoja1!$N$4:$N$1595,$A7,hoja1!$B$4:$B$1595,"&gt;="&amp;E$4,hoja1!$B$4:$B$1595,"&lt;="&amp;F$4,hoja1!$F$4:$F$1595,"&lt;&gt;*INTERMEDIO*",hoja1!$F$4:$F$1595,"&lt;&gt;REEMPAQUE")</f>
        <v>29034</v>
      </c>
      <c r="F7" s="44">
        <f>SUMIFS(hoja1!$I$4:$I$1595,hoja1!$N$4:$N$1595,$A7,hoja1!$B$4:$B$1595,"&gt;="&amp;E$4,hoja1!$B$4:$B$1595,"&lt;="&amp;F$4,hoja1!$F$4:$F$1595,"&lt;&gt;*INTERMEDIO*",hoja1!$F$4:$F$1595,"&lt;&gt;REEMPAQUE")</f>
        <v>28689</v>
      </c>
      <c r="G7" s="53">
        <f>IFERROR(F7/E7,"-")</f>
        <v>0.98811737962388924</v>
      </c>
      <c r="H7" s="44">
        <f>SUMIFS(hoja1!$H$4:$H$1595,hoja1!$N$4:$N$1595,$A7,hoja1!$B$4:$B$1595,"&gt;="&amp;H$4,hoja1!$B$4:$B$1595,"&lt;="&amp;I$4,hoja1!$F$4:$F$1595,"&lt;&gt;*INTERMEDIO*",hoja1!$F$4:$F$1595,"&lt;&gt;REEMPAQUE")</f>
        <v>22537</v>
      </c>
      <c r="I7" s="44">
        <f>SUMIFS(hoja1!$I$4:$I$1595,hoja1!$N$4:$N$1595,$A7,hoja1!$B$4:$B$1595,"&gt;="&amp;H$4,hoja1!$B$4:$B$1595,"&lt;="&amp;I$4,hoja1!$F$4:$F$1595,"&lt;&gt;*INTERMEDIO*",hoja1!$F$4:$F$1595,"&lt;&gt;REEMPAQUE")</f>
        <v>22328</v>
      </c>
      <c r="J7" s="53">
        <f>IFERROR(I7/H7,"-")</f>
        <v>0.99072636109508805</v>
      </c>
      <c r="K7" s="44">
        <f>SUMIFS(hoja1!$H$4:$H$1595,hoja1!$N$4:$N$1595,$A7,hoja1!$B$4:$B$1595,"&gt;="&amp;K$4,hoja1!$B$4:$B$1595,"&lt;="&amp;L$4,hoja1!$F$4:$F$1595,"&lt;&gt;*INTERMEDIO*",hoja1!$F$4:$F$1595,"&lt;&gt;REEMPAQUE")</f>
        <v>36239</v>
      </c>
      <c r="L7" s="44">
        <f>SUMIFS(hoja1!$I$4:$I$1595,hoja1!$N$4:$N$1595,$A7,hoja1!$B$4:$B$1595,"&gt;="&amp;K$4,hoja1!$B$4:$B$1595,"&lt;="&amp;L$4,hoja1!$F$4:$F$1595,"&lt;&gt;*INTERMEDIO*",hoja1!$F$4:$F$1595,"&lt;&gt;REEMPAQUE")</f>
        <v>35884</v>
      </c>
      <c r="M7" s="53">
        <f>IFERROR(L7/K7,"-")</f>
        <v>0.99020392394933632</v>
      </c>
      <c r="N7" s="44">
        <f>SUMIFS(hoja1!$H$4:$H$1595,hoja1!$N$4:$N$1595,$A7,hoja1!$B$4:$B$1595,"&gt;="&amp;N$4,hoja1!$B$4:$B$1595,"&lt;="&amp;O$4,hoja1!$F$4:$F$1595,"&lt;&gt;*INTERMEDIO*",hoja1!$F$4:$F$1595,"&lt;&gt;REEMPAQUE")</f>
        <v>37149</v>
      </c>
      <c r="O7" s="44">
        <f>SUMIFS(hoja1!$I$4:$I$1595,hoja1!$N$4:$N$1595,$A7,hoja1!$B$4:$B$1595,"&gt;="&amp;N$4,hoja1!$B$4:$B$1595,"&lt;="&amp;O$4,hoja1!$F$4:$F$1595,"&lt;&gt;*INTERMEDIO*",hoja1!$F$4:$F$1595,"&lt;&gt;REEMPAQUE")</f>
        <v>36970</v>
      </c>
      <c r="P7" s="53">
        <f>IFERROR(O7/N7,"-")</f>
        <v>0.99518156612560227</v>
      </c>
      <c r="Q7" s="44">
        <f>SUMIFS(hoja1!$H$4:$H$1595,hoja1!$N$4:$N$1595,$A7,hoja1!$B$4:$B$1595,"&gt;="&amp;Q$4,hoja1!$B$4:$B$1595,"&lt;="&amp;R$4,hoja1!$F$4:$F$1595,"&lt;&gt;*INTERMEDIO*",hoja1!$F$4:$F$1595,"&lt;&gt;REEMPAQUE")</f>
        <v>23710</v>
      </c>
      <c r="R7" s="44">
        <f>SUMIFS(hoja1!$I$4:$I$1595,hoja1!$N$4:$N$1595,$A7,hoja1!$B$4:$B$1595,"&gt;="&amp;Q$4,hoja1!$B$4:$B$1595,"&lt;="&amp;R$4,hoja1!$F$4:$F$1595,"&lt;&gt;*INTERMEDIO*",hoja1!$F$4:$F$1595,"&lt;&gt;REEMPAQUE")</f>
        <v>23589</v>
      </c>
      <c r="S7" s="53">
        <f>IFERROR(R7/Q7,"-")</f>
        <v>0.99489666807254318</v>
      </c>
      <c r="T7" s="44">
        <f>SUMIFS(hoja1!$H$4:$H$1595,hoja1!$N$4:$N$1595,$A7,hoja1!$B$4:$B$1595,"&gt;="&amp;T$4,hoja1!$B$4:$B$1595,"&lt;="&amp;U$4,hoja1!$F$4:$F$1595,"&lt;&gt;*INTERMEDIO*",hoja1!$F$4:$F$1595,"&lt;&gt;REEMPAQUE")</f>
        <v>11022</v>
      </c>
      <c r="U7" s="44">
        <f>SUMIFS(hoja1!$I$4:$I$1595,hoja1!$N$4:$N$1595,$A7,hoja1!$B$4:$B$1595,"&gt;="&amp;T$4,hoja1!$B$4:$B$1595,"&lt;="&amp;U$4,hoja1!$F$4:$F$1595,"&lt;&gt;*INTERMEDIO*",hoja1!$F$4:$F$1595,"&lt;&gt;REEMPAQUE")</f>
        <v>10992</v>
      </c>
      <c r="V7" s="53">
        <f>IFERROR(U7/T7,"-")</f>
        <v>0.99727817093086557</v>
      </c>
      <c r="W7" s="44">
        <f>B7+E7+H7+K7+N7+Q7+T7</f>
        <v>167890</v>
      </c>
      <c r="X7" s="44">
        <f>C7+F7+I7+L7+O7+R7+U7</f>
        <v>166485</v>
      </c>
      <c r="Y7" s="53">
        <f>IFERROR(X7/W7,"-")</f>
        <v>0.99163142533801896</v>
      </c>
    </row>
    <row r="8" spans="1:25" x14ac:dyDescent="0.3">
      <c r="A8" s="56" t="s">
        <v>421</v>
      </c>
      <c r="B8" s="44">
        <f>SUMIFS(hoja1!$H$4:$H$1595,hoja1!$N$4:$N$1595,$A8,hoja1!$B$4:$B$1595,"&gt;="&amp;B$4,hoja1!$B$4:$B$1595,"&lt;="&amp;C$4,hoja1!$F$4:$F$1595,"&lt;&gt;*INTERMEDIO*",hoja1!$F$4:$F$1595,"&lt;&gt;REEMPAQUE")</f>
        <v>16646</v>
      </c>
      <c r="C8" s="44">
        <f>SUMIFS(hoja1!$I$4:$I$1595,hoja1!$N$4:$N$1595,$A8,hoja1!$B$4:$B$1595,"&gt;="&amp;B$4,hoja1!$B$4:$B$1595,"&lt;="&amp;C$4,hoja1!$F$4:$F$1595,"&lt;&gt;*INTERMEDIO*",hoja1!$F$4:$F$1595,"&lt;&gt;REEMPAQUE")</f>
        <v>16116</v>
      </c>
      <c r="D8" s="53">
        <f>IFERROR(C8/B8,"-")</f>
        <v>0.96816051904361411</v>
      </c>
      <c r="E8" s="44">
        <f>SUMIFS(hoja1!$H$4:$H$1595,hoja1!$N$4:$N$1595,$A8,hoja1!$B$4:$B$1595,"&gt;="&amp;E$4,hoja1!$B$4:$B$1595,"&lt;="&amp;F$4,hoja1!$F$4:$F$1595,"&lt;&gt;*INTERMEDIO*",hoja1!$F$4:$F$1595,"&lt;&gt;REEMPAQUE")</f>
        <v>224251</v>
      </c>
      <c r="F8" s="44">
        <f>SUMIFS(hoja1!$I$4:$I$1595,hoja1!$N$4:$N$1595,$A8,hoja1!$B$4:$B$1595,"&gt;="&amp;E$4,hoja1!$B$4:$B$1595,"&lt;="&amp;F$4,hoja1!$F$4:$F$1595,"&lt;&gt;*INTERMEDIO*",hoja1!$F$4:$F$1595,"&lt;&gt;REEMPAQUE")</f>
        <v>218712</v>
      </c>
      <c r="G8" s="53">
        <f>IFERROR(F8/E8,"-")</f>
        <v>0.97529999866221329</v>
      </c>
      <c r="H8" s="44">
        <f>SUMIFS(hoja1!$H$4:$H$1595,hoja1!$N$4:$N$1595,$A8,hoja1!$B$4:$B$1595,"&gt;="&amp;H$4,hoja1!$B$4:$B$1595,"&lt;="&amp;I$4,hoja1!$F$4:$F$1595,"&lt;&gt;*INTERMEDIO*",hoja1!$F$4:$F$1595,"&lt;&gt;REEMPAQUE")</f>
        <v>218432</v>
      </c>
      <c r="I8" s="44">
        <f>SUMIFS(hoja1!$I$4:$I$1595,hoja1!$N$4:$N$1595,$A8,hoja1!$B$4:$B$1595,"&gt;="&amp;H$4,hoja1!$B$4:$B$1595,"&lt;="&amp;I$4,hoja1!$F$4:$F$1595,"&lt;&gt;*INTERMEDIO*",hoja1!$F$4:$F$1595,"&lt;&gt;REEMPAQUE")</f>
        <v>211433</v>
      </c>
      <c r="J8" s="53">
        <f>IFERROR(I8/H8,"-")</f>
        <v>0.96795799150307649</v>
      </c>
      <c r="K8" s="44">
        <f>SUMIFS(hoja1!$H$4:$H$1595,hoja1!$N$4:$N$1595,$A8,hoja1!$B$4:$B$1595,"&gt;="&amp;K$4,hoja1!$B$4:$B$1595,"&lt;="&amp;L$4,hoja1!$F$4:$F$1595,"&lt;&gt;*INTERMEDIO*",hoja1!$F$4:$F$1595,"&lt;&gt;REEMPAQUE")</f>
        <v>253714</v>
      </c>
      <c r="L8" s="44">
        <f>SUMIFS(hoja1!$I$4:$I$1595,hoja1!$N$4:$N$1595,$A8,hoja1!$B$4:$B$1595,"&gt;="&amp;K$4,hoja1!$B$4:$B$1595,"&lt;="&amp;L$4,hoja1!$F$4:$F$1595,"&lt;&gt;*INTERMEDIO*",hoja1!$F$4:$F$1595,"&lt;&gt;REEMPAQUE")</f>
        <v>247289</v>
      </c>
      <c r="M8" s="53">
        <f>IFERROR(L8/K8,"-")</f>
        <v>0.97467621022095741</v>
      </c>
      <c r="N8" s="44">
        <f>SUMIFS(hoja1!$H$4:$H$1595,hoja1!$N$4:$N$1595,$A8,hoja1!$B$4:$B$1595,"&gt;="&amp;N$4,hoja1!$B$4:$B$1595,"&lt;="&amp;O$4,hoja1!$F$4:$F$1595,"&lt;&gt;*INTERMEDIO*",hoja1!$F$4:$F$1595,"&lt;&gt;REEMPAQUE")</f>
        <v>230495</v>
      </c>
      <c r="O8" s="44">
        <f>SUMIFS(hoja1!$I$4:$I$1595,hoja1!$N$4:$N$1595,$A8,hoja1!$B$4:$B$1595,"&gt;="&amp;N$4,hoja1!$B$4:$B$1595,"&lt;="&amp;O$4,hoja1!$F$4:$F$1595,"&lt;&gt;*INTERMEDIO*",hoja1!$F$4:$F$1595,"&lt;&gt;REEMPAQUE")</f>
        <v>222405</v>
      </c>
      <c r="P8" s="53">
        <f>IFERROR(O8/N8,"-")</f>
        <v>0.96490162476409469</v>
      </c>
      <c r="Q8" s="44">
        <f>SUMIFS(hoja1!$H$4:$H$1595,hoja1!$N$4:$N$1595,$A8,hoja1!$B$4:$B$1595,"&gt;="&amp;Q$4,hoja1!$B$4:$B$1595,"&lt;="&amp;R$4,hoja1!$F$4:$F$1595,"&lt;&gt;*INTERMEDIO*",hoja1!$F$4:$F$1595,"&lt;&gt;REEMPAQUE")</f>
        <v>239185</v>
      </c>
      <c r="R8" s="44">
        <f>SUMIFS(hoja1!$I$4:$I$1595,hoja1!$N$4:$N$1595,$A8,hoja1!$B$4:$B$1595,"&gt;="&amp;Q$4,hoja1!$B$4:$B$1595,"&lt;="&amp;R$4,hoja1!$F$4:$F$1595,"&lt;&gt;*INTERMEDIO*",hoja1!$F$4:$F$1595,"&lt;&gt;REEMPAQUE")</f>
        <v>231802</v>
      </c>
      <c r="S8" s="53">
        <f>IFERROR(R8/Q8,"-")</f>
        <v>0.96913267972489914</v>
      </c>
      <c r="T8" s="44">
        <f>SUMIFS(hoja1!$H$4:$H$1595,hoja1!$N$4:$N$1595,$A8,hoja1!$B$4:$B$1595,"&gt;="&amp;T$4,hoja1!$B$4:$B$1595,"&lt;="&amp;U$4,hoja1!$F$4:$F$1595,"&lt;&gt;*INTERMEDIO*",hoja1!$F$4:$F$1595,"&lt;&gt;REEMPAQUE")</f>
        <v>37904</v>
      </c>
      <c r="U8" s="44">
        <f>SUMIFS(hoja1!$I$4:$I$1595,hoja1!$N$4:$N$1595,$A8,hoja1!$B$4:$B$1595,"&gt;="&amp;T$4,hoja1!$B$4:$B$1595,"&lt;="&amp;U$4,hoja1!$F$4:$F$1595,"&lt;&gt;*INTERMEDIO*",hoja1!$F$4:$F$1595,"&lt;&gt;REEMPAQUE")</f>
        <v>37278</v>
      </c>
      <c r="V8" s="53">
        <f>IFERROR(U8/T8,"-")</f>
        <v>0.98348459265512878</v>
      </c>
      <c r="W8" s="44">
        <f>B8+E8+H8+K8+N8+Q8+T8</f>
        <v>1220627</v>
      </c>
      <c r="X8" s="44">
        <f>C8+F8+I8+L8+O8+R8+U8</f>
        <v>1185035</v>
      </c>
      <c r="Y8" s="53">
        <f>IFERROR(X8/W8,"-")</f>
        <v>0.97084121521152655</v>
      </c>
    </row>
    <row r="9" spans="1:25" x14ac:dyDescent="0.3">
      <c r="A9" s="57" t="s">
        <v>1196</v>
      </c>
      <c r="B9" s="52">
        <f>SUM(B7:B8)</f>
        <v>24845</v>
      </c>
      <c r="C9" s="52">
        <f>SUM(C7:C8)</f>
        <v>24149</v>
      </c>
      <c r="D9" s="54">
        <f>IFERROR(C9/B9,"-")</f>
        <v>0.97198631515395451</v>
      </c>
      <c r="E9" s="52">
        <f>SUM(E7:E8)</f>
        <v>253285</v>
      </c>
      <c r="F9" s="52">
        <f>SUM(F7:F8)</f>
        <v>247401</v>
      </c>
      <c r="G9" s="54">
        <f>IFERROR(F9/E9,"-")</f>
        <v>0.97676925202834752</v>
      </c>
      <c r="H9" s="52">
        <f>SUM(H7:H8)</f>
        <v>240969</v>
      </c>
      <c r="I9" s="52">
        <f>SUM(I7:I8)</f>
        <v>233761</v>
      </c>
      <c r="J9" s="54">
        <f>IFERROR(I9/H9,"-")</f>
        <v>0.97008743863318514</v>
      </c>
      <c r="K9" s="52">
        <f>SUM(K7:K8)</f>
        <v>289953</v>
      </c>
      <c r="L9" s="52">
        <f>SUM(L7:L8)</f>
        <v>283173</v>
      </c>
      <c r="M9" s="54">
        <f>IFERROR(L9/K9,"-")</f>
        <v>0.97661689998034162</v>
      </c>
      <c r="N9" s="52">
        <f>SUM(N7:N8)</f>
        <v>267644</v>
      </c>
      <c r="O9" s="52">
        <f>SUM(O7:O8)</f>
        <v>259375</v>
      </c>
      <c r="P9" s="54">
        <f>IFERROR(O9/N9,"-")</f>
        <v>0.96910448207320177</v>
      </c>
      <c r="Q9" s="52">
        <f>SUM(Q7:Q8)</f>
        <v>262895</v>
      </c>
      <c r="R9" s="52">
        <f>SUM(R7:R8)</f>
        <v>255391</v>
      </c>
      <c r="S9" s="54">
        <f>IFERROR(R9/Q9,"-")</f>
        <v>0.97145628482854374</v>
      </c>
      <c r="T9" s="52">
        <f>SUM(T7:T8)</f>
        <v>48926</v>
      </c>
      <c r="U9" s="52">
        <f>SUM(U7:U8)</f>
        <v>48270</v>
      </c>
      <c r="V9" s="54">
        <f>IFERROR(U9/T9,"-")</f>
        <v>0.98659199607570613</v>
      </c>
      <c r="W9" s="52">
        <f>SUM(W7:W8)</f>
        <v>1388517</v>
      </c>
      <c r="X9" s="52">
        <f>SUM(X7:X8)</f>
        <v>1351520</v>
      </c>
      <c r="Y9" s="54">
        <f>IFERROR(X9/W9,"-")</f>
        <v>0.973355025541639</v>
      </c>
    </row>
  </sheetData>
  <mergeCells count="8">
    <mergeCell ref="N5:P5"/>
    <mergeCell ref="W5:Y5"/>
    <mergeCell ref="B5:D5"/>
    <mergeCell ref="E5:G5"/>
    <mergeCell ref="H5:J5"/>
    <mergeCell ref="K5:M5"/>
    <mergeCell ref="Q5:S5"/>
    <mergeCell ref="T5:V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Análisis</vt:lpstr>
      <vt:lpstr>FPY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Raquel Gonzalez</dc:creator>
  <cp:lastModifiedBy>Brenda Raquel Gonzalez Mazariegos</cp:lastModifiedBy>
  <dcterms:created xsi:type="dcterms:W3CDTF">2026-07-30T19:13:45Z</dcterms:created>
  <dcterms:modified xsi:type="dcterms:W3CDTF">2026-08-21T10:55:57Z</dcterms:modified>
</cp:coreProperties>
</file>